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Bristol University\"/>
    </mc:Choice>
  </mc:AlternateContent>
  <xr:revisionPtr revIDLastSave="0" documentId="13_ncr:1_{B2F1C2D4-14AD-41FB-BE9C-A9D9BDC70066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Cover" sheetId="30" r:id="rId1"/>
    <sheet name="Model overview" sheetId="31" r:id="rId2"/>
    <sheet name="Model settings" sheetId="32" r:id="rId3"/>
    <sheet name="Model parameters" sheetId="33" r:id="rId4"/>
    <sheet name="Model engine A" sheetId="34" r:id="rId5"/>
    <sheet name="Model engine B" sheetId="41" r:id="rId6"/>
    <sheet name="Results" sheetId="36" r:id="rId7"/>
    <sheet name="DSA" sheetId="35" r:id="rId8"/>
    <sheet name="List" sheetId="37" r:id="rId9"/>
  </sheets>
  <definedNames>
    <definedName name="analysis_type">#REF!</definedName>
    <definedName name="Base_ICER">DSA!$W$12</definedName>
    <definedName name="c_comparator">#REF!</definedName>
    <definedName name="deterministic_value">'Model parameters'!$G$15</definedName>
    <definedName name="discount_cost">'Model settings'!$N$14</definedName>
    <definedName name="discount_healthOutcome">'Model settings'!$N$15</definedName>
    <definedName name="DSA_results">DSA!$Q$17:$AB$42</definedName>
    <definedName name="DSA_start">DSA!$Q$16</definedName>
    <definedName name="Include_DSA">'Model parameters'!$I$15</definedName>
    <definedName name="Live_results">DSA!$U$12</definedName>
    <definedName name="lower_value">'Model parameters'!$M$15</definedName>
    <definedName name="OWSA_WTP">DSA!$E$11</definedName>
    <definedName name="p_c_A">'Model parameters'!$P$25</definedName>
    <definedName name="p_c_B">'Model parameters'!$P$26</definedName>
    <definedName name="p_c_h">'Model parameters'!$P$23</definedName>
    <definedName name="p_c_s">'Model parameters'!$P$24</definedName>
    <definedName name="p_control">'Model parameters'!$O$15</definedName>
    <definedName name="p_DSA_rows">'Model parameters'!$I$12</definedName>
    <definedName name="p_hh_A">'Model parameters'!$P$16</definedName>
    <definedName name="p_hh_B">'Model parameters'!$P$19</definedName>
    <definedName name="p_hs_A">'Model parameters'!$P$17</definedName>
    <definedName name="p_hs_B">'Model parameters'!$P$20</definedName>
    <definedName name="p_lower">'Model parameters'!$L$10</definedName>
    <definedName name="p_rows">'Model parameters'!$I$11</definedName>
    <definedName name="p_se">'Model parameters'!$L$9</definedName>
    <definedName name="p_ss_A">'Model parameters'!$P$18</definedName>
    <definedName name="p_ss_B">'Model parameters'!$P$21</definedName>
    <definedName name="p_u_h">'Model parameters'!$P$28</definedName>
    <definedName name="p_u_s">'Model parameters'!$P$29</definedName>
    <definedName name="p_upper">'Model parameters'!$L$11</definedName>
    <definedName name="parameter_name">'Model parameters'!$E$15</definedName>
    <definedName name="rng_ICER_Rank">DSA!$L$18:$N$27</definedName>
    <definedName name="rng_Sort">DSA!$Q$17:$AD$42</definedName>
    <definedName name="upper_value">'Model parameters'!$N$15</definedName>
    <definedName name="willingness_to_pay">'Model settings'!$N$13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8" i="35" l="1"/>
  <c r="AD18" i="35"/>
  <c r="AC19" i="35"/>
  <c r="AD19" i="35"/>
  <c r="AC20" i="35"/>
  <c r="AD20" i="35"/>
  <c r="AC21" i="35"/>
  <c r="AD21" i="35"/>
  <c r="AC22" i="35"/>
  <c r="AD22" i="35"/>
  <c r="AC23" i="35"/>
  <c r="AD23" i="35"/>
  <c r="AC24" i="35"/>
  <c r="AD24" i="35"/>
  <c r="AC25" i="35"/>
  <c r="AD25" i="35"/>
  <c r="AC26" i="35"/>
  <c r="AD26" i="35"/>
  <c r="AC27" i="35"/>
  <c r="AD27" i="35"/>
  <c r="AC28" i="35"/>
  <c r="AD28" i="35"/>
  <c r="AC29" i="35"/>
  <c r="AD29" i="35"/>
  <c r="AC30" i="35"/>
  <c r="AD30" i="35"/>
  <c r="AD17" i="35"/>
  <c r="AC17" i="35"/>
  <c r="I11" i="33"/>
  <c r="I12" i="33"/>
  <c r="H11" i="36" l="1"/>
  <c r="K11" i="36" l="1"/>
  <c r="P29" i="33"/>
  <c r="P28" i="33"/>
  <c r="H29" i="33"/>
  <c r="K29" i="33" s="1"/>
  <c r="H28" i="33"/>
  <c r="K28" i="33" s="1"/>
  <c r="L28" i="33" s="1"/>
  <c r="M28" i="33" s="1"/>
  <c r="P25" i="33"/>
  <c r="P26" i="33"/>
  <c r="I12" i="41" s="1"/>
  <c r="M12" i="41" s="1"/>
  <c r="H24" i="33"/>
  <c r="L24" i="33" s="1"/>
  <c r="K24" i="33" s="1"/>
  <c r="H25" i="33"/>
  <c r="L25" i="33" s="1"/>
  <c r="K25" i="33" s="1"/>
  <c r="H26" i="33"/>
  <c r="L26" i="33" s="1"/>
  <c r="K26" i="33" s="1"/>
  <c r="P21" i="33"/>
  <c r="H21" i="33"/>
  <c r="H20" i="33"/>
  <c r="K20" i="33" s="1"/>
  <c r="P19" i="33"/>
  <c r="H19" i="33"/>
  <c r="K19" i="33" s="1"/>
  <c r="P23" i="33"/>
  <c r="H23" i="33"/>
  <c r="L23" i="33" s="1"/>
  <c r="K23" i="33" s="1"/>
  <c r="P18" i="33"/>
  <c r="P16" i="33"/>
  <c r="P17" i="33" s="1"/>
  <c r="H17" i="33"/>
  <c r="K17" i="33" s="1"/>
  <c r="H18" i="33"/>
  <c r="H16" i="33"/>
  <c r="K16" i="33" s="1"/>
  <c r="L16" i="33" s="1"/>
  <c r="G13" i="41" l="1"/>
  <c r="P20" i="33"/>
  <c r="H13" i="41" s="1"/>
  <c r="H14" i="41" s="1"/>
  <c r="M23" i="33"/>
  <c r="N23" i="33"/>
  <c r="M24" i="33"/>
  <c r="P24" i="33" s="1"/>
  <c r="J12" i="34" s="1"/>
  <c r="N12" i="34" s="1"/>
  <c r="N24" i="33"/>
  <c r="M26" i="33"/>
  <c r="N26" i="33"/>
  <c r="M25" i="33"/>
  <c r="N25" i="33"/>
  <c r="I13" i="41"/>
  <c r="M13" i="41" s="1"/>
  <c r="G14" i="41"/>
  <c r="K12" i="34"/>
  <c r="O12" i="34" s="1"/>
  <c r="K12" i="41"/>
  <c r="O12" i="41" s="1"/>
  <c r="H13" i="34"/>
  <c r="I12" i="34"/>
  <c r="M12" i="34" s="1"/>
  <c r="G13" i="34"/>
  <c r="N28" i="33"/>
  <c r="L29" i="33"/>
  <c r="N29" i="33" s="1"/>
  <c r="L19" i="33"/>
  <c r="M19" i="33" s="1"/>
  <c r="L20" i="33"/>
  <c r="N20" i="33" s="1"/>
  <c r="M20" i="33"/>
  <c r="L17" i="33"/>
  <c r="N17" i="33" s="1"/>
  <c r="M16" i="33"/>
  <c r="N16" i="33"/>
  <c r="J12" i="41" l="1"/>
  <c r="N12" i="41" s="1"/>
  <c r="M29" i="33"/>
  <c r="G15" i="41"/>
  <c r="I14" i="41"/>
  <c r="M14" i="41" s="1"/>
  <c r="H15" i="41"/>
  <c r="K13" i="34"/>
  <c r="O13" i="34" s="1"/>
  <c r="J13" i="41"/>
  <c r="N13" i="41" s="1"/>
  <c r="K13" i="41"/>
  <c r="O13" i="41" s="1"/>
  <c r="K14" i="41"/>
  <c r="O14" i="41" s="1"/>
  <c r="J14" i="41"/>
  <c r="N14" i="41" s="1"/>
  <c r="G14" i="34"/>
  <c r="G15" i="34" s="1"/>
  <c r="J13" i="34"/>
  <c r="N13" i="34" s="1"/>
  <c r="I13" i="34"/>
  <c r="M13" i="34" s="1"/>
  <c r="H14" i="34"/>
  <c r="N19" i="33"/>
  <c r="M17" i="33"/>
  <c r="H16" i="41" l="1"/>
  <c r="G16" i="41"/>
  <c r="I15" i="41"/>
  <c r="M15" i="41" s="1"/>
  <c r="J15" i="41"/>
  <c r="N15" i="41" s="1"/>
  <c r="K15" i="41"/>
  <c r="O15" i="41" s="1"/>
  <c r="I14" i="34"/>
  <c r="M14" i="34" s="1"/>
  <c r="K14" i="34"/>
  <c r="O14" i="34" s="1"/>
  <c r="J14" i="34"/>
  <c r="N14" i="34" s="1"/>
  <c r="H15" i="34"/>
  <c r="J15" i="34" s="1"/>
  <c r="N15" i="34" s="1"/>
  <c r="G16" i="34"/>
  <c r="I15" i="34"/>
  <c r="M15" i="34" s="1"/>
  <c r="G17" i="41" l="1"/>
  <c r="I16" i="41"/>
  <c r="M16" i="41" s="1"/>
  <c r="H17" i="41"/>
  <c r="H16" i="34"/>
  <c r="K16" i="34" s="1"/>
  <c r="O16" i="34" s="1"/>
  <c r="K16" i="41"/>
  <c r="O16" i="41" s="1"/>
  <c r="J16" i="41"/>
  <c r="N16" i="41" s="1"/>
  <c r="K15" i="34"/>
  <c r="O15" i="34" s="1"/>
  <c r="G17" i="34"/>
  <c r="I16" i="34"/>
  <c r="M16" i="34" s="1"/>
  <c r="H18" i="41" l="1"/>
  <c r="H17" i="34"/>
  <c r="J17" i="34" s="1"/>
  <c r="N17" i="34" s="1"/>
  <c r="G18" i="41"/>
  <c r="I17" i="41"/>
  <c r="M17" i="41" s="1"/>
  <c r="J16" i="34"/>
  <c r="N16" i="34" s="1"/>
  <c r="K17" i="41"/>
  <c r="O17" i="41" s="1"/>
  <c r="J17" i="41"/>
  <c r="N17" i="41" s="1"/>
  <c r="G18" i="34"/>
  <c r="I17" i="34"/>
  <c r="M17" i="34" s="1"/>
  <c r="H19" i="41" l="1"/>
  <c r="H18" i="34"/>
  <c r="K18" i="34" s="1"/>
  <c r="O18" i="34" s="1"/>
  <c r="K17" i="34"/>
  <c r="O17" i="34" s="1"/>
  <c r="G19" i="41"/>
  <c r="I18" i="41"/>
  <c r="M18" i="41" s="1"/>
  <c r="K18" i="41"/>
  <c r="O18" i="41" s="1"/>
  <c r="J18" i="41"/>
  <c r="N18" i="41" s="1"/>
  <c r="G19" i="34"/>
  <c r="I18" i="34"/>
  <c r="M18" i="34" s="1"/>
  <c r="H19" i="34" l="1"/>
  <c r="J19" i="34" s="1"/>
  <c r="N19" i="34" s="1"/>
  <c r="J18" i="34"/>
  <c r="N18" i="34" s="1"/>
  <c r="G20" i="41"/>
  <c r="I19" i="41"/>
  <c r="M19" i="41" s="1"/>
  <c r="H20" i="41"/>
  <c r="J19" i="41"/>
  <c r="N19" i="41" s="1"/>
  <c r="K19" i="41"/>
  <c r="O19" i="41" s="1"/>
  <c r="G20" i="34"/>
  <c r="I19" i="34"/>
  <c r="M19" i="34" s="1"/>
  <c r="H20" i="34" l="1"/>
  <c r="J20" i="34" s="1"/>
  <c r="N20" i="34" s="1"/>
  <c r="H21" i="41"/>
  <c r="K19" i="34"/>
  <c r="O19" i="34" s="1"/>
  <c r="G21" i="41"/>
  <c r="I20" i="41"/>
  <c r="M20" i="41" s="1"/>
  <c r="K20" i="41"/>
  <c r="O20" i="41" s="1"/>
  <c r="J20" i="41"/>
  <c r="N20" i="41" s="1"/>
  <c r="G21" i="34"/>
  <c r="I20" i="34"/>
  <c r="M20" i="34" s="1"/>
  <c r="H21" i="34" l="1"/>
  <c r="K21" i="34" s="1"/>
  <c r="O21" i="34" s="1"/>
  <c r="K20" i="34"/>
  <c r="O20" i="34" s="1"/>
  <c r="H22" i="41"/>
  <c r="G22" i="41"/>
  <c r="I22" i="41" s="1"/>
  <c r="M22" i="41" s="1"/>
  <c r="I21" i="41"/>
  <c r="M21" i="41" s="1"/>
  <c r="K21" i="41"/>
  <c r="O21" i="41" s="1"/>
  <c r="J21" i="41"/>
  <c r="N21" i="41" s="1"/>
  <c r="G22" i="34"/>
  <c r="I21" i="34"/>
  <c r="M21" i="34" s="1"/>
  <c r="H22" i="34" l="1"/>
  <c r="J22" i="34" s="1"/>
  <c r="J21" i="34"/>
  <c r="N21" i="34" s="1"/>
  <c r="M9" i="41"/>
  <c r="K22" i="41"/>
  <c r="J22" i="41"/>
  <c r="I9" i="41"/>
  <c r="I22" i="34"/>
  <c r="M22" i="34" s="1"/>
  <c r="M9" i="34" s="1"/>
  <c r="K22" i="34" l="1"/>
  <c r="O22" i="34" s="1"/>
  <c r="O9" i="34" s="1"/>
  <c r="G12" i="36" s="1"/>
  <c r="K9" i="41"/>
  <c r="O22" i="41"/>
  <c r="O9" i="41" s="1"/>
  <c r="G13" i="36" s="1"/>
  <c r="J9" i="41"/>
  <c r="N22" i="41"/>
  <c r="N9" i="41" s="1"/>
  <c r="F13" i="36" s="1"/>
  <c r="J9" i="34"/>
  <c r="N22" i="34"/>
  <c r="N9" i="34" s="1"/>
  <c r="F12" i="36" s="1"/>
  <c r="I9" i="34"/>
  <c r="K9" i="34" l="1"/>
  <c r="H13" i="36"/>
  <c r="H12" i="36"/>
  <c r="J13" i="36"/>
  <c r="V12" i="35" s="1"/>
  <c r="I13" i="36"/>
  <c r="U12" i="35" s="1"/>
  <c r="K13" i="36" l="1"/>
  <c r="X12" i="35" s="1"/>
  <c r="L13" i="36"/>
  <c r="W12" i="35"/>
</calcChain>
</file>

<file path=xl/sharedStrings.xml><?xml version="1.0" encoding="utf-8"?>
<sst xmlns="http://schemas.openxmlformats.org/spreadsheetml/2006/main" count="190" uniqueCount="114">
  <si>
    <t>Two states Markov model example</t>
  </si>
  <si>
    <t>Assumptions:</t>
  </si>
  <si>
    <t>Cell colour codes</t>
  </si>
  <si>
    <t>User modifiable input cells</t>
  </si>
  <si>
    <t>User modifiable drop-down menu</t>
  </si>
  <si>
    <t xml:space="preserve">Calculation </t>
  </si>
  <si>
    <t>Calculation - output by VBA</t>
  </si>
  <si>
    <t>Results</t>
  </si>
  <si>
    <t>Tab colour codes</t>
  </si>
  <si>
    <t>Description and settings</t>
  </si>
  <si>
    <t>Input parameters</t>
  </si>
  <si>
    <t>Calculations</t>
  </si>
  <si>
    <t>Description</t>
  </si>
  <si>
    <t>Variable name</t>
  </si>
  <si>
    <t>Mean</t>
  </si>
  <si>
    <t>Standard error</t>
  </si>
  <si>
    <t>Beta</t>
  </si>
  <si>
    <t>Distribution</t>
  </si>
  <si>
    <t xml:space="preserve">Probabilities </t>
  </si>
  <si>
    <t>The sheet displays all the parameters within the model and varies them for sensitivity analyses</t>
  </si>
  <si>
    <t>1 = base case, 2 = lower bound, 3 = upper bound</t>
  </si>
  <si>
    <t>SE:</t>
  </si>
  <si>
    <t>Lower bound:</t>
  </si>
  <si>
    <t>Upper bound:</t>
  </si>
  <si>
    <t>Include in OWSA</t>
  </si>
  <si>
    <t>Yes/No</t>
  </si>
  <si>
    <t>Yes</t>
  </si>
  <si>
    <t>No</t>
  </si>
  <si>
    <t>Upper</t>
  </si>
  <si>
    <t>alpha</t>
  </si>
  <si>
    <t>beta</t>
  </si>
  <si>
    <t>Lower</t>
  </si>
  <si>
    <t>Control</t>
  </si>
  <si>
    <t>Active value</t>
  </si>
  <si>
    <t>Costs</t>
  </si>
  <si>
    <t>p_hh_A</t>
  </si>
  <si>
    <t>p_hs_A</t>
  </si>
  <si>
    <t>p_ss_A</t>
  </si>
  <si>
    <t>p_hh_B</t>
  </si>
  <si>
    <t>p_hs_B</t>
  </si>
  <si>
    <t>p_ss_B</t>
  </si>
  <si>
    <t>Drug A cost</t>
  </si>
  <si>
    <t>Drug B cost</t>
  </si>
  <si>
    <t>p_c_A</t>
  </si>
  <si>
    <t>p_c_B</t>
  </si>
  <si>
    <t>Gamma</t>
  </si>
  <si>
    <t>p_c_h</t>
  </si>
  <si>
    <t>p_c_s</t>
  </si>
  <si>
    <t>Utility</t>
  </si>
  <si>
    <t>p_u_h</t>
  </si>
  <si>
    <t>p_u_s</t>
  </si>
  <si>
    <t>Model year</t>
  </si>
  <si>
    <t>General</t>
  </si>
  <si>
    <t>Time horizon</t>
  </si>
  <si>
    <t>Years</t>
  </si>
  <si>
    <t>Cycle length</t>
  </si>
  <si>
    <t>Year</t>
  </si>
  <si>
    <t>Discount rate cost</t>
  </si>
  <si>
    <t>Discount rate health outcome</t>
  </si>
  <si>
    <t>Transition matrix</t>
  </si>
  <si>
    <t>Drug cost</t>
  </si>
  <si>
    <t>Disease management costs</t>
  </si>
  <si>
    <t>The model consists of  two health conditions: Pre-progression and Post-progression</t>
  </si>
  <si>
    <t>Patients initially in the "Pre-progression" state may either remain in that condition or progress to the "Post-progression" state.</t>
  </si>
  <si>
    <t>Patients who starts with or progressed to the 'Post-progression' state can only remain in that condition</t>
  </si>
  <si>
    <t>Drug A - Probability of pre-progression patients stay pre-progression</t>
  </si>
  <si>
    <t>Drug A - Probability of pre-progression patient progress to post-progression</t>
  </si>
  <si>
    <t>Drug A - Probability of post-progression patient stay post-progression</t>
  </si>
  <si>
    <t>Drug B - Probability of pre-progression patients stay pre-progression</t>
  </si>
  <si>
    <t>Drug B - Probability of pre-progression patient progress to post-progression</t>
  </si>
  <si>
    <t>Drug B - Probability of post-progression patient stay post-progression</t>
  </si>
  <si>
    <t>Costs of being pre-progression</t>
  </si>
  <si>
    <t>Costs of being post-progression</t>
  </si>
  <si>
    <t>Pre-progression utility</t>
  </si>
  <si>
    <t>Post-progression utility</t>
  </si>
  <si>
    <t>Patients who progressed to "Post-progression" will stop thei drug treatments</t>
  </si>
  <si>
    <t>Costs - undiscounted</t>
  </si>
  <si>
    <t>General population survival</t>
  </si>
  <si>
    <t>Utility - discounted</t>
  </si>
  <si>
    <t>Utility - undiscounted</t>
  </si>
  <si>
    <t>Total</t>
  </si>
  <si>
    <t>Costs (£)</t>
  </si>
  <si>
    <t>QALYs</t>
  </si>
  <si>
    <t>Incremental costs (£)</t>
  </si>
  <si>
    <t>ICER (£/QALY)</t>
  </si>
  <si>
    <t>Drug A</t>
  </si>
  <si>
    <t>Drug B</t>
  </si>
  <si>
    <t>Incremental QALYs</t>
  </si>
  <si>
    <t>Pre-progression</t>
  </si>
  <si>
    <t>Post-progression</t>
  </si>
  <si>
    <t>WTP</t>
  </si>
  <si>
    <t>£</t>
  </si>
  <si>
    <t>Costs - discounted</t>
  </si>
  <si>
    <t>Incremental costs</t>
  </si>
  <si>
    <t>ICER</t>
  </si>
  <si>
    <t>NMB</t>
  </si>
  <si>
    <t>Input</t>
  </si>
  <si>
    <t>Lower bound</t>
  </si>
  <si>
    <t>Upper bound</t>
  </si>
  <si>
    <t>Absolute difference</t>
  </si>
  <si>
    <t>Parameters</t>
  </si>
  <si>
    <t>Deterministic value</t>
  </si>
  <si>
    <t>Lower Bound</t>
  </si>
  <si>
    <t>Live results</t>
  </si>
  <si>
    <t>Rank</t>
  </si>
  <si>
    <t>Lower bound ICER</t>
  </si>
  <si>
    <t>Upper bound ICER</t>
  </si>
  <si>
    <t>p_rows</t>
  </si>
  <si>
    <t>p_DSA_rows</t>
  </si>
  <si>
    <t>Top 10 parameters influencing ICER</t>
  </si>
  <si>
    <t>DSA</t>
  </si>
  <si>
    <t>Live Deterministic results</t>
  </si>
  <si>
    <t>Note: to ensure p_hh_A + p_hs_A =1, only one of them should be included in the DSA; same for p_hh_B and p_hs_B</t>
  </si>
  <si>
    <t>No patients die within the 10 years time horizon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</si>
</sst>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u/>
      <sz val="11"/>
      <color theme="1"/>
      <name val="Arial"/>
      <family val="2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7E89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D7D31"/>
        <bgColor indexed="64"/>
      </patternFill>
    </fill>
    <fill>
      <gradientFill degree="270">
        <stop position="0">
          <color theme="0"/>
        </stop>
        <stop position="1">
          <color rgb="FFED7D31"/>
        </stop>
      </gradientFill>
    </fill>
    <fill>
      <patternFill patternType="solid">
        <fgColor rgb="FFFF990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" fontId="1" fillId="2" borderId="1"/>
    <xf numFmtId="0" fontId="1" fillId="3" borderId="1"/>
    <xf numFmtId="4" fontId="1" fillId="4" borderId="1"/>
  </cellStyleXfs>
  <cellXfs count="117">
    <xf numFmtId="0" fontId="0" fillId="0" borderId="0" xfId="0"/>
    <xf numFmtId="0" fontId="0" fillId="5" borderId="0" xfId="0" applyFill="1"/>
    <xf numFmtId="0" fontId="0" fillId="6" borderId="0" xfId="0" applyFill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7" borderId="0" xfId="0" applyFill="1"/>
    <xf numFmtId="0" fontId="0" fillId="8" borderId="0" xfId="0" applyFill="1"/>
    <xf numFmtId="0" fontId="2" fillId="5" borderId="0" xfId="0" applyFont="1" applyFill="1"/>
    <xf numFmtId="0" fontId="3" fillId="5" borderId="0" xfId="0" applyFont="1" applyFill="1"/>
    <xf numFmtId="0" fontId="4" fillId="0" borderId="0" xfId="0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6" fillId="0" borderId="6" xfId="0" applyFont="1" applyBorder="1"/>
    <xf numFmtId="0" fontId="0" fillId="0" borderId="6" xfId="0" applyBorder="1"/>
    <xf numFmtId="0" fontId="0" fillId="0" borderId="1" xfId="0" applyBorder="1"/>
    <xf numFmtId="9" fontId="0" fillId="0" borderId="1" xfId="0" applyNumberFormat="1" applyBorder="1"/>
    <xf numFmtId="0" fontId="6" fillId="0" borderId="6" xfId="0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8" borderId="0" xfId="0" applyFill="1" applyAlignment="1">
      <alignment vertical="top"/>
    </xf>
    <xf numFmtId="0" fontId="0" fillId="5" borderId="4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6" fillId="0" borderId="6" xfId="0" applyFont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6" borderId="0" xfId="0" applyFill="1" applyAlignment="1">
      <alignment vertical="top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164" fontId="0" fillId="5" borderId="0" xfId="0" applyNumberForma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3" fillId="0" borderId="10" xfId="0" applyFont="1" applyBorder="1"/>
    <xf numFmtId="0" fontId="6" fillId="5" borderId="13" xfId="0" applyFont="1" applyFill="1" applyBorder="1"/>
    <xf numFmtId="0" fontId="6" fillId="5" borderId="15" xfId="0" applyFont="1" applyFill="1" applyBorder="1"/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5" borderId="20" xfId="0" applyFill="1" applyBorder="1"/>
    <xf numFmtId="0" fontId="0" fillId="5" borderId="20" xfId="0" applyFill="1" applyBorder="1" applyAlignment="1">
      <alignment horizontal="center" vertical="center"/>
    </xf>
    <xf numFmtId="0" fontId="0" fillId="5" borderId="19" xfId="0" applyFill="1" applyBorder="1"/>
    <xf numFmtId="0" fontId="0" fillId="5" borderId="20" xfId="0" applyFill="1" applyBorder="1" applyAlignment="1">
      <alignment horizontal="left" vertical="center"/>
    </xf>
    <xf numFmtId="0" fontId="0" fillId="5" borderId="21" xfId="0" applyFill="1" applyBorder="1"/>
    <xf numFmtId="0" fontId="0" fillId="5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left" vertical="center"/>
    </xf>
    <xf numFmtId="0" fontId="0" fillId="5" borderId="22" xfId="0" applyFill="1" applyBorder="1"/>
    <xf numFmtId="0" fontId="2" fillId="5" borderId="0" xfId="0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4" fontId="9" fillId="13" borderId="1" xfId="0" applyNumberFormat="1" applyFont="1" applyFill="1" applyBorder="1" applyAlignment="1">
      <alignment horizontal="center" vertical="center"/>
    </xf>
    <xf numFmtId="3" fontId="9" fillId="13" borderId="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/>
    <xf numFmtId="0" fontId="6" fillId="0" borderId="1" xfId="0" applyFont="1" applyBorder="1" applyAlignment="1">
      <alignment horizontal="center" vertical="center"/>
    </xf>
    <xf numFmtId="4" fontId="7" fillId="0" borderId="24" xfId="0" applyNumberFormat="1" applyFont="1" applyBorder="1"/>
    <xf numFmtId="4" fontId="7" fillId="0" borderId="25" xfId="0" applyNumberFormat="1" applyFont="1" applyBorder="1"/>
    <xf numFmtId="4" fontId="7" fillId="0" borderId="26" xfId="0" applyNumberFormat="1" applyFont="1" applyBorder="1"/>
    <xf numFmtId="0" fontId="0" fillId="5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0" xfId="0" applyFill="1" applyAlignment="1">
      <alignment horizontal="right" vertical="top"/>
    </xf>
    <xf numFmtId="0" fontId="6" fillId="0" borderId="18" xfId="0" applyFont="1" applyBorder="1" applyAlignment="1">
      <alignment horizontal="center" vertical="center"/>
    </xf>
    <xf numFmtId="1" fontId="8" fillId="0" borderId="24" xfId="0" applyNumberFormat="1" applyFont="1" applyBorder="1" applyAlignment="1">
      <alignment horizontal="center"/>
    </xf>
    <xf numFmtId="1" fontId="8" fillId="0" borderId="25" xfId="0" applyNumberFormat="1" applyFont="1" applyBorder="1" applyAlignment="1">
      <alignment horizontal="center"/>
    </xf>
    <xf numFmtId="1" fontId="8" fillId="0" borderId="26" xfId="0" applyNumberFormat="1" applyFont="1" applyBorder="1" applyAlignment="1">
      <alignment horizontal="center"/>
    </xf>
    <xf numFmtId="0" fontId="0" fillId="5" borderId="23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2" fontId="7" fillId="0" borderId="24" xfId="0" applyNumberFormat="1" applyFont="1" applyBorder="1" applyAlignment="1">
      <alignment wrapText="1"/>
    </xf>
    <xf numFmtId="2" fontId="7" fillId="0" borderId="25" xfId="0" applyNumberFormat="1" applyFont="1" applyBorder="1" applyAlignment="1">
      <alignment wrapText="1"/>
    </xf>
    <xf numFmtId="2" fontId="7" fillId="0" borderId="26" xfId="0" applyNumberFormat="1" applyFont="1" applyBorder="1" applyAlignment="1">
      <alignment wrapText="1"/>
    </xf>
    <xf numFmtId="3" fontId="0" fillId="9" borderId="1" xfId="0" applyNumberForma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5" borderId="27" xfId="0" applyFill="1" applyBorder="1" applyAlignment="1">
      <alignment horizontal="center" vertical="center" wrapText="1"/>
    </xf>
    <xf numFmtId="0" fontId="0" fillId="5" borderId="28" xfId="0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164" fontId="0" fillId="11" borderId="0" xfId="0" applyNumberFormat="1" applyFill="1" applyBorder="1" applyAlignment="1">
      <alignment horizontal="center" vertical="center"/>
    </xf>
    <xf numFmtId="164" fontId="0" fillId="11" borderId="8" xfId="0" applyNumberForma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164" fontId="0" fillId="11" borderId="6" xfId="0" applyNumberFormat="1" applyFill="1" applyBorder="1" applyAlignment="1">
      <alignment horizontal="center" vertical="center"/>
    </xf>
    <xf numFmtId="164" fontId="0" fillId="11" borderId="9" xfId="0" applyNumberFormat="1" applyFill="1" applyBorder="1" applyAlignment="1">
      <alignment horizontal="center" vertical="center"/>
    </xf>
    <xf numFmtId="164" fontId="0" fillId="11" borderId="2" xfId="0" applyNumberFormat="1" applyFill="1" applyBorder="1" applyAlignment="1">
      <alignment horizontal="center" vertical="center"/>
    </xf>
    <xf numFmtId="164" fontId="0" fillId="11" borderId="5" xfId="0" applyNumberFormat="1" applyFill="1" applyBorder="1" applyAlignment="1">
      <alignment horizontal="center" vertical="center"/>
    </xf>
    <xf numFmtId="164" fontId="0" fillId="11" borderId="3" xfId="0" applyNumberFormat="1" applyFill="1" applyBorder="1" applyAlignment="1">
      <alignment horizontal="center" vertical="center"/>
    </xf>
    <xf numFmtId="164" fontId="0" fillId="11" borderId="4" xfId="0" applyNumberFormat="1" applyFill="1" applyBorder="1" applyAlignment="1">
      <alignment horizontal="center" vertical="center"/>
    </xf>
    <xf numFmtId="164" fontId="0" fillId="11" borderId="7" xfId="0" applyNumberFormat="1" applyFill="1" applyBorder="1" applyAlignment="1">
      <alignment horizontal="center" vertical="center"/>
    </xf>
    <xf numFmtId="4" fontId="0" fillId="12" borderId="0" xfId="0" applyNumberFormat="1" applyFill="1" applyBorder="1" applyAlignment="1">
      <alignment horizontal="center"/>
    </xf>
    <xf numFmtId="4" fontId="0" fillId="12" borderId="14" xfId="0" applyNumberFormat="1" applyFill="1" applyBorder="1" applyAlignment="1">
      <alignment horizontal="center"/>
    </xf>
    <xf numFmtId="4" fontId="0" fillId="12" borderId="16" xfId="0" applyNumberFormat="1" applyFill="1" applyBorder="1" applyAlignment="1">
      <alignment horizontal="center"/>
    </xf>
    <xf numFmtId="4" fontId="0" fillId="12" borderId="17" xfId="0" applyNumberFormat="1" applyFill="1" applyBorder="1" applyAlignment="1">
      <alignment horizontal="center"/>
    </xf>
    <xf numFmtId="0" fontId="12" fillId="5" borderId="0" xfId="0" applyFont="1" applyFill="1" applyAlignment="1">
      <alignment horizontal="center" vertical="center" wrapText="1"/>
    </xf>
  </cellXfs>
  <cellStyles count="4">
    <cellStyle name="Calc" xfId="3" xr:uid="{4EF9E205-85E6-453F-8CC4-B282C33542DD}"/>
    <cellStyle name="Input1" xfId="1" xr:uid="{13D44153-11F0-458A-B206-7857179ADA80}"/>
    <cellStyle name="Input2" xfId="2" xr:uid="{FC304710-46ED-43EE-917F-BE6F0BE3CCB3}"/>
    <cellStyle name="Normal" xfId="0" builtinId="0"/>
  </cellStyles>
  <dxfs count="0"/>
  <tableStyles count="0" defaultTableStyle="TableStyleMedium2" defaultPivotStyle="PivotStyleLight16"/>
  <colors>
    <mruColors>
      <color rgb="FFCCCC00"/>
      <color rgb="FFCC9900"/>
      <color rgb="FFFF9900"/>
      <color rgb="FF782381"/>
      <color rgb="FF7422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Top 10 parameters influencing ICER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44040128901284092"/>
          <c:y val="0.15430833050630577"/>
          <c:w val="0.56684779859338608"/>
          <c:h val="0.7378951440593736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DSA!$M$17</c:f>
              <c:strCache>
                <c:ptCount val="1"/>
                <c:pt idx="0">
                  <c:v>Lower bound ICER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DSA!$L$18:$L$27</c:f>
              <c:strCache>
                <c:ptCount val="8"/>
                <c:pt idx="0">
                  <c:v>Drug B - Probability of pre-progression patients stay pre-progression</c:v>
                </c:pt>
                <c:pt idx="1">
                  <c:v>Drug A - Probability of pre-progression patients stay pre-progression</c:v>
                </c:pt>
                <c:pt idx="2">
                  <c:v>Pre-progression utility</c:v>
                </c:pt>
                <c:pt idx="3">
                  <c:v>Drug A cost</c:v>
                </c:pt>
                <c:pt idx="4">
                  <c:v>Post-progression utility</c:v>
                </c:pt>
                <c:pt idx="5">
                  <c:v>Costs of being post-progression</c:v>
                </c:pt>
                <c:pt idx="6">
                  <c:v>Drug B cost</c:v>
                </c:pt>
                <c:pt idx="7">
                  <c:v>Costs of being pre-progression</c:v>
                </c:pt>
              </c:strCache>
            </c:strRef>
          </c:cat>
          <c:val>
            <c:numRef>
              <c:f>DSA!$M$18:$M$27</c:f>
              <c:numCache>
                <c:formatCode>#,##0.00</c:formatCode>
                <c:ptCount val="10"/>
                <c:pt idx="0">
                  <c:v>874.15987860805058</c:v>
                </c:pt>
                <c:pt idx="1">
                  <c:v>-4535.4601497661606</c:v>
                </c:pt>
                <c:pt idx="2">
                  <c:v>6277.0445489907124</c:v>
                </c:pt>
                <c:pt idx="3">
                  <c:v>1271.7266718330693</c:v>
                </c:pt>
                <c:pt idx="4">
                  <c:v>1787.8338219101988</c:v>
                </c:pt>
                <c:pt idx="5">
                  <c:v>2614.9239745656459</c:v>
                </c:pt>
                <c:pt idx="6">
                  <c:v>2560.7844673020845</c:v>
                </c:pt>
                <c:pt idx="7">
                  <c:v>2171.2094805400047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28-4A17-859F-68158B60C47C}"/>
            </c:ext>
          </c:extLst>
        </c:ser>
        <c:ser>
          <c:idx val="1"/>
          <c:order val="1"/>
          <c:tx>
            <c:strRef>
              <c:f>DSA!$N$17</c:f>
              <c:strCache>
                <c:ptCount val="1"/>
                <c:pt idx="0">
                  <c:v>Upper bound ICER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DSA!$L$18:$L$27</c:f>
              <c:strCache>
                <c:ptCount val="8"/>
                <c:pt idx="0">
                  <c:v>Drug B - Probability of pre-progression patients stay pre-progression</c:v>
                </c:pt>
                <c:pt idx="1">
                  <c:v>Drug A - Probability of pre-progression patients stay pre-progression</c:v>
                </c:pt>
                <c:pt idx="2">
                  <c:v>Pre-progression utility</c:v>
                </c:pt>
                <c:pt idx="3">
                  <c:v>Drug A cost</c:v>
                </c:pt>
                <c:pt idx="4">
                  <c:v>Post-progression utility</c:v>
                </c:pt>
                <c:pt idx="5">
                  <c:v>Costs of being post-progression</c:v>
                </c:pt>
                <c:pt idx="6">
                  <c:v>Drug B cost</c:v>
                </c:pt>
                <c:pt idx="7">
                  <c:v>Costs of being pre-progression</c:v>
                </c:pt>
              </c:strCache>
            </c:strRef>
          </c:cat>
          <c:val>
            <c:numRef>
              <c:f>DSA!$N$18:$N$27</c:f>
              <c:numCache>
                <c:formatCode>#,##0.00</c:formatCode>
                <c:ptCount val="10"/>
                <c:pt idx="0">
                  <c:v>-9040.3070703185094</c:v>
                </c:pt>
                <c:pt idx="1">
                  <c:v>652.28186392495184</c:v>
                </c:pt>
                <c:pt idx="2">
                  <c:v>2157.2272711930791</c:v>
                </c:pt>
                <c:pt idx="3">
                  <c:v>3348.5563927364215</c:v>
                </c:pt>
                <c:pt idx="4">
                  <c:v>3042.0348024757905</c:v>
                </c:pt>
                <c:pt idx="5">
                  <c:v>1868.9248030945569</c:v>
                </c:pt>
                <c:pt idx="6">
                  <c:v>1928.563491343737</c:v>
                </c:pt>
                <c:pt idx="7">
                  <c:v>2357.7092734077801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28-4A17-859F-68158B60C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523633552"/>
        <c:axId val="1523631152"/>
      </c:barChart>
      <c:catAx>
        <c:axId val="1523633552"/>
        <c:scaling>
          <c:orientation val="maxMin"/>
        </c:scaling>
        <c:delete val="0"/>
        <c:axPos val="l"/>
        <c:numFmt formatCode="#,##0_);\(#,##0\)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631152"/>
        <c:crossesAt val="2259.9523793451335"/>
        <c:auto val="1"/>
        <c:lblAlgn val="ctr"/>
        <c:lblOffset val="100"/>
        <c:noMultiLvlLbl val="0"/>
      </c:catAx>
      <c:valAx>
        <c:axId val="1523631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63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2">
            <a:lumMod val="9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28343</xdr:colOff>
      <xdr:row>2</xdr:row>
      <xdr:rowOff>38030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161204-24F2-7062-C97E-C90741D80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352926</xdr:colOff>
      <xdr:row>13</xdr:row>
      <xdr:rowOff>177465</xdr:rowOff>
    </xdr:from>
    <xdr:to>
      <xdr:col>16</xdr:col>
      <xdr:colOff>116972</xdr:colOff>
      <xdr:row>20</xdr:row>
      <xdr:rowOff>16709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DD47410C-E70A-4AE7-8AA5-7A8BFF13CB81}"/>
            </a:ext>
          </a:extLst>
        </xdr:cNvPr>
        <xdr:cNvSpPr/>
      </xdr:nvSpPr>
      <xdr:spPr>
        <a:xfrm>
          <a:off x="7680492" y="2466807"/>
          <a:ext cx="2337467" cy="112595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Post-progression</a:t>
          </a:r>
        </a:p>
      </xdr:txBody>
    </xdr:sp>
    <xdr:clientData/>
  </xdr:twoCellAnchor>
  <xdr:twoCellAnchor>
    <xdr:from>
      <xdr:col>7</xdr:col>
      <xdr:colOff>321510</xdr:colOff>
      <xdr:row>14</xdr:row>
      <xdr:rowOff>4010</xdr:rowOff>
    </xdr:from>
    <xdr:to>
      <xdr:col>10</xdr:col>
      <xdr:colOff>478254</xdr:colOff>
      <xdr:row>20</xdr:row>
      <xdr:rowOff>27070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E3B9090D-93CD-4F46-9A31-2F5D707F1DA5}"/>
            </a:ext>
          </a:extLst>
        </xdr:cNvPr>
        <xdr:cNvSpPr/>
      </xdr:nvSpPr>
      <xdr:spPr>
        <a:xfrm>
          <a:off x="4181642" y="2477168"/>
          <a:ext cx="2337467" cy="112595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Pre-progression</a:t>
          </a:r>
        </a:p>
      </xdr:txBody>
    </xdr:sp>
    <xdr:clientData/>
  </xdr:twoCellAnchor>
  <xdr:twoCellAnchor>
    <xdr:from>
      <xdr:col>10</xdr:col>
      <xdr:colOff>478254</xdr:colOff>
      <xdr:row>17</xdr:row>
      <xdr:rowOff>5180</xdr:rowOff>
    </xdr:from>
    <xdr:to>
      <xdr:col>12</xdr:col>
      <xdr:colOff>352926</xdr:colOff>
      <xdr:row>17</xdr:row>
      <xdr:rowOff>15541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8A9520DC-327F-6FDE-54CF-BA931A44711A}"/>
            </a:ext>
          </a:extLst>
        </xdr:cNvPr>
        <xdr:cNvCxnSpPr>
          <a:stCxn id="6" idx="6"/>
          <a:endCxn id="5" idx="2"/>
        </xdr:cNvCxnSpPr>
      </xdr:nvCxnSpPr>
      <xdr:spPr>
        <a:xfrm flipV="1">
          <a:off x="6519109" y="3029785"/>
          <a:ext cx="1161383" cy="1036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418013</xdr:colOff>
      <xdr:row>14</xdr:row>
      <xdr:rowOff>158541</xdr:rowOff>
    </xdr:from>
    <xdr:to>
      <xdr:col>16</xdr:col>
      <xdr:colOff>116972</xdr:colOff>
      <xdr:row>17</xdr:row>
      <xdr:rowOff>5180</xdr:rowOff>
    </xdr:to>
    <xdr:cxnSp macro="">
      <xdr:nvCxnSpPr>
        <xdr:cNvPr id="10" name="Connector: Curved 9">
          <a:extLst>
            <a:ext uri="{FF2B5EF4-FFF2-40B4-BE49-F238E27FC236}">
              <a16:creationId xmlns:a16="http://schemas.microsoft.com/office/drawing/2014/main" id="{7E6ED791-3B13-A34F-7C64-20582BE36D8F}"/>
            </a:ext>
          </a:extLst>
        </xdr:cNvPr>
        <xdr:cNvCxnSpPr>
          <a:stCxn id="5" idx="7"/>
          <a:endCxn id="5" idx="6"/>
        </xdr:cNvCxnSpPr>
      </xdr:nvCxnSpPr>
      <xdr:spPr>
        <a:xfrm rot="16200000" flipH="1">
          <a:off x="9647759" y="2659585"/>
          <a:ext cx="398086" cy="342314"/>
        </a:xfrm>
        <a:prstGeom prst="curvedConnector4">
          <a:avLst>
            <a:gd name="adj1" fmla="val -98846"/>
            <a:gd name="adj2" fmla="val 166781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135940</xdr:colOff>
      <xdr:row>14</xdr:row>
      <xdr:rowOff>168902</xdr:rowOff>
    </xdr:from>
    <xdr:to>
      <xdr:col>10</xdr:col>
      <xdr:colOff>478254</xdr:colOff>
      <xdr:row>17</xdr:row>
      <xdr:rowOff>15541</xdr:rowOff>
    </xdr:to>
    <xdr:cxnSp macro="">
      <xdr:nvCxnSpPr>
        <xdr:cNvPr id="12" name="Connector: Curved 11">
          <a:extLst>
            <a:ext uri="{FF2B5EF4-FFF2-40B4-BE49-F238E27FC236}">
              <a16:creationId xmlns:a16="http://schemas.microsoft.com/office/drawing/2014/main" id="{4AFBA929-D8A4-E577-2208-4BCF7AAD81FE}"/>
            </a:ext>
          </a:extLst>
        </xdr:cNvPr>
        <xdr:cNvCxnSpPr>
          <a:stCxn id="6" idx="7"/>
          <a:endCxn id="6" idx="6"/>
        </xdr:cNvCxnSpPr>
      </xdr:nvCxnSpPr>
      <xdr:spPr>
        <a:xfrm rot="16200000" flipH="1">
          <a:off x="6148909" y="2669946"/>
          <a:ext cx="398086" cy="342314"/>
        </a:xfrm>
        <a:prstGeom prst="curvedConnector4">
          <a:avLst>
            <a:gd name="adj1" fmla="val -98846"/>
            <a:gd name="adj2" fmla="val 166781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14807</xdr:colOff>
      <xdr:row>2</xdr:row>
      <xdr:rowOff>35523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9AE5B6-2786-2CFC-BBD5-E06D8552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28343</xdr:colOff>
      <xdr:row>2</xdr:row>
      <xdr:rowOff>38030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903E69-56E8-5043-27B0-4264C0842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432954</xdr:colOff>
      <xdr:row>2</xdr:row>
      <xdr:rowOff>77933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1EE584-3B75-CC41-A1D7-C9B75EEC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645227" cy="4589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28343</xdr:colOff>
      <xdr:row>2</xdr:row>
      <xdr:rowOff>38030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04401B-9A82-6CF0-4EC5-7E66A9212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114068</xdr:colOff>
      <xdr:row>2</xdr:row>
      <xdr:rowOff>38030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EC3102-2F88-6C58-9B9A-A62B68DE3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15643</xdr:colOff>
      <xdr:row>2</xdr:row>
      <xdr:rowOff>32738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76F48B-B1A4-5899-C8D5-792A24351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12</xdr:row>
      <xdr:rowOff>47625</xdr:rowOff>
    </xdr:from>
    <xdr:to>
      <xdr:col>9</xdr:col>
      <xdr:colOff>676275</xdr:colOff>
      <xdr:row>30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7EEC6B-34D2-2383-D5E0-4E06CAD9A6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800100</xdr:colOff>
      <xdr:row>7</xdr:row>
      <xdr:rowOff>171450</xdr:rowOff>
    </xdr:from>
    <xdr:to>
      <xdr:col>9</xdr:col>
      <xdr:colOff>990600</xdr:colOff>
      <xdr:row>9</xdr:row>
      <xdr:rowOff>133350</xdr:rowOff>
    </xdr:to>
    <xdr:sp macro="[0]!run_DS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EA9A71B-6FB4-CBF5-A0D6-8D0900162069}"/>
            </a:ext>
          </a:extLst>
        </xdr:cNvPr>
        <xdr:cNvSpPr/>
      </xdr:nvSpPr>
      <xdr:spPr>
        <a:xfrm>
          <a:off x="7810500" y="1381125"/>
          <a:ext cx="1714500" cy="342900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/>
            <a:t>Run DSA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28343</xdr:colOff>
      <xdr:row>2</xdr:row>
      <xdr:rowOff>38030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6503E2A-3277-41E1-9C22-B79C8782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57143" cy="5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E5C4-79E6-477F-A80B-A0A0FCE02DDA}">
  <sheetPr codeName="Sheet1">
    <tabColor rgb="FFFF9900"/>
  </sheetPr>
  <dimension ref="B1:MD78"/>
  <sheetViews>
    <sheetView showGridLines="0" topLeftCell="B1" workbookViewId="0">
      <selection activeCell="L22" sqref="L22"/>
    </sheetView>
  </sheetViews>
  <sheetFormatPr defaultRowHeight="15" x14ac:dyDescent="0.25"/>
  <cols>
    <col min="1" max="1" width="0" hidden="1" customWidth="1"/>
    <col min="2" max="342" width="9.140625" style="2"/>
  </cols>
  <sheetData>
    <row r="1" spans="4:27" s="1" customFormat="1" x14ac:dyDescent="0.25"/>
    <row r="2" spans="4:27" s="1" customFormat="1" ht="26.25" x14ac:dyDescent="0.4">
      <c r="I2" s="13" t="s">
        <v>0</v>
      </c>
    </row>
    <row r="3" spans="4:27" s="1" customFormat="1" x14ac:dyDescent="0.25"/>
    <row r="4" spans="4:27" s="11" customFormat="1" ht="4.5" customHeight="1" x14ac:dyDescent="0.25"/>
    <row r="5" spans="4:27" s="12" customFormat="1" ht="4.5" customHeight="1" x14ac:dyDescent="0.25"/>
    <row r="8" spans="4:27" x14ac:dyDescent="0.25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8"/>
    </row>
    <row r="9" spans="4:27" x14ac:dyDescent="0.25"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9"/>
    </row>
    <row r="10" spans="4:27" x14ac:dyDescent="0.25">
      <c r="D10" s="3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9"/>
    </row>
    <row r="11" spans="4:27" x14ac:dyDescent="0.25"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9"/>
    </row>
    <row r="12" spans="4:27" x14ac:dyDescent="0.25">
      <c r="D12" s="3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9"/>
    </row>
    <row r="13" spans="4:27" x14ac:dyDescent="0.25">
      <c r="D13" s="3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9"/>
    </row>
    <row r="14" spans="4:27" x14ac:dyDescent="0.25"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9"/>
    </row>
    <row r="15" spans="4:27" x14ac:dyDescent="0.25"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9"/>
    </row>
    <row r="16" spans="4:27" x14ac:dyDescent="0.25"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9"/>
    </row>
    <row r="17" spans="4:27" x14ac:dyDescent="0.25"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9"/>
    </row>
    <row r="18" spans="4:27" x14ac:dyDescent="0.25"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9"/>
    </row>
    <row r="19" spans="4:27" x14ac:dyDescent="0.25"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9"/>
    </row>
    <row r="20" spans="4:27" x14ac:dyDescent="0.25"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9"/>
    </row>
    <row r="21" spans="4:27" x14ac:dyDescent="0.25"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9"/>
    </row>
    <row r="22" spans="4:27" x14ac:dyDescent="0.25"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9"/>
    </row>
    <row r="23" spans="4:27" x14ac:dyDescent="0.25"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9"/>
    </row>
    <row r="24" spans="4:27" x14ac:dyDescent="0.25"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9"/>
    </row>
    <row r="25" spans="4:27" x14ac:dyDescent="0.25"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9"/>
    </row>
    <row r="26" spans="4:27" x14ac:dyDescent="0.25"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9"/>
    </row>
    <row r="27" spans="4:27" x14ac:dyDescent="0.25">
      <c r="D27" s="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9"/>
    </row>
    <row r="28" spans="4:27" x14ac:dyDescent="0.25"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9"/>
    </row>
    <row r="29" spans="4:27" x14ac:dyDescent="0.25"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9"/>
    </row>
    <row r="30" spans="4:27" x14ac:dyDescent="0.25"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9"/>
    </row>
    <row r="31" spans="4:27" x14ac:dyDescent="0.25"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9"/>
    </row>
    <row r="32" spans="4:27" x14ac:dyDescent="0.25"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9"/>
    </row>
    <row r="33" spans="4:27" x14ac:dyDescent="0.25"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9"/>
    </row>
    <row r="34" spans="4:27" x14ac:dyDescent="0.25"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9"/>
    </row>
    <row r="35" spans="4:27" x14ac:dyDescent="0.25"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9"/>
    </row>
    <row r="36" spans="4:27" x14ac:dyDescent="0.25"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9"/>
    </row>
    <row r="37" spans="4:27" x14ac:dyDescent="0.25"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9"/>
    </row>
    <row r="38" spans="4:27" x14ac:dyDescent="0.25"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9"/>
    </row>
    <row r="39" spans="4:27" x14ac:dyDescent="0.25"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9"/>
    </row>
    <row r="40" spans="4:27" x14ac:dyDescent="0.25"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9"/>
    </row>
    <row r="41" spans="4:27" x14ac:dyDescent="0.25">
      <c r="D41" s="3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9"/>
    </row>
    <row r="42" spans="4:27" x14ac:dyDescent="0.25"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9"/>
    </row>
    <row r="43" spans="4:27" x14ac:dyDescent="0.25">
      <c r="D43" s="3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9"/>
    </row>
    <row r="44" spans="4:27" x14ac:dyDescent="0.25">
      <c r="D44" s="3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9"/>
    </row>
    <row r="45" spans="4:27" x14ac:dyDescent="0.25">
      <c r="D45" s="3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9"/>
    </row>
    <row r="46" spans="4:27" x14ac:dyDescent="0.25">
      <c r="D46" s="3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9"/>
    </row>
    <row r="47" spans="4:27" x14ac:dyDescent="0.25">
      <c r="D47" s="3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9"/>
    </row>
    <row r="48" spans="4:27" x14ac:dyDescent="0.25">
      <c r="D48" s="3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9"/>
    </row>
    <row r="49" spans="4:27" x14ac:dyDescent="0.25">
      <c r="D49" s="3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9"/>
    </row>
    <row r="50" spans="4:27" x14ac:dyDescent="0.25">
      <c r="D50" s="3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9"/>
    </row>
    <row r="51" spans="4:27" x14ac:dyDescent="0.25"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9"/>
    </row>
    <row r="52" spans="4:27" x14ac:dyDescent="0.25"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9"/>
    </row>
    <row r="53" spans="4:27" x14ac:dyDescent="0.25"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9"/>
    </row>
    <row r="54" spans="4:27" x14ac:dyDescent="0.25"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9"/>
    </row>
    <row r="55" spans="4:27" x14ac:dyDescent="0.25">
      <c r="D55" s="3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9"/>
    </row>
    <row r="56" spans="4:27" x14ac:dyDescent="0.25">
      <c r="D56" s="3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9"/>
    </row>
    <row r="57" spans="4:27" x14ac:dyDescent="0.25">
      <c r="D57" s="3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9"/>
    </row>
    <row r="58" spans="4:27" x14ac:dyDescent="0.25">
      <c r="D58" s="3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9"/>
    </row>
    <row r="59" spans="4:27" x14ac:dyDescent="0.25">
      <c r="D59" s="3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9"/>
    </row>
    <row r="60" spans="4:27" x14ac:dyDescent="0.25">
      <c r="D60" s="3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9"/>
    </row>
    <row r="61" spans="4:27" x14ac:dyDescent="0.25">
      <c r="D61" s="3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9"/>
    </row>
    <row r="62" spans="4:27" x14ac:dyDescent="0.25">
      <c r="D62" s="3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9"/>
    </row>
    <row r="63" spans="4:27" x14ac:dyDescent="0.25">
      <c r="D63" s="3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9"/>
    </row>
    <row r="64" spans="4:27" x14ac:dyDescent="0.25"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9"/>
    </row>
    <row r="65" spans="4:27" x14ac:dyDescent="0.25"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9"/>
    </row>
    <row r="66" spans="4:27" x14ac:dyDescent="0.25">
      <c r="D66" s="3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9"/>
    </row>
    <row r="67" spans="4:27" x14ac:dyDescent="0.25"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9"/>
    </row>
    <row r="68" spans="4:27" x14ac:dyDescent="0.25"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9"/>
    </row>
    <row r="69" spans="4:27" x14ac:dyDescent="0.25"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9"/>
    </row>
    <row r="70" spans="4:27" x14ac:dyDescent="0.25">
      <c r="D70" s="3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9"/>
    </row>
    <row r="71" spans="4:27" x14ac:dyDescent="0.25">
      <c r="D71" s="3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9"/>
    </row>
    <row r="72" spans="4:27" x14ac:dyDescent="0.25">
      <c r="D72" s="3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9"/>
    </row>
    <row r="73" spans="4:27" x14ac:dyDescent="0.25">
      <c r="D73" s="3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9"/>
    </row>
    <row r="74" spans="4:27" x14ac:dyDescent="0.25">
      <c r="D74" s="3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9"/>
    </row>
    <row r="75" spans="4:27" x14ac:dyDescent="0.25">
      <c r="D75" s="3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9"/>
    </row>
    <row r="76" spans="4:27" x14ac:dyDescent="0.25"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9"/>
    </row>
    <row r="77" spans="4:27" x14ac:dyDescent="0.25"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9"/>
    </row>
    <row r="78" spans="4:27" x14ac:dyDescent="0.25">
      <c r="D78" s="6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1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F069B-81A1-4042-A1CD-8A068CEF8A54}">
  <sheetPr codeName="Sheet2">
    <tabColor rgb="FFFF9900"/>
  </sheetPr>
  <dimension ref="B1:MD78"/>
  <sheetViews>
    <sheetView showGridLines="0" topLeftCell="B16" zoomScaleNormal="100" workbookViewId="0">
      <selection activeCell="H44" sqref="H44"/>
    </sheetView>
  </sheetViews>
  <sheetFormatPr defaultRowHeight="15" x14ac:dyDescent="0.25"/>
  <cols>
    <col min="1" max="1" width="0" hidden="1" customWidth="1"/>
    <col min="2" max="6" width="9.140625" style="2"/>
    <col min="7" max="7" width="9.140625" style="2" customWidth="1"/>
    <col min="8" max="8" width="12.85546875" style="2" customWidth="1"/>
    <col min="9" max="342" width="9.140625" style="2"/>
  </cols>
  <sheetData>
    <row r="1" spans="4:27" s="1" customFormat="1" x14ac:dyDescent="0.25"/>
    <row r="2" spans="4:27" s="1" customFormat="1" ht="26.25" x14ac:dyDescent="0.4">
      <c r="I2" s="13" t="s">
        <v>0</v>
      </c>
    </row>
    <row r="3" spans="4:27" s="1" customFormat="1" x14ac:dyDescent="0.25"/>
    <row r="4" spans="4:27" s="11" customFormat="1" ht="4.5" customHeight="1" x14ac:dyDescent="0.25"/>
    <row r="5" spans="4:27" s="12" customFormat="1" ht="4.5" customHeight="1" x14ac:dyDescent="0.25"/>
    <row r="8" spans="4:27" x14ac:dyDescent="0.25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8"/>
    </row>
    <row r="9" spans="4:27" x14ac:dyDescent="0.25"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9"/>
    </row>
    <row r="10" spans="4:27" x14ac:dyDescent="0.25">
      <c r="D10" s="3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9"/>
    </row>
    <row r="11" spans="4:27" x14ac:dyDescent="0.25"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9"/>
    </row>
    <row r="12" spans="4:27" x14ac:dyDescent="0.25">
      <c r="D12" s="3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9"/>
    </row>
    <row r="13" spans="4:27" x14ac:dyDescent="0.25">
      <c r="D13" s="3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9"/>
    </row>
    <row r="14" spans="4:27" x14ac:dyDescent="0.25"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9"/>
    </row>
    <row r="15" spans="4:27" x14ac:dyDescent="0.25"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9"/>
    </row>
    <row r="16" spans="4:27" x14ac:dyDescent="0.25"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9"/>
    </row>
    <row r="17" spans="4:27" x14ac:dyDescent="0.25"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9"/>
    </row>
    <row r="18" spans="4:27" x14ac:dyDescent="0.25"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9"/>
    </row>
    <row r="19" spans="4:27" x14ac:dyDescent="0.25"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9"/>
    </row>
    <row r="20" spans="4:27" x14ac:dyDescent="0.25"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9"/>
    </row>
    <row r="21" spans="4:27" x14ac:dyDescent="0.25"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9"/>
    </row>
    <row r="22" spans="4:27" x14ac:dyDescent="0.25"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9"/>
    </row>
    <row r="23" spans="4:27" x14ac:dyDescent="0.25"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9"/>
    </row>
    <row r="24" spans="4:27" x14ac:dyDescent="0.25"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9"/>
    </row>
    <row r="25" spans="4:27" x14ac:dyDescent="0.25"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9"/>
    </row>
    <row r="26" spans="4:27" x14ac:dyDescent="0.25">
      <c r="D26" s="3"/>
      <c r="E26" s="1"/>
      <c r="F26" s="1"/>
      <c r="G26" s="1"/>
      <c r="H26" s="14" t="s">
        <v>1</v>
      </c>
      <c r="I26" s="1" t="s">
        <v>62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9"/>
    </row>
    <row r="27" spans="4:27" x14ac:dyDescent="0.25">
      <c r="D27" s="3"/>
      <c r="E27" s="1"/>
      <c r="F27" s="1"/>
      <c r="G27" s="1"/>
      <c r="H27" s="1"/>
      <c r="I27" s="1" t="s">
        <v>63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9"/>
    </row>
    <row r="28" spans="4:27" x14ac:dyDescent="0.25">
      <c r="D28" s="3"/>
      <c r="E28" s="1"/>
      <c r="F28" s="1"/>
      <c r="G28" s="1"/>
      <c r="H28" s="1"/>
      <c r="I28" s="1" t="s">
        <v>64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9"/>
    </row>
    <row r="29" spans="4:27" x14ac:dyDescent="0.25">
      <c r="D29" s="3"/>
      <c r="E29" s="1"/>
      <c r="F29" s="1"/>
      <c r="G29" s="1"/>
      <c r="H29" s="1"/>
      <c r="I29" s="1" t="s">
        <v>75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9"/>
    </row>
    <row r="30" spans="4:27" x14ac:dyDescent="0.25">
      <c r="D30" s="3"/>
      <c r="E30" s="1"/>
      <c r="F30" s="1"/>
      <c r="G30" s="1"/>
      <c r="H30" s="1"/>
      <c r="I30" s="1" t="s">
        <v>113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9"/>
    </row>
    <row r="31" spans="4:27" x14ac:dyDescent="0.25"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9"/>
    </row>
    <row r="32" spans="4:27" x14ac:dyDescent="0.25"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9"/>
    </row>
    <row r="33" spans="4:27" x14ac:dyDescent="0.25">
      <c r="D33" s="3"/>
      <c r="E33" s="1"/>
      <c r="F33" s="1"/>
      <c r="G33" s="1"/>
      <c r="H33" s="15" t="s">
        <v>2</v>
      </c>
      <c r="I33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9"/>
    </row>
    <row r="34" spans="4:27" x14ac:dyDescent="0.25">
      <c r="D34" s="3"/>
      <c r="E34" s="1"/>
      <c r="F34" s="1"/>
      <c r="G34" s="1"/>
      <c r="H34" s="16"/>
      <c r="I34" t="s">
        <v>3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9"/>
    </row>
    <row r="35" spans="4:27" x14ac:dyDescent="0.25">
      <c r="D35" s="3"/>
      <c r="E35" s="1"/>
      <c r="F35" s="1"/>
      <c r="G35" s="1"/>
      <c r="H35" s="17"/>
      <c r="I35" t="s">
        <v>4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9"/>
    </row>
    <row r="36" spans="4:27" x14ac:dyDescent="0.25">
      <c r="D36" s="3"/>
      <c r="E36" s="1"/>
      <c r="F36" s="1"/>
      <c r="G36" s="1"/>
      <c r="H36" s="18"/>
      <c r="I36" t="s">
        <v>5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9"/>
    </row>
    <row r="37" spans="4:27" x14ac:dyDescent="0.25">
      <c r="D37" s="3"/>
      <c r="E37" s="1"/>
      <c r="F37" s="1"/>
      <c r="G37" s="1"/>
      <c r="I37" t="s">
        <v>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9"/>
    </row>
    <row r="38" spans="4:27" x14ac:dyDescent="0.25">
      <c r="D38" s="3"/>
      <c r="E38" s="1"/>
      <c r="F38" s="1"/>
      <c r="G38" s="1"/>
      <c r="H38" s="19"/>
      <c r="I38" t="s">
        <v>7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9"/>
    </row>
    <row r="39" spans="4:27" x14ac:dyDescent="0.25">
      <c r="D39" s="3"/>
      <c r="E39" s="1"/>
      <c r="F39" s="1"/>
      <c r="G39" s="1"/>
      <c r="H39"/>
      <c r="I39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9"/>
    </row>
    <row r="40" spans="4:27" x14ac:dyDescent="0.25">
      <c r="D40" s="3"/>
      <c r="E40" s="1"/>
      <c r="F40" s="1"/>
      <c r="G40" s="1"/>
      <c r="H40" s="15" t="s">
        <v>8</v>
      </c>
      <c r="I40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9"/>
    </row>
    <row r="41" spans="4:27" x14ac:dyDescent="0.25">
      <c r="D41" s="3"/>
      <c r="E41" s="1"/>
      <c r="F41" s="1"/>
      <c r="G41" s="1"/>
      <c r="H41" s="16"/>
      <c r="I41" t="s">
        <v>9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9"/>
    </row>
    <row r="42" spans="4:27" x14ac:dyDescent="0.25">
      <c r="D42" s="3"/>
      <c r="E42" s="1"/>
      <c r="F42" s="1"/>
      <c r="G42" s="1"/>
      <c r="H42" s="17"/>
      <c r="I42" t="s">
        <v>10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9"/>
    </row>
    <row r="43" spans="4:27" x14ac:dyDescent="0.25">
      <c r="D43" s="3"/>
      <c r="E43" s="1"/>
      <c r="F43" s="1"/>
      <c r="G43" s="1"/>
      <c r="H43" s="18"/>
      <c r="I43" t="s">
        <v>11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9"/>
    </row>
    <row r="44" spans="4:27" x14ac:dyDescent="0.25">
      <c r="D44" s="3"/>
      <c r="E44" s="1"/>
      <c r="F44" s="1"/>
      <c r="G44" s="1"/>
      <c r="H44" s="19"/>
      <c r="I44" t="s">
        <v>7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9"/>
    </row>
    <row r="45" spans="4:27" x14ac:dyDescent="0.25">
      <c r="D45" s="3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9"/>
    </row>
    <row r="46" spans="4:27" x14ac:dyDescent="0.25">
      <c r="D46" s="3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9"/>
    </row>
    <row r="47" spans="4:27" x14ac:dyDescent="0.25">
      <c r="D47" s="3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9"/>
    </row>
    <row r="48" spans="4:27" x14ac:dyDescent="0.25">
      <c r="D48" s="3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9"/>
    </row>
    <row r="49" spans="4:27" x14ac:dyDescent="0.25">
      <c r="D49" s="3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9"/>
    </row>
    <row r="50" spans="4:27" x14ac:dyDescent="0.25">
      <c r="D50" s="3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9"/>
    </row>
    <row r="51" spans="4:27" x14ac:dyDescent="0.25"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9"/>
    </row>
    <row r="52" spans="4:27" x14ac:dyDescent="0.25"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9"/>
    </row>
    <row r="53" spans="4:27" x14ac:dyDescent="0.25"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9"/>
    </row>
    <row r="54" spans="4:27" x14ac:dyDescent="0.25"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9"/>
    </row>
    <row r="55" spans="4:27" x14ac:dyDescent="0.25">
      <c r="D55" s="3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9"/>
    </row>
    <row r="56" spans="4:27" x14ac:dyDescent="0.25">
      <c r="D56" s="3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9"/>
    </row>
    <row r="57" spans="4:27" x14ac:dyDescent="0.25">
      <c r="D57" s="3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9"/>
    </row>
    <row r="58" spans="4:27" x14ac:dyDescent="0.25">
      <c r="D58" s="3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9"/>
    </row>
    <row r="59" spans="4:27" x14ac:dyDescent="0.25">
      <c r="D59" s="3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9"/>
    </row>
    <row r="60" spans="4:27" x14ac:dyDescent="0.25">
      <c r="D60" s="3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9"/>
    </row>
    <row r="61" spans="4:27" x14ac:dyDescent="0.25">
      <c r="D61" s="3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9"/>
    </row>
    <row r="62" spans="4:27" x14ac:dyDescent="0.25">
      <c r="D62" s="3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9"/>
    </row>
    <row r="63" spans="4:27" x14ac:dyDescent="0.25">
      <c r="D63" s="3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9"/>
    </row>
    <row r="64" spans="4:27" x14ac:dyDescent="0.25"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9"/>
    </row>
    <row r="65" spans="4:27" x14ac:dyDescent="0.25"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9"/>
    </row>
    <row r="66" spans="4:27" x14ac:dyDescent="0.25">
      <c r="D66" s="3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9"/>
    </row>
    <row r="67" spans="4:27" x14ac:dyDescent="0.25"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9"/>
    </row>
    <row r="68" spans="4:27" x14ac:dyDescent="0.25"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9"/>
    </row>
    <row r="69" spans="4:27" x14ac:dyDescent="0.25"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9"/>
    </row>
    <row r="70" spans="4:27" x14ac:dyDescent="0.25">
      <c r="D70" s="3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9"/>
    </row>
    <row r="71" spans="4:27" x14ac:dyDescent="0.25">
      <c r="D71" s="3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9"/>
    </row>
    <row r="72" spans="4:27" x14ac:dyDescent="0.25">
      <c r="D72" s="3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9"/>
    </row>
    <row r="73" spans="4:27" x14ac:dyDescent="0.25">
      <c r="D73" s="3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9"/>
    </row>
    <row r="74" spans="4:27" x14ac:dyDescent="0.25">
      <c r="D74" s="3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9"/>
    </row>
    <row r="75" spans="4:27" x14ac:dyDescent="0.25">
      <c r="D75" s="3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9"/>
    </row>
    <row r="76" spans="4:27" x14ac:dyDescent="0.25"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9"/>
    </row>
    <row r="77" spans="4:27" x14ac:dyDescent="0.25"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9"/>
    </row>
    <row r="78" spans="4:27" x14ac:dyDescent="0.25">
      <c r="D78" s="6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FB3DD-3881-45FF-81FD-104AE2D8977F}">
  <sheetPr codeName="Sheet3">
    <tabColor rgb="FFCC9900"/>
  </sheetPr>
  <dimension ref="B1:MD80"/>
  <sheetViews>
    <sheetView showGridLines="0" topLeftCell="B1" workbookViewId="0">
      <selection activeCell="J20" sqref="J20"/>
    </sheetView>
  </sheetViews>
  <sheetFormatPr defaultRowHeight="15" x14ac:dyDescent="0.25"/>
  <cols>
    <col min="1" max="1" width="0" hidden="1" customWidth="1"/>
    <col min="2" max="4" width="9.140625" style="2"/>
    <col min="5" max="5" width="33.85546875" style="2" customWidth="1"/>
    <col min="6" max="7" width="9.140625" style="39"/>
    <col min="8" max="342" width="9.140625" style="2"/>
  </cols>
  <sheetData>
    <row r="1" spans="4:27" s="1" customFormat="1" x14ac:dyDescent="0.25">
      <c r="F1" s="25"/>
      <c r="G1" s="25"/>
    </row>
    <row r="2" spans="4:27" s="1" customFormat="1" ht="26.25" x14ac:dyDescent="0.4">
      <c r="F2" s="25"/>
      <c r="G2" s="25"/>
      <c r="I2" s="13" t="s">
        <v>0</v>
      </c>
    </row>
    <row r="3" spans="4:27" s="1" customFormat="1" x14ac:dyDescent="0.25">
      <c r="F3" s="25"/>
      <c r="G3" s="25"/>
    </row>
    <row r="4" spans="4:27" s="11" customFormat="1" ht="4.5" customHeight="1" x14ac:dyDescent="0.25">
      <c r="F4" s="35"/>
      <c r="G4" s="35"/>
    </row>
    <row r="5" spans="4:27" s="12" customFormat="1" ht="4.5" customHeight="1" x14ac:dyDescent="0.25">
      <c r="F5" s="36"/>
      <c r="G5" s="36"/>
    </row>
    <row r="8" spans="4:27" x14ac:dyDescent="0.25">
      <c r="D8" s="4"/>
      <c r="E8" s="5"/>
      <c r="F8" s="37"/>
      <c r="G8" s="37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8"/>
    </row>
    <row r="9" spans="4:27" ht="19.5" customHeight="1" x14ac:dyDescent="0.25">
      <c r="D9" s="3"/>
      <c r="E9" s="15" t="s">
        <v>52</v>
      </c>
      <c r="F9" s="25"/>
      <c r="G9" s="25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9"/>
    </row>
    <row r="10" spans="4:27" ht="19.5" customHeight="1" x14ac:dyDescent="0.25">
      <c r="D10" s="3"/>
      <c r="E10" s="15"/>
      <c r="F10" s="25"/>
      <c r="G10" s="25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9"/>
    </row>
    <row r="11" spans="4:27" x14ac:dyDescent="0.25">
      <c r="D11" s="3"/>
      <c r="E11" s="52" t="s">
        <v>53</v>
      </c>
      <c r="F11" s="53"/>
      <c r="G11" s="55"/>
      <c r="H11" s="52"/>
      <c r="I11" s="52"/>
      <c r="J11" s="52"/>
      <c r="K11" s="52"/>
      <c r="L11" s="52"/>
      <c r="M11" s="54"/>
      <c r="N11" s="38">
        <v>10</v>
      </c>
      <c r="O11" s="40" t="s">
        <v>54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9"/>
    </row>
    <row r="12" spans="4:27" x14ac:dyDescent="0.25">
      <c r="D12" s="3"/>
      <c r="E12" s="56" t="s">
        <v>55</v>
      </c>
      <c r="F12" s="57"/>
      <c r="G12" s="58"/>
      <c r="H12" s="56"/>
      <c r="I12" s="56"/>
      <c r="J12" s="56"/>
      <c r="K12" s="56"/>
      <c r="L12" s="56"/>
      <c r="M12" s="59"/>
      <c r="N12" s="38">
        <v>1</v>
      </c>
      <c r="O12" s="40" t="s">
        <v>56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9"/>
    </row>
    <row r="13" spans="4:27" x14ac:dyDescent="0.25">
      <c r="D13" s="3"/>
      <c r="E13" s="56" t="s">
        <v>90</v>
      </c>
      <c r="F13" s="57"/>
      <c r="G13" s="58"/>
      <c r="H13" s="56"/>
      <c r="I13" s="56"/>
      <c r="J13" s="56"/>
      <c r="K13" s="56"/>
      <c r="L13" s="56"/>
      <c r="M13" s="59"/>
      <c r="N13" s="89">
        <v>20000</v>
      </c>
      <c r="O13" s="40" t="s">
        <v>91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9"/>
    </row>
    <row r="14" spans="4:27" x14ac:dyDescent="0.25">
      <c r="D14" s="3"/>
      <c r="E14" s="56" t="s">
        <v>57</v>
      </c>
      <c r="F14" s="57"/>
      <c r="G14" s="57"/>
      <c r="H14" s="56"/>
      <c r="I14" s="56"/>
      <c r="J14" s="56"/>
      <c r="K14" s="56"/>
      <c r="L14" s="56"/>
      <c r="M14" s="59"/>
      <c r="N14" s="38">
        <v>0.03</v>
      </c>
      <c r="O14" s="25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9"/>
    </row>
    <row r="15" spans="4:27" x14ac:dyDescent="0.25">
      <c r="D15" s="3"/>
      <c r="E15" s="56" t="s">
        <v>58</v>
      </c>
      <c r="F15" s="57"/>
      <c r="G15" s="57"/>
      <c r="H15" s="56"/>
      <c r="I15" s="56"/>
      <c r="J15" s="56"/>
      <c r="K15" s="56"/>
      <c r="L15" s="56"/>
      <c r="M15" s="59"/>
      <c r="N15" s="38">
        <v>0.03</v>
      </c>
      <c r="O15" s="25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9"/>
    </row>
    <row r="16" spans="4:27" x14ac:dyDescent="0.25">
      <c r="D16" s="3"/>
      <c r="E16" s="1"/>
      <c r="F16" s="25"/>
      <c r="G16" s="25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9"/>
    </row>
    <row r="17" spans="4:27" x14ac:dyDescent="0.25">
      <c r="D17" s="3"/>
      <c r="E17" s="1"/>
      <c r="F17" s="25"/>
      <c r="G17" s="25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9"/>
    </row>
    <row r="18" spans="4:27" x14ac:dyDescent="0.25">
      <c r="D18" s="3"/>
      <c r="E18" s="1"/>
      <c r="F18" s="25"/>
      <c r="G18" s="25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9"/>
    </row>
    <row r="19" spans="4:27" x14ac:dyDescent="0.25">
      <c r="D19" s="3"/>
      <c r="E19" s="1"/>
      <c r="F19" s="25"/>
      <c r="G19" s="2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9"/>
    </row>
    <row r="20" spans="4:27" x14ac:dyDescent="0.25">
      <c r="D20" s="3"/>
      <c r="E20" s="1"/>
      <c r="F20" s="25"/>
      <c r="G20" s="25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9"/>
    </row>
    <row r="21" spans="4:27" x14ac:dyDescent="0.25">
      <c r="D21" s="3"/>
      <c r="E21" s="1"/>
      <c r="F21" s="25"/>
      <c r="G21" s="25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9"/>
    </row>
    <row r="22" spans="4:27" x14ac:dyDescent="0.25">
      <c r="D22" s="3"/>
      <c r="E22" s="1"/>
      <c r="F22" s="25"/>
      <c r="G22" s="25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9"/>
    </row>
    <row r="23" spans="4:27" x14ac:dyDescent="0.25">
      <c r="D23" s="3"/>
      <c r="E23" s="1"/>
      <c r="F23" s="25"/>
      <c r="G23" s="2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9"/>
    </row>
    <row r="24" spans="4:27" x14ac:dyDescent="0.25">
      <c r="D24" s="3"/>
      <c r="E24" s="1"/>
      <c r="F24" s="25"/>
      <c r="G24" s="2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9"/>
    </row>
    <row r="25" spans="4:27" x14ac:dyDescent="0.25">
      <c r="D25" s="3"/>
      <c r="E25" s="1"/>
      <c r="F25" s="25"/>
      <c r="G25" s="25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9"/>
    </row>
    <row r="26" spans="4:27" x14ac:dyDescent="0.25">
      <c r="D26" s="3"/>
      <c r="E26" s="1"/>
      <c r="F26" s="25"/>
      <c r="G26" s="25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9"/>
    </row>
    <row r="27" spans="4:27" x14ac:dyDescent="0.25">
      <c r="D27" s="3"/>
      <c r="E27" s="1"/>
      <c r="F27" s="25"/>
      <c r="G27" s="25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9"/>
    </row>
    <row r="28" spans="4:27" x14ac:dyDescent="0.25">
      <c r="D28" s="3"/>
      <c r="E28" s="1"/>
      <c r="F28" s="25"/>
      <c r="G28" s="25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9"/>
    </row>
    <row r="29" spans="4:27" x14ac:dyDescent="0.25">
      <c r="D29" s="3"/>
      <c r="E29" s="1"/>
      <c r="F29" s="25"/>
      <c r="G29" s="25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9"/>
    </row>
    <row r="30" spans="4:27" x14ac:dyDescent="0.25">
      <c r="D30" s="3"/>
      <c r="E30" s="1"/>
      <c r="F30" s="25"/>
      <c r="G30" s="25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9"/>
    </row>
    <row r="31" spans="4:27" x14ac:dyDescent="0.25">
      <c r="D31" s="3"/>
      <c r="E31" s="1"/>
      <c r="F31" s="25"/>
      <c r="G31" s="2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9"/>
    </row>
    <row r="32" spans="4:27" x14ac:dyDescent="0.25">
      <c r="D32" s="3"/>
      <c r="E32" s="1"/>
      <c r="F32" s="25"/>
      <c r="G32" s="25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9"/>
    </row>
    <row r="33" spans="4:27" x14ac:dyDescent="0.25">
      <c r="D33" s="3"/>
      <c r="E33" s="1"/>
      <c r="F33" s="25"/>
      <c r="G33" s="2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9"/>
    </row>
    <row r="34" spans="4:27" x14ac:dyDescent="0.25">
      <c r="D34" s="3"/>
      <c r="E34" s="1"/>
      <c r="F34" s="25"/>
      <c r="G34" s="25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9"/>
    </row>
    <row r="35" spans="4:27" x14ac:dyDescent="0.25">
      <c r="D35" s="3"/>
      <c r="E35" s="1"/>
      <c r="F35" s="25"/>
      <c r="G35" s="25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9"/>
    </row>
    <row r="36" spans="4:27" x14ac:dyDescent="0.25">
      <c r="D36" s="3"/>
      <c r="E36" s="1"/>
      <c r="F36" s="25"/>
      <c r="G36" s="25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9"/>
    </row>
    <row r="37" spans="4:27" x14ac:dyDescent="0.25">
      <c r="D37" s="3"/>
      <c r="E37" s="1"/>
      <c r="F37" s="25"/>
      <c r="G37" s="25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9"/>
    </row>
    <row r="38" spans="4:27" x14ac:dyDescent="0.25">
      <c r="D38" s="3"/>
      <c r="E38" s="1"/>
      <c r="F38" s="25"/>
      <c r="G38" s="25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9"/>
    </row>
    <row r="39" spans="4:27" x14ac:dyDescent="0.25">
      <c r="D39" s="3"/>
      <c r="E39" s="1"/>
      <c r="F39" s="25"/>
      <c r="G39" s="25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9"/>
    </row>
    <row r="40" spans="4:27" x14ac:dyDescent="0.25">
      <c r="D40" s="3"/>
      <c r="E40" s="1"/>
      <c r="F40" s="25"/>
      <c r="G40" s="25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9"/>
    </row>
    <row r="41" spans="4:27" x14ac:dyDescent="0.25">
      <c r="D41" s="3"/>
      <c r="E41" s="1"/>
      <c r="F41" s="25"/>
      <c r="G41" s="25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9"/>
    </row>
    <row r="42" spans="4:27" x14ac:dyDescent="0.25">
      <c r="D42" s="3"/>
      <c r="E42" s="1"/>
      <c r="F42" s="25"/>
      <c r="G42" s="25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9"/>
    </row>
    <row r="43" spans="4:27" x14ac:dyDescent="0.25">
      <c r="D43" s="3"/>
      <c r="E43" s="1"/>
      <c r="F43" s="25"/>
      <c r="G43" s="25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9"/>
    </row>
    <row r="44" spans="4:27" x14ac:dyDescent="0.25">
      <c r="D44" s="3"/>
      <c r="E44" s="1"/>
      <c r="F44" s="25"/>
      <c r="G44" s="25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9"/>
    </row>
    <row r="45" spans="4:27" x14ac:dyDescent="0.25">
      <c r="D45" s="3"/>
      <c r="E45" s="1"/>
      <c r="F45" s="25"/>
      <c r="G45" s="25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9"/>
    </row>
    <row r="46" spans="4:27" x14ac:dyDescent="0.25">
      <c r="D46" s="3"/>
      <c r="E46" s="1"/>
      <c r="F46" s="25"/>
      <c r="G46" s="25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9"/>
    </row>
    <row r="47" spans="4:27" x14ac:dyDescent="0.25">
      <c r="D47" s="3"/>
      <c r="E47" s="1"/>
      <c r="F47" s="25"/>
      <c r="G47" s="25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9"/>
    </row>
    <row r="48" spans="4:27" x14ac:dyDescent="0.25">
      <c r="D48" s="3"/>
      <c r="E48" s="1"/>
      <c r="F48" s="25"/>
      <c r="G48" s="25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9"/>
    </row>
    <row r="49" spans="4:27" x14ac:dyDescent="0.25">
      <c r="D49" s="3"/>
      <c r="E49" s="1"/>
      <c r="F49" s="25"/>
      <c r="G49" s="25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9"/>
    </row>
    <row r="50" spans="4:27" x14ac:dyDescent="0.25">
      <c r="D50" s="3"/>
      <c r="E50" s="1"/>
      <c r="F50" s="25"/>
      <c r="G50" s="25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9"/>
    </row>
    <row r="51" spans="4:27" x14ac:dyDescent="0.25">
      <c r="D51" s="3"/>
      <c r="E51" s="1"/>
      <c r="F51" s="25"/>
      <c r="G51" s="25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9"/>
    </row>
    <row r="52" spans="4:27" x14ac:dyDescent="0.25">
      <c r="D52" s="3"/>
      <c r="E52" s="1"/>
      <c r="F52" s="25"/>
      <c r="G52" s="25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9"/>
    </row>
    <row r="53" spans="4:27" x14ac:dyDescent="0.25">
      <c r="D53" s="3"/>
      <c r="E53" s="1"/>
      <c r="F53" s="25"/>
      <c r="G53" s="25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9"/>
    </row>
    <row r="54" spans="4:27" x14ac:dyDescent="0.25">
      <c r="D54" s="3"/>
      <c r="E54" s="1"/>
      <c r="F54" s="25"/>
      <c r="G54" s="25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9"/>
    </row>
    <row r="55" spans="4:27" x14ac:dyDescent="0.25">
      <c r="D55" s="3"/>
      <c r="E55" s="1"/>
      <c r="F55" s="25"/>
      <c r="G55" s="25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9"/>
    </row>
    <row r="56" spans="4:27" x14ac:dyDescent="0.25">
      <c r="D56" s="3"/>
      <c r="E56" s="1"/>
      <c r="F56" s="25"/>
      <c r="G56" s="25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9"/>
    </row>
    <row r="57" spans="4:27" x14ac:dyDescent="0.25">
      <c r="D57" s="3"/>
      <c r="E57" s="1"/>
      <c r="F57" s="25"/>
      <c r="G57" s="25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9"/>
    </row>
    <row r="58" spans="4:27" x14ac:dyDescent="0.25">
      <c r="D58" s="3"/>
      <c r="E58" s="1"/>
      <c r="F58" s="25"/>
      <c r="G58" s="25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9"/>
    </row>
    <row r="59" spans="4:27" x14ac:dyDescent="0.25">
      <c r="D59" s="3"/>
      <c r="E59" s="1"/>
      <c r="F59" s="25"/>
      <c r="G59" s="25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9"/>
    </row>
    <row r="60" spans="4:27" x14ac:dyDescent="0.25">
      <c r="D60" s="3"/>
      <c r="E60" s="1"/>
      <c r="F60" s="25"/>
      <c r="G60" s="25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9"/>
    </row>
    <row r="61" spans="4:27" x14ac:dyDescent="0.25">
      <c r="D61" s="3"/>
      <c r="E61" s="1"/>
      <c r="F61" s="25"/>
      <c r="G61" s="25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9"/>
    </row>
    <row r="62" spans="4:27" x14ac:dyDescent="0.25">
      <c r="D62" s="3"/>
      <c r="E62" s="1"/>
      <c r="F62" s="25"/>
      <c r="G62" s="25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9"/>
    </row>
    <row r="63" spans="4:27" x14ac:dyDescent="0.25">
      <c r="D63" s="3"/>
      <c r="E63" s="1"/>
      <c r="F63" s="25"/>
      <c r="G63" s="25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9"/>
    </row>
    <row r="64" spans="4:27" x14ac:dyDescent="0.25">
      <c r="D64" s="3"/>
      <c r="E64" s="1"/>
      <c r="F64" s="25"/>
      <c r="G64" s="25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9"/>
    </row>
    <row r="65" spans="4:27" x14ac:dyDescent="0.25">
      <c r="D65" s="3"/>
      <c r="E65" s="1"/>
      <c r="F65" s="25"/>
      <c r="G65" s="25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9"/>
    </row>
    <row r="66" spans="4:27" x14ac:dyDescent="0.25">
      <c r="D66" s="3"/>
      <c r="E66" s="1"/>
      <c r="F66" s="25"/>
      <c r="G66" s="25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9"/>
    </row>
    <row r="67" spans="4:27" x14ac:dyDescent="0.25">
      <c r="D67" s="3"/>
      <c r="E67" s="1"/>
      <c r="F67" s="25"/>
      <c r="G67" s="25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9"/>
    </row>
    <row r="68" spans="4:27" x14ac:dyDescent="0.25">
      <c r="D68" s="3"/>
      <c r="E68" s="1"/>
      <c r="F68" s="25"/>
      <c r="G68" s="25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9"/>
    </row>
    <row r="69" spans="4:27" x14ac:dyDescent="0.25">
      <c r="D69" s="3"/>
      <c r="E69" s="1"/>
      <c r="F69" s="25"/>
      <c r="G69" s="25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9"/>
    </row>
    <row r="70" spans="4:27" x14ac:dyDescent="0.25">
      <c r="D70" s="3"/>
      <c r="E70" s="1"/>
      <c r="F70" s="25"/>
      <c r="G70" s="25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9"/>
    </row>
    <row r="71" spans="4:27" x14ac:dyDescent="0.25">
      <c r="D71" s="3"/>
      <c r="E71" s="1"/>
      <c r="F71" s="25"/>
      <c r="G71" s="25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9"/>
    </row>
    <row r="72" spans="4:27" x14ac:dyDescent="0.25">
      <c r="D72" s="3"/>
      <c r="E72" s="1"/>
      <c r="F72" s="25"/>
      <c r="G72" s="25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9"/>
    </row>
    <row r="73" spans="4:27" x14ac:dyDescent="0.25">
      <c r="D73" s="3"/>
      <c r="E73" s="1"/>
      <c r="F73" s="25"/>
      <c r="G73" s="25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9"/>
    </row>
    <row r="74" spans="4:27" x14ac:dyDescent="0.25">
      <c r="D74" s="3"/>
      <c r="E74" s="1"/>
      <c r="F74" s="25"/>
      <c r="G74" s="25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9"/>
    </row>
    <row r="75" spans="4:27" x14ac:dyDescent="0.25">
      <c r="D75" s="3"/>
      <c r="E75" s="1"/>
      <c r="F75" s="25"/>
      <c r="G75" s="25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9"/>
    </row>
    <row r="76" spans="4:27" x14ac:dyDescent="0.25">
      <c r="D76" s="3"/>
      <c r="E76" s="1"/>
      <c r="F76" s="25"/>
      <c r="G76" s="25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9"/>
    </row>
    <row r="77" spans="4:27" x14ac:dyDescent="0.25">
      <c r="D77" s="3"/>
      <c r="E77" s="1"/>
      <c r="F77" s="25"/>
      <c r="G77" s="25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9"/>
    </row>
    <row r="78" spans="4:27" x14ac:dyDescent="0.25">
      <c r="D78" s="3"/>
      <c r="E78" s="1"/>
      <c r="F78" s="25"/>
      <c r="G78" s="25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9"/>
    </row>
    <row r="79" spans="4:27" x14ac:dyDescent="0.25">
      <c r="D79" s="3"/>
      <c r="E79" s="1"/>
      <c r="F79" s="25"/>
      <c r="G79" s="25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9"/>
    </row>
    <row r="80" spans="4:27" x14ac:dyDescent="0.25">
      <c r="D80" s="6"/>
      <c r="E80" s="7"/>
      <c r="F80" s="26"/>
      <c r="G80" s="26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10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7BF0-92FA-4706-BCC4-6B9F1938C95C}">
  <sheetPr codeName="Sheet4">
    <tabColor rgb="FFCC9900"/>
  </sheetPr>
  <dimension ref="B1:MB84"/>
  <sheetViews>
    <sheetView showGridLines="0" topLeftCell="B1" zoomScale="110" zoomScaleNormal="110" workbookViewId="0">
      <selection activeCell="F33" sqref="F33"/>
    </sheetView>
  </sheetViews>
  <sheetFormatPr defaultRowHeight="15" x14ac:dyDescent="0.25"/>
  <cols>
    <col min="1" max="1" width="0" hidden="1" customWidth="1"/>
    <col min="2" max="4" width="9.140625" style="2"/>
    <col min="5" max="5" width="66.140625" style="2" customWidth="1"/>
    <col min="6" max="6" width="15.5703125" style="34" customWidth="1"/>
    <col min="7" max="7" width="9.140625" style="34"/>
    <col min="8" max="8" width="14.7109375" style="34" customWidth="1"/>
    <col min="9" max="10" width="14.5703125" style="34" customWidth="1"/>
    <col min="11" max="11" width="13.140625" style="34" customWidth="1"/>
    <col min="12" max="14" width="9.140625" style="34"/>
    <col min="15" max="15" width="9.85546875" style="34" customWidth="1"/>
    <col min="16" max="16" width="12.7109375" style="34" customWidth="1"/>
    <col min="17" max="17" width="19.42578125" style="2" customWidth="1"/>
    <col min="18" max="340" width="9.140625" style="2"/>
  </cols>
  <sheetData>
    <row r="1" spans="4:25" s="1" customFormat="1" x14ac:dyDescent="0.25"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4:25" s="1" customFormat="1" x14ac:dyDescent="0.25"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4:25" s="1" customFormat="1" x14ac:dyDescent="0.25"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</row>
    <row r="4" spans="4:25" s="11" customFormat="1" ht="4.5" customHeight="1" x14ac:dyDescent="0.25"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</row>
    <row r="5" spans="4:25" s="12" customFormat="1" ht="4.5" customHeight="1" x14ac:dyDescent="0.25"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</row>
    <row r="8" spans="4:25" x14ac:dyDescent="0.25">
      <c r="D8" s="4"/>
      <c r="E8" s="5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5"/>
      <c r="R8" s="5"/>
      <c r="S8" s="5"/>
      <c r="T8" s="5"/>
      <c r="U8" s="5"/>
      <c r="V8" s="5"/>
      <c r="W8" s="5"/>
      <c r="X8" s="5"/>
      <c r="Y8" s="8"/>
    </row>
    <row r="9" spans="4:25" x14ac:dyDescent="0.25">
      <c r="D9" s="3"/>
      <c r="E9" s="1" t="s">
        <v>19</v>
      </c>
      <c r="F9" s="27"/>
      <c r="G9" s="27"/>
      <c r="H9" s="27"/>
      <c r="I9" s="27"/>
      <c r="J9" s="27"/>
      <c r="K9" s="31" t="s">
        <v>21</v>
      </c>
      <c r="L9" s="92">
        <v>0.1</v>
      </c>
      <c r="M9" s="27"/>
      <c r="N9" s="27"/>
      <c r="O9" s="27"/>
      <c r="P9" s="27"/>
      <c r="Q9" s="1"/>
      <c r="R9" s="1"/>
      <c r="S9" s="1"/>
      <c r="T9" s="1"/>
      <c r="U9" s="1"/>
      <c r="V9" s="1"/>
      <c r="W9" s="1"/>
      <c r="X9" s="1"/>
      <c r="Y9" s="9"/>
    </row>
    <row r="10" spans="4:25" x14ac:dyDescent="0.25">
      <c r="D10" s="3"/>
      <c r="E10" s="1" t="s">
        <v>20</v>
      </c>
      <c r="F10" s="27"/>
      <c r="G10" s="27"/>
      <c r="H10" s="27"/>
      <c r="I10" s="27"/>
      <c r="J10" s="27"/>
      <c r="K10" s="31" t="s">
        <v>22</v>
      </c>
      <c r="L10" s="92">
        <v>2.5000000000000001E-2</v>
      </c>
      <c r="M10" s="27"/>
      <c r="N10" s="27"/>
      <c r="O10" s="27"/>
      <c r="P10" s="27"/>
      <c r="Q10" s="1"/>
      <c r="R10" s="1"/>
      <c r="S10" s="1"/>
      <c r="T10" s="1"/>
      <c r="U10" s="1"/>
      <c r="V10" s="1"/>
      <c r="W10" s="1"/>
      <c r="X10" s="1"/>
      <c r="Y10" s="9"/>
    </row>
    <row r="11" spans="4:25" x14ac:dyDescent="0.25">
      <c r="D11" s="3"/>
      <c r="E11" s="1"/>
      <c r="F11" s="27"/>
      <c r="G11" s="27"/>
      <c r="H11" s="79" t="s">
        <v>107</v>
      </c>
      <c r="I11" s="96">
        <f>COUNTA(I14:I45)</f>
        <v>14</v>
      </c>
      <c r="J11" s="27"/>
      <c r="K11" s="31" t="s">
        <v>23</v>
      </c>
      <c r="L11" s="92">
        <v>0.97499999999999998</v>
      </c>
      <c r="M11" s="27"/>
      <c r="N11" s="27"/>
      <c r="O11" s="27"/>
      <c r="P11" s="27"/>
      <c r="Q11" s="1"/>
      <c r="R11" s="1"/>
      <c r="S11" s="1"/>
      <c r="T11" s="1"/>
      <c r="U11" s="1"/>
      <c r="V11" s="1"/>
      <c r="W11" s="1"/>
      <c r="X11" s="1"/>
      <c r="Y11" s="9"/>
    </row>
    <row r="12" spans="4:25" x14ac:dyDescent="0.25">
      <c r="D12" s="3"/>
      <c r="E12" s="1"/>
      <c r="F12" s="27"/>
      <c r="G12" s="27"/>
      <c r="H12" s="79" t="s">
        <v>108</v>
      </c>
      <c r="I12" s="96">
        <f>COUNTIF(I14:I45, "Yes")</f>
        <v>8</v>
      </c>
      <c r="J12" s="27"/>
      <c r="K12" s="27"/>
      <c r="L12" s="27"/>
      <c r="M12" s="27"/>
      <c r="N12" s="27"/>
      <c r="O12" s="27"/>
      <c r="P12" s="27"/>
      <c r="Q12" s="1"/>
      <c r="R12" s="1"/>
      <c r="S12" s="1"/>
      <c r="T12" s="1"/>
      <c r="U12" s="1"/>
      <c r="V12" s="1"/>
      <c r="W12" s="1"/>
      <c r="X12" s="1"/>
      <c r="Y12" s="9"/>
    </row>
    <row r="13" spans="4:25" x14ac:dyDescent="0.25">
      <c r="D13" s="3"/>
      <c r="E13" s="20" t="s">
        <v>12</v>
      </c>
      <c r="F13" s="32" t="s">
        <v>13</v>
      </c>
      <c r="G13" s="24" t="s">
        <v>14</v>
      </c>
      <c r="H13" s="24" t="s">
        <v>15</v>
      </c>
      <c r="I13" s="24" t="s">
        <v>24</v>
      </c>
      <c r="J13" s="24" t="s">
        <v>17</v>
      </c>
      <c r="K13" s="24" t="s">
        <v>29</v>
      </c>
      <c r="L13" s="24" t="s">
        <v>30</v>
      </c>
      <c r="M13" s="24" t="s">
        <v>31</v>
      </c>
      <c r="N13" s="24" t="s">
        <v>28</v>
      </c>
      <c r="O13" s="24" t="s">
        <v>32</v>
      </c>
      <c r="P13" s="24" t="s">
        <v>33</v>
      </c>
      <c r="Q13" s="1"/>
      <c r="R13" s="1"/>
      <c r="S13" s="1"/>
      <c r="T13" s="1"/>
      <c r="U13" s="1"/>
      <c r="V13" s="1"/>
      <c r="W13" s="1"/>
      <c r="X13" s="1"/>
      <c r="Y13" s="9"/>
    </row>
    <row r="14" spans="4:25" x14ac:dyDescent="0.25">
      <c r="D14" s="3"/>
      <c r="E14" s="1"/>
      <c r="F14" s="27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1"/>
      <c r="R14" s="1"/>
      <c r="S14" s="1"/>
      <c r="T14" s="1"/>
      <c r="U14" s="1"/>
      <c r="V14" s="1"/>
      <c r="W14" s="1"/>
      <c r="X14" s="1"/>
      <c r="Y14" s="9"/>
    </row>
    <row r="15" spans="4:25" x14ac:dyDescent="0.25">
      <c r="D15" s="3"/>
      <c r="E15" s="20" t="s">
        <v>18</v>
      </c>
      <c r="F15" s="33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1"/>
      <c r="R15" s="1"/>
      <c r="S15" s="1"/>
      <c r="T15" s="1"/>
      <c r="U15" s="1"/>
      <c r="V15" s="1"/>
      <c r="W15" s="1"/>
      <c r="X15" s="1"/>
      <c r="Y15" s="9"/>
    </row>
    <row r="16" spans="4:25" x14ac:dyDescent="0.25">
      <c r="D16" s="3"/>
      <c r="E16" s="1" t="s">
        <v>65</v>
      </c>
      <c r="F16" s="27" t="s">
        <v>35</v>
      </c>
      <c r="G16" s="90">
        <v>0.8</v>
      </c>
      <c r="H16" s="25">
        <f t="shared" ref="H16:H21" si="0">G16*p_se</f>
        <v>8.0000000000000016E-2</v>
      </c>
      <c r="I16" s="97" t="s">
        <v>26</v>
      </c>
      <c r="J16" s="25" t="s">
        <v>16</v>
      </c>
      <c r="K16" s="95">
        <f>IFERROR((G16*(G16*(1-G16)/(H16^2)-1)), "")</f>
        <v>19.199999999999989</v>
      </c>
      <c r="L16" s="95">
        <f>IFERROR(K16*(1-G16)/G16, "")</f>
        <v>4.7999999999999954</v>
      </c>
      <c r="M16" s="95">
        <f>BETAINV(p_lower,K16,L16)</f>
        <v>0.62233530230303113</v>
      </c>
      <c r="N16" s="95">
        <f>BETAINV(p_upper,K16,L16)</f>
        <v>0.93064121649528175</v>
      </c>
      <c r="O16" s="25">
        <v>1</v>
      </c>
      <c r="P16" s="95">
        <f t="shared" ref="P16:P21" si="1">CHOOSE(O16,G16,M16,N16)</f>
        <v>0.8</v>
      </c>
      <c r="Q16" s="116" t="s">
        <v>112</v>
      </c>
      <c r="R16" s="1"/>
      <c r="S16" s="1"/>
      <c r="T16" s="1"/>
      <c r="U16" s="1"/>
      <c r="V16" s="1"/>
      <c r="W16" s="1"/>
      <c r="X16" s="1"/>
      <c r="Y16" s="9"/>
    </row>
    <row r="17" spans="4:25" x14ac:dyDescent="0.25">
      <c r="D17" s="3"/>
      <c r="E17" s="1" t="s">
        <v>66</v>
      </c>
      <c r="F17" s="27" t="s">
        <v>36</v>
      </c>
      <c r="G17" s="90">
        <v>0.2</v>
      </c>
      <c r="H17" s="25">
        <f t="shared" si="0"/>
        <v>2.0000000000000004E-2</v>
      </c>
      <c r="I17" s="97" t="s">
        <v>27</v>
      </c>
      <c r="J17" s="25" t="s">
        <v>16</v>
      </c>
      <c r="K17" s="95">
        <f>IFERROR((G17*(G17*(1-G17)/(H17^2)-1)), "")</f>
        <v>79.799999999999983</v>
      </c>
      <c r="L17" s="95">
        <f>IFERROR(K17*(1-G17)/G17, "")</f>
        <v>319.19999999999993</v>
      </c>
      <c r="M17" s="95">
        <f>BETAINV(p_lower,K17,L17)</f>
        <v>0.16226469167269494</v>
      </c>
      <c r="N17" s="95">
        <f>BETAINV(p_upper,K17,L17)</f>
        <v>0.24058312537264848</v>
      </c>
      <c r="O17" s="25">
        <v>1</v>
      </c>
      <c r="P17" s="95">
        <f>1-p_hh_A</f>
        <v>0.19999999999999996</v>
      </c>
      <c r="Q17" s="116"/>
      <c r="R17" s="1"/>
      <c r="S17" s="1"/>
      <c r="T17" s="1"/>
      <c r="U17" s="1"/>
      <c r="V17" s="1"/>
      <c r="W17" s="1"/>
      <c r="X17" s="1"/>
      <c r="Y17" s="9"/>
    </row>
    <row r="18" spans="4:25" x14ac:dyDescent="0.25">
      <c r="D18" s="3"/>
      <c r="E18" s="1" t="s">
        <v>67</v>
      </c>
      <c r="F18" s="27" t="s">
        <v>37</v>
      </c>
      <c r="G18" s="90">
        <v>1</v>
      </c>
      <c r="H18" s="25">
        <f t="shared" si="0"/>
        <v>0.1</v>
      </c>
      <c r="I18" s="97" t="s">
        <v>27</v>
      </c>
      <c r="J18" s="25" t="s">
        <v>16</v>
      </c>
      <c r="K18" s="93"/>
      <c r="L18" s="93"/>
      <c r="M18" s="93"/>
      <c r="N18" s="93"/>
      <c r="O18" s="25">
        <v>1</v>
      </c>
      <c r="P18" s="95">
        <f t="shared" si="1"/>
        <v>1</v>
      </c>
      <c r="Q18" s="116"/>
      <c r="R18" s="1"/>
      <c r="S18" s="1"/>
      <c r="T18" s="1"/>
      <c r="U18" s="1"/>
      <c r="V18" s="1"/>
      <c r="W18" s="1"/>
      <c r="X18" s="1"/>
      <c r="Y18" s="9"/>
    </row>
    <row r="19" spans="4:25" x14ac:dyDescent="0.25">
      <c r="D19" s="3"/>
      <c r="E19" s="1" t="s">
        <v>68</v>
      </c>
      <c r="F19" s="27" t="s">
        <v>38</v>
      </c>
      <c r="G19" s="90">
        <v>0.7</v>
      </c>
      <c r="H19" s="25">
        <f t="shared" si="0"/>
        <v>6.9999999999999993E-2</v>
      </c>
      <c r="I19" s="97" t="s">
        <v>26</v>
      </c>
      <c r="J19" s="25" t="s">
        <v>16</v>
      </c>
      <c r="K19" s="95">
        <f>IFERROR((G19*(G19*(1-G19)/(H19^2)-1)), "")</f>
        <v>29.300000000000004</v>
      </c>
      <c r="L19" s="95">
        <f>IFERROR(K19*(1-G19)/G19, "")</f>
        <v>12.557142857142862</v>
      </c>
      <c r="M19" s="95">
        <f>BETAINV(p_lower,K19,L19)</f>
        <v>0.55468963712076724</v>
      </c>
      <c r="N19" s="95">
        <f>BETAINV(p_upper,K19,L19)</f>
        <v>0.8272171487325426</v>
      </c>
      <c r="O19" s="25">
        <v>1</v>
      </c>
      <c r="P19" s="95">
        <f t="shared" si="1"/>
        <v>0.7</v>
      </c>
      <c r="Q19" s="116"/>
      <c r="R19" s="1"/>
      <c r="S19" s="1"/>
      <c r="T19" s="1"/>
      <c r="U19" s="1"/>
      <c r="V19" s="1"/>
      <c r="W19" s="1"/>
      <c r="X19" s="1"/>
      <c r="Y19" s="9"/>
    </row>
    <row r="20" spans="4:25" x14ac:dyDescent="0.25">
      <c r="D20" s="3"/>
      <c r="E20" s="1" t="s">
        <v>69</v>
      </c>
      <c r="F20" s="27" t="s">
        <v>39</v>
      </c>
      <c r="G20" s="90">
        <v>0.3</v>
      </c>
      <c r="H20" s="25">
        <f t="shared" si="0"/>
        <v>0.03</v>
      </c>
      <c r="I20" s="97" t="s">
        <v>27</v>
      </c>
      <c r="J20" s="25" t="s">
        <v>16</v>
      </c>
      <c r="K20" s="95">
        <f>IFERROR((G20*(G20*(1-G20)/(H20^2)-1)), "")</f>
        <v>69.7</v>
      </c>
      <c r="L20" s="95">
        <f>IFERROR(K20*(1-G20)/G20, "")</f>
        <v>162.63333333333333</v>
      </c>
      <c r="M20" s="95">
        <f>BETAINV(p_lower,K20,L20)</f>
        <v>0.24290228065410446</v>
      </c>
      <c r="N20" s="95">
        <f>BETAINV(p_upper,K20,L20)</f>
        <v>0.36035906979520327</v>
      </c>
      <c r="O20" s="25">
        <v>1</v>
      </c>
      <c r="P20" s="95">
        <f>1-p_hh_B</f>
        <v>0.30000000000000004</v>
      </c>
      <c r="Q20" s="116"/>
      <c r="R20" s="1"/>
      <c r="S20" s="1"/>
      <c r="T20" s="1"/>
      <c r="U20" s="1"/>
      <c r="V20" s="1"/>
      <c r="W20" s="1"/>
      <c r="X20" s="1"/>
      <c r="Y20" s="9"/>
    </row>
    <row r="21" spans="4:25" x14ac:dyDescent="0.25">
      <c r="D21" s="3"/>
      <c r="E21" s="1" t="s">
        <v>70</v>
      </c>
      <c r="F21" s="27" t="s">
        <v>40</v>
      </c>
      <c r="G21" s="90">
        <v>1</v>
      </c>
      <c r="H21" s="25">
        <f t="shared" si="0"/>
        <v>0.1</v>
      </c>
      <c r="I21" s="97" t="s">
        <v>27</v>
      </c>
      <c r="J21" s="25" t="s">
        <v>16</v>
      </c>
      <c r="K21" s="93"/>
      <c r="L21" s="93"/>
      <c r="M21" s="93"/>
      <c r="N21" s="93"/>
      <c r="O21" s="25">
        <v>1</v>
      </c>
      <c r="P21" s="95">
        <f t="shared" si="1"/>
        <v>1</v>
      </c>
      <c r="Q21" s="116"/>
      <c r="R21" s="1"/>
      <c r="S21" s="1"/>
      <c r="T21" s="1"/>
      <c r="U21" s="1"/>
      <c r="V21" s="1"/>
      <c r="W21" s="1"/>
      <c r="X21" s="1"/>
      <c r="Y21" s="9"/>
    </row>
    <row r="22" spans="4:25" x14ac:dyDescent="0.25">
      <c r="D22" s="3"/>
      <c r="E22" s="20" t="s">
        <v>34</v>
      </c>
      <c r="F22" s="33"/>
      <c r="G22" s="26"/>
      <c r="H22" s="26"/>
      <c r="I22" s="91" t="s">
        <v>27</v>
      </c>
      <c r="J22" s="26"/>
      <c r="K22" s="94"/>
      <c r="L22" s="94"/>
      <c r="M22" s="94"/>
      <c r="N22" s="94"/>
      <c r="O22" s="26"/>
      <c r="P22" s="94"/>
      <c r="Q22" s="1"/>
      <c r="R22" s="1"/>
      <c r="S22" s="1"/>
      <c r="T22" s="1"/>
      <c r="U22" s="1"/>
      <c r="V22" s="1"/>
      <c r="W22" s="1"/>
      <c r="X22" s="1"/>
      <c r="Y22" s="9"/>
    </row>
    <row r="23" spans="4:25" x14ac:dyDescent="0.25">
      <c r="D23" s="3"/>
      <c r="E23" s="1" t="s">
        <v>71</v>
      </c>
      <c r="F23" s="27" t="s">
        <v>46</v>
      </c>
      <c r="G23" s="90">
        <v>200</v>
      </c>
      <c r="H23" s="25">
        <f>G23*p_se</f>
        <v>20</v>
      </c>
      <c r="I23" s="97" t="s">
        <v>26</v>
      </c>
      <c r="J23" s="25" t="s">
        <v>45</v>
      </c>
      <c r="K23" s="95">
        <f>G23/L23</f>
        <v>100</v>
      </c>
      <c r="L23" s="95">
        <f>H23^2/G23</f>
        <v>2</v>
      </c>
      <c r="M23" s="95">
        <f>GAMMAINV(p_lower,K23,L23)</f>
        <v>162.72798250184627</v>
      </c>
      <c r="N23" s="95">
        <f>GAMMAINV(p_upper,K23,L23)</f>
        <v>241.0578955063109</v>
      </c>
      <c r="O23" s="25">
        <v>1</v>
      </c>
      <c r="P23" s="95">
        <f>CHOOSE(O23,G23,M23,N23)</f>
        <v>200</v>
      </c>
      <c r="Q23" s="1"/>
      <c r="R23" s="1"/>
      <c r="S23" s="1"/>
      <c r="T23" s="1"/>
      <c r="U23" s="1"/>
      <c r="V23" s="1"/>
      <c r="W23" s="1"/>
      <c r="X23" s="1"/>
      <c r="Y23" s="9"/>
    </row>
    <row r="24" spans="4:25" x14ac:dyDescent="0.25">
      <c r="D24" s="3"/>
      <c r="E24" s="1" t="s">
        <v>72</v>
      </c>
      <c r="F24" s="27" t="s">
        <v>47</v>
      </c>
      <c r="G24" s="90">
        <v>800</v>
      </c>
      <c r="H24" s="25">
        <f>G24*p_se</f>
        <v>80</v>
      </c>
      <c r="I24" s="97" t="s">
        <v>26</v>
      </c>
      <c r="J24" s="25" t="s">
        <v>45</v>
      </c>
      <c r="K24" s="95">
        <f>G24/L24</f>
        <v>100</v>
      </c>
      <c r="L24" s="95">
        <f>H24^2/G24</f>
        <v>8</v>
      </c>
      <c r="M24" s="95">
        <f>GAMMAINV(p_lower,K24,L24)</f>
        <v>650.91193000738508</v>
      </c>
      <c r="N24" s="95">
        <f>GAMMAINV(p_upper,K24,L24)</f>
        <v>964.2315820252436</v>
      </c>
      <c r="O24" s="25">
        <v>1</v>
      </c>
      <c r="P24" s="95">
        <f>CHOOSE(O24,G24,M24,N24)</f>
        <v>800</v>
      </c>
      <c r="Q24" s="1"/>
      <c r="R24" s="1"/>
      <c r="S24" s="1"/>
      <c r="T24" s="1"/>
      <c r="U24" s="1"/>
      <c r="V24" s="1"/>
      <c r="W24" s="1"/>
      <c r="X24" s="1"/>
      <c r="Y24" s="9"/>
    </row>
    <row r="25" spans="4:25" x14ac:dyDescent="0.25">
      <c r="D25" s="3"/>
      <c r="E25" s="1" t="s">
        <v>41</v>
      </c>
      <c r="F25" s="27" t="s">
        <v>43</v>
      </c>
      <c r="G25" s="90">
        <v>600</v>
      </c>
      <c r="H25" s="25">
        <f>G25*p_se</f>
        <v>60</v>
      </c>
      <c r="I25" s="97" t="s">
        <v>26</v>
      </c>
      <c r="J25" s="25" t="s">
        <v>45</v>
      </c>
      <c r="K25" s="95">
        <f>G25/L25</f>
        <v>100</v>
      </c>
      <c r="L25" s="95">
        <f>H25^2/G25</f>
        <v>6</v>
      </c>
      <c r="M25" s="95">
        <f>GAMMAINV(p_lower,K25,L25)</f>
        <v>488.18394750553881</v>
      </c>
      <c r="N25" s="95">
        <f>GAMMAINV(p_upper,K25,L25)</f>
        <v>723.17368651893275</v>
      </c>
      <c r="O25" s="25">
        <v>1</v>
      </c>
      <c r="P25" s="95">
        <f>CHOOSE(O25,G25,M25,N25)</f>
        <v>600</v>
      </c>
      <c r="Q25" s="1"/>
      <c r="R25" s="1"/>
      <c r="S25" s="1"/>
      <c r="T25" s="1"/>
      <c r="U25" s="1"/>
      <c r="V25" s="1"/>
      <c r="W25" s="1"/>
      <c r="X25" s="1"/>
      <c r="Y25" s="9"/>
    </row>
    <row r="26" spans="4:25" x14ac:dyDescent="0.25">
      <c r="D26" s="3"/>
      <c r="E26" s="1" t="s">
        <v>42</v>
      </c>
      <c r="F26" s="27" t="s">
        <v>44</v>
      </c>
      <c r="G26" s="90">
        <v>250</v>
      </c>
      <c r="H26" s="25">
        <f>G26*p_se</f>
        <v>25</v>
      </c>
      <c r="I26" s="97" t="s">
        <v>26</v>
      </c>
      <c r="J26" s="25" t="s">
        <v>45</v>
      </c>
      <c r="K26" s="95">
        <f>G26/L26</f>
        <v>100</v>
      </c>
      <c r="L26" s="95">
        <f>H26^2/G26</f>
        <v>2.5</v>
      </c>
      <c r="M26" s="95">
        <f>GAMMAINV(p_lower,K26,L26)</f>
        <v>203.40997812730785</v>
      </c>
      <c r="N26" s="95">
        <f>GAMMAINV(p_upper,K26,L26)</f>
        <v>301.32236938288861</v>
      </c>
      <c r="O26" s="25">
        <v>1</v>
      </c>
      <c r="P26" s="95">
        <f>CHOOSE(O26,G26,M26,N26)</f>
        <v>250</v>
      </c>
      <c r="Q26" s="1"/>
      <c r="R26" s="1"/>
      <c r="S26" s="1"/>
      <c r="T26" s="1"/>
      <c r="U26" s="1"/>
      <c r="V26" s="1"/>
      <c r="W26" s="1"/>
      <c r="X26" s="1"/>
      <c r="Y26" s="9"/>
    </row>
    <row r="27" spans="4:25" x14ac:dyDescent="0.25">
      <c r="D27" s="3"/>
      <c r="E27" s="20" t="s">
        <v>48</v>
      </c>
      <c r="F27" s="33"/>
      <c r="G27" s="26"/>
      <c r="H27" s="26"/>
      <c r="I27" s="91" t="s">
        <v>27</v>
      </c>
      <c r="J27" s="26"/>
      <c r="K27" s="94"/>
      <c r="L27" s="94"/>
      <c r="M27" s="94"/>
      <c r="N27" s="94"/>
      <c r="O27" s="26"/>
      <c r="P27" s="94"/>
      <c r="Q27" s="1"/>
      <c r="R27" s="1"/>
      <c r="S27" s="1"/>
      <c r="T27" s="1"/>
      <c r="U27" s="1"/>
      <c r="V27" s="1"/>
      <c r="W27" s="1"/>
      <c r="X27" s="1"/>
      <c r="Y27" s="9"/>
    </row>
    <row r="28" spans="4:25" x14ac:dyDescent="0.25">
      <c r="D28" s="3"/>
      <c r="E28" s="1" t="s">
        <v>73</v>
      </c>
      <c r="F28" s="27" t="s">
        <v>49</v>
      </c>
      <c r="G28" s="90">
        <v>0.98</v>
      </c>
      <c r="H28" s="25">
        <f>G28*p_se</f>
        <v>9.8000000000000004E-2</v>
      </c>
      <c r="I28" s="97" t="s">
        <v>26</v>
      </c>
      <c r="J28" s="25" t="s">
        <v>16</v>
      </c>
      <c r="K28" s="95">
        <f>IFERROR((G28*(G28*(1-G28)/(H28^2)-1)), "")</f>
        <v>1.0200000000000014</v>
      </c>
      <c r="L28" s="95">
        <f>IFERROR(K28*(1-G28)/G28, "")</f>
        <v>2.0816326530612293E-2</v>
      </c>
      <c r="M28" s="95">
        <f>BETAINV(p_lower,K28,L28)</f>
        <v>0.7112144755253601</v>
      </c>
      <c r="N28" s="95">
        <f>BETAINV(p_upper,K28,L28)</f>
        <v>1</v>
      </c>
      <c r="O28" s="25">
        <v>1</v>
      </c>
      <c r="P28" s="95">
        <f>CHOOSE(O28,G28,M28,N28)</f>
        <v>0.98</v>
      </c>
      <c r="Q28" s="1"/>
      <c r="R28" s="1"/>
      <c r="S28" s="1"/>
      <c r="T28" s="1"/>
      <c r="U28" s="1"/>
      <c r="V28" s="1"/>
      <c r="W28" s="1"/>
      <c r="X28" s="1"/>
      <c r="Y28" s="9"/>
    </row>
    <row r="29" spans="4:25" x14ac:dyDescent="0.25">
      <c r="D29" s="3"/>
      <c r="E29" s="1" t="s">
        <v>74</v>
      </c>
      <c r="F29" s="27" t="s">
        <v>50</v>
      </c>
      <c r="G29" s="90">
        <v>0.56000000000000005</v>
      </c>
      <c r="H29" s="25">
        <f>G29*p_se</f>
        <v>5.6000000000000008E-2</v>
      </c>
      <c r="I29" s="97" t="s">
        <v>26</v>
      </c>
      <c r="J29" s="25" t="s">
        <v>16</v>
      </c>
      <c r="K29" s="95">
        <f>IFERROR((G29*(G29*(1-G29)/(H29^2)-1)), "")</f>
        <v>43.439999999999991</v>
      </c>
      <c r="L29" s="95">
        <f>IFERROR(K29*(1-G29)/G29, "")</f>
        <v>34.131428571428557</v>
      </c>
      <c r="M29" s="95">
        <f>BETAINV(p_lower,K29,L29)</f>
        <v>0.44908935959673879</v>
      </c>
      <c r="N29" s="95">
        <f>BETAINV(p_upper,K29,L29)</f>
        <v>0.66797858638814511</v>
      </c>
      <c r="O29" s="25">
        <v>1</v>
      </c>
      <c r="P29" s="95">
        <f>CHOOSE(O29,G29,M29,N29)</f>
        <v>0.56000000000000005</v>
      </c>
      <c r="Q29" s="1"/>
      <c r="R29" s="1"/>
      <c r="S29" s="1"/>
      <c r="T29" s="1"/>
      <c r="U29" s="1"/>
      <c r="V29" s="1"/>
      <c r="W29" s="1"/>
      <c r="X29" s="1"/>
      <c r="Y29" s="9"/>
    </row>
    <row r="30" spans="4:25" x14ac:dyDescent="0.25">
      <c r="D30" s="3"/>
      <c r="E30" s="1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1"/>
      <c r="R30" s="1"/>
      <c r="S30" s="1"/>
      <c r="T30" s="1"/>
      <c r="U30" s="1"/>
      <c r="V30" s="1"/>
      <c r="W30" s="1"/>
      <c r="X30" s="1"/>
      <c r="Y30" s="9"/>
    </row>
    <row r="31" spans="4:25" x14ac:dyDescent="0.25">
      <c r="D31" s="3"/>
      <c r="E31" s="1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1"/>
      <c r="R31" s="1"/>
      <c r="S31" s="1"/>
      <c r="T31" s="1"/>
      <c r="U31" s="1"/>
      <c r="V31" s="1"/>
      <c r="W31" s="1"/>
      <c r="X31" s="1"/>
      <c r="Y31" s="9"/>
    </row>
    <row r="32" spans="4:25" x14ac:dyDescent="0.25">
      <c r="D32" s="3"/>
      <c r="E32" s="1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1"/>
      <c r="R32" s="1"/>
      <c r="S32" s="1"/>
      <c r="T32" s="1"/>
      <c r="U32" s="1"/>
      <c r="V32" s="1"/>
      <c r="W32" s="1"/>
      <c r="X32" s="1"/>
      <c r="Y32" s="9"/>
    </row>
    <row r="33" spans="4:25" x14ac:dyDescent="0.25">
      <c r="D33" s="3"/>
      <c r="E33" s="1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1"/>
      <c r="R33" s="1"/>
      <c r="S33" s="1"/>
      <c r="T33" s="1"/>
      <c r="U33" s="1"/>
      <c r="V33" s="1"/>
      <c r="W33" s="1"/>
      <c r="X33" s="1"/>
      <c r="Y33" s="9"/>
    </row>
    <row r="34" spans="4:25" x14ac:dyDescent="0.25">
      <c r="D34" s="3"/>
      <c r="E34" s="1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1"/>
      <c r="R34" s="1"/>
      <c r="S34" s="1"/>
      <c r="T34" s="1"/>
      <c r="U34" s="1"/>
      <c r="V34" s="1"/>
      <c r="W34" s="1"/>
      <c r="X34" s="1"/>
      <c r="Y34" s="9"/>
    </row>
    <row r="35" spans="4:25" x14ac:dyDescent="0.25">
      <c r="D35" s="3"/>
      <c r="E35" s="1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1"/>
      <c r="R35" s="1"/>
      <c r="S35" s="1"/>
      <c r="T35" s="1"/>
      <c r="U35" s="1"/>
      <c r="V35" s="1"/>
      <c r="W35" s="1"/>
      <c r="X35" s="1"/>
      <c r="Y35" s="9"/>
    </row>
    <row r="36" spans="4:25" x14ac:dyDescent="0.25">
      <c r="D36" s="3"/>
      <c r="E36" s="1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1"/>
      <c r="R36" s="1"/>
      <c r="S36" s="1"/>
      <c r="T36" s="1"/>
      <c r="U36" s="1"/>
      <c r="V36" s="1"/>
      <c r="W36" s="1"/>
      <c r="X36" s="1"/>
      <c r="Y36" s="9"/>
    </row>
    <row r="37" spans="4:25" x14ac:dyDescent="0.25">
      <c r="D37" s="3"/>
      <c r="E37" s="1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1"/>
      <c r="R37" s="1"/>
      <c r="S37" s="1"/>
      <c r="T37" s="1"/>
      <c r="U37" s="1"/>
      <c r="V37" s="1"/>
      <c r="W37" s="1"/>
      <c r="X37" s="1"/>
      <c r="Y37" s="9"/>
    </row>
    <row r="38" spans="4:25" x14ac:dyDescent="0.25">
      <c r="D38" s="3"/>
      <c r="E38" s="1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1"/>
      <c r="R38" s="1"/>
      <c r="S38" s="1"/>
      <c r="T38" s="1"/>
      <c r="U38" s="1"/>
      <c r="V38" s="1"/>
      <c r="W38" s="1"/>
      <c r="X38" s="1"/>
      <c r="Y38" s="9"/>
    </row>
    <row r="39" spans="4:25" x14ac:dyDescent="0.25">
      <c r="D39" s="3"/>
      <c r="E39" s="1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1"/>
      <c r="R39" s="1"/>
      <c r="S39" s="1"/>
      <c r="T39" s="1"/>
      <c r="U39" s="1"/>
      <c r="V39" s="1"/>
      <c r="W39" s="1"/>
      <c r="X39" s="1"/>
      <c r="Y39" s="9"/>
    </row>
    <row r="40" spans="4:25" x14ac:dyDescent="0.25">
      <c r="D40" s="3"/>
      <c r="E40" s="1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1"/>
      <c r="R40" s="1"/>
      <c r="S40" s="1"/>
      <c r="T40" s="1"/>
      <c r="U40" s="1"/>
      <c r="V40" s="1"/>
      <c r="W40" s="1"/>
      <c r="X40" s="1"/>
      <c r="Y40" s="9"/>
    </row>
    <row r="41" spans="4:25" x14ac:dyDescent="0.25">
      <c r="D41" s="3"/>
      <c r="E41" s="1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1"/>
      <c r="R41" s="1"/>
      <c r="S41" s="1"/>
      <c r="T41" s="1"/>
      <c r="U41" s="1"/>
      <c r="V41" s="1"/>
      <c r="W41" s="1"/>
      <c r="X41" s="1"/>
      <c r="Y41" s="9"/>
    </row>
    <row r="42" spans="4:25" x14ac:dyDescent="0.25">
      <c r="D42" s="3"/>
      <c r="E42" s="1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1"/>
      <c r="R42" s="1"/>
      <c r="S42" s="1"/>
      <c r="T42" s="1"/>
      <c r="U42" s="1"/>
      <c r="V42" s="1"/>
      <c r="W42" s="1"/>
      <c r="X42" s="1"/>
      <c r="Y42" s="9"/>
    </row>
    <row r="43" spans="4:25" x14ac:dyDescent="0.25">
      <c r="D43" s="3"/>
      <c r="E43" s="1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1"/>
      <c r="R43" s="1"/>
      <c r="S43" s="1"/>
      <c r="T43" s="1"/>
      <c r="U43" s="1"/>
      <c r="V43" s="1"/>
      <c r="W43" s="1"/>
      <c r="X43" s="1"/>
      <c r="Y43" s="9"/>
    </row>
    <row r="44" spans="4:25" x14ac:dyDescent="0.25">
      <c r="D44" s="3"/>
      <c r="E44" s="1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1"/>
      <c r="R44" s="1"/>
      <c r="S44" s="1"/>
      <c r="T44" s="1"/>
      <c r="U44" s="1"/>
      <c r="V44" s="1"/>
      <c r="W44" s="1"/>
      <c r="X44" s="1"/>
      <c r="Y44" s="9"/>
    </row>
    <row r="45" spans="4:25" x14ac:dyDescent="0.25">
      <c r="D45" s="3"/>
      <c r="E45" s="1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1"/>
      <c r="R45" s="1"/>
      <c r="S45" s="1"/>
      <c r="T45" s="1"/>
      <c r="U45" s="1"/>
      <c r="V45" s="1"/>
      <c r="W45" s="1"/>
      <c r="X45" s="1"/>
      <c r="Y45" s="9"/>
    </row>
    <row r="46" spans="4:25" x14ac:dyDescent="0.25">
      <c r="D46" s="3"/>
      <c r="E46" s="1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1"/>
      <c r="R46" s="1"/>
      <c r="S46" s="1"/>
      <c r="T46" s="1"/>
      <c r="U46" s="1"/>
      <c r="V46" s="1"/>
      <c r="W46" s="1"/>
      <c r="X46" s="1"/>
      <c r="Y46" s="9"/>
    </row>
    <row r="47" spans="4:25" x14ac:dyDescent="0.25">
      <c r="D47" s="3"/>
      <c r="E47" s="1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1"/>
      <c r="R47" s="1"/>
      <c r="S47" s="1"/>
      <c r="T47" s="1"/>
      <c r="U47" s="1"/>
      <c r="V47" s="1"/>
      <c r="W47" s="1"/>
      <c r="X47" s="1"/>
      <c r="Y47" s="9"/>
    </row>
    <row r="48" spans="4:25" x14ac:dyDescent="0.25">
      <c r="D48" s="3"/>
      <c r="E48" s="1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1"/>
      <c r="R48" s="1"/>
      <c r="S48" s="1"/>
      <c r="T48" s="1"/>
      <c r="U48" s="1"/>
      <c r="V48" s="1"/>
      <c r="W48" s="1"/>
      <c r="X48" s="1"/>
      <c r="Y48" s="9"/>
    </row>
    <row r="49" spans="4:25" x14ac:dyDescent="0.25">
      <c r="D49" s="3"/>
      <c r="E49" s="1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1"/>
      <c r="R49" s="1"/>
      <c r="S49" s="1"/>
      <c r="T49" s="1"/>
      <c r="U49" s="1"/>
      <c r="V49" s="1"/>
      <c r="W49" s="1"/>
      <c r="X49" s="1"/>
      <c r="Y49" s="9"/>
    </row>
    <row r="50" spans="4:25" x14ac:dyDescent="0.25">
      <c r="D50" s="3"/>
      <c r="E50" s="1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1"/>
      <c r="R50" s="1"/>
      <c r="S50" s="1"/>
      <c r="T50" s="1"/>
      <c r="U50" s="1"/>
      <c r="V50" s="1"/>
      <c r="W50" s="1"/>
      <c r="X50" s="1"/>
      <c r="Y50" s="9"/>
    </row>
    <row r="51" spans="4:25" x14ac:dyDescent="0.25">
      <c r="D51" s="3"/>
      <c r="E51" s="1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1"/>
      <c r="R51" s="1"/>
      <c r="S51" s="1"/>
      <c r="T51" s="1"/>
      <c r="U51" s="1"/>
      <c r="V51" s="1"/>
      <c r="W51" s="1"/>
      <c r="X51" s="1"/>
      <c r="Y51" s="9"/>
    </row>
    <row r="52" spans="4:25" x14ac:dyDescent="0.25">
      <c r="D52" s="3"/>
      <c r="E52" s="1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1"/>
      <c r="R52" s="1"/>
      <c r="S52" s="1"/>
      <c r="T52" s="1"/>
      <c r="U52" s="1"/>
      <c r="V52" s="1"/>
      <c r="W52" s="1"/>
      <c r="X52" s="1"/>
      <c r="Y52" s="9"/>
    </row>
    <row r="53" spans="4:25" x14ac:dyDescent="0.25">
      <c r="D53" s="3"/>
      <c r="E53" s="1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1"/>
      <c r="R53" s="1"/>
      <c r="S53" s="1"/>
      <c r="T53" s="1"/>
      <c r="U53" s="1"/>
      <c r="V53" s="1"/>
      <c r="W53" s="1"/>
      <c r="X53" s="1"/>
      <c r="Y53" s="9"/>
    </row>
    <row r="54" spans="4:25" x14ac:dyDescent="0.25">
      <c r="D54" s="3"/>
      <c r="E54" s="1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1"/>
      <c r="R54" s="1"/>
      <c r="S54" s="1"/>
      <c r="T54" s="1"/>
      <c r="U54" s="1"/>
      <c r="V54" s="1"/>
      <c r="W54" s="1"/>
      <c r="X54" s="1"/>
      <c r="Y54" s="9"/>
    </row>
    <row r="55" spans="4:25" x14ac:dyDescent="0.25">
      <c r="D55" s="3"/>
      <c r="E55" s="1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1"/>
      <c r="R55" s="1"/>
      <c r="S55" s="1"/>
      <c r="T55" s="1"/>
      <c r="U55" s="1"/>
      <c r="V55" s="1"/>
      <c r="W55" s="1"/>
      <c r="X55" s="1"/>
      <c r="Y55" s="9"/>
    </row>
    <row r="56" spans="4:25" x14ac:dyDescent="0.25">
      <c r="D56" s="3"/>
      <c r="E56" s="1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1"/>
      <c r="R56" s="1"/>
      <c r="S56" s="1"/>
      <c r="T56" s="1"/>
      <c r="U56" s="1"/>
      <c r="V56" s="1"/>
      <c r="W56" s="1"/>
      <c r="X56" s="1"/>
      <c r="Y56" s="9"/>
    </row>
    <row r="57" spans="4:25" x14ac:dyDescent="0.25">
      <c r="D57" s="3"/>
      <c r="E57" s="1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1"/>
      <c r="R57" s="1"/>
      <c r="S57" s="1"/>
      <c r="T57" s="1"/>
      <c r="U57" s="1"/>
      <c r="V57" s="1"/>
      <c r="W57" s="1"/>
      <c r="X57" s="1"/>
      <c r="Y57" s="9"/>
    </row>
    <row r="58" spans="4:25" x14ac:dyDescent="0.25">
      <c r="D58" s="3"/>
      <c r="E58" s="1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1"/>
      <c r="R58" s="1"/>
      <c r="S58" s="1"/>
      <c r="T58" s="1"/>
      <c r="U58" s="1"/>
      <c r="V58" s="1"/>
      <c r="W58" s="1"/>
      <c r="X58" s="1"/>
      <c r="Y58" s="9"/>
    </row>
    <row r="59" spans="4:25" x14ac:dyDescent="0.25">
      <c r="D59" s="3"/>
      <c r="E59" s="1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1"/>
      <c r="R59" s="1"/>
      <c r="S59" s="1"/>
      <c r="T59" s="1"/>
      <c r="U59" s="1"/>
      <c r="V59" s="1"/>
      <c r="W59" s="1"/>
      <c r="X59" s="1"/>
      <c r="Y59" s="9"/>
    </row>
    <row r="60" spans="4:25" x14ac:dyDescent="0.25">
      <c r="D60" s="3"/>
      <c r="E60" s="1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1"/>
      <c r="R60" s="1"/>
      <c r="S60" s="1"/>
      <c r="T60" s="1"/>
      <c r="U60" s="1"/>
      <c r="V60" s="1"/>
      <c r="W60" s="1"/>
      <c r="X60" s="1"/>
      <c r="Y60" s="9"/>
    </row>
    <row r="61" spans="4:25" x14ac:dyDescent="0.25">
      <c r="D61" s="3"/>
      <c r="E61" s="1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1"/>
      <c r="R61" s="1"/>
      <c r="S61" s="1"/>
      <c r="T61" s="1"/>
      <c r="U61" s="1"/>
      <c r="V61" s="1"/>
      <c r="W61" s="1"/>
      <c r="X61" s="1"/>
      <c r="Y61" s="9"/>
    </row>
    <row r="62" spans="4:25" x14ac:dyDescent="0.25">
      <c r="D62" s="3"/>
      <c r="E62" s="1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1"/>
      <c r="R62" s="1"/>
      <c r="S62" s="1"/>
      <c r="T62" s="1"/>
      <c r="U62" s="1"/>
      <c r="V62" s="1"/>
      <c r="W62" s="1"/>
      <c r="X62" s="1"/>
      <c r="Y62" s="9"/>
    </row>
    <row r="63" spans="4:25" x14ac:dyDescent="0.25">
      <c r="D63" s="3"/>
      <c r="E63" s="1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1"/>
      <c r="R63" s="1"/>
      <c r="S63" s="1"/>
      <c r="T63" s="1"/>
      <c r="U63" s="1"/>
      <c r="V63" s="1"/>
      <c r="W63" s="1"/>
      <c r="X63" s="1"/>
      <c r="Y63" s="9"/>
    </row>
    <row r="64" spans="4:25" x14ac:dyDescent="0.25">
      <c r="D64" s="3"/>
      <c r="E64" s="1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1"/>
      <c r="R64" s="1"/>
      <c r="S64" s="1"/>
      <c r="T64" s="1"/>
      <c r="U64" s="1"/>
      <c r="V64" s="1"/>
      <c r="W64" s="1"/>
      <c r="X64" s="1"/>
      <c r="Y64" s="9"/>
    </row>
    <row r="65" spans="4:25" x14ac:dyDescent="0.25">
      <c r="D65" s="3"/>
      <c r="E65" s="1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1"/>
      <c r="R65" s="1"/>
      <c r="S65" s="1"/>
      <c r="T65" s="1"/>
      <c r="U65" s="1"/>
      <c r="V65" s="1"/>
      <c r="W65" s="1"/>
      <c r="X65" s="1"/>
      <c r="Y65" s="9"/>
    </row>
    <row r="66" spans="4:25" x14ac:dyDescent="0.25">
      <c r="D66" s="3"/>
      <c r="E66" s="1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1"/>
      <c r="R66" s="1"/>
      <c r="S66" s="1"/>
      <c r="T66" s="1"/>
      <c r="U66" s="1"/>
      <c r="V66" s="1"/>
      <c r="W66" s="1"/>
      <c r="X66" s="1"/>
      <c r="Y66" s="9"/>
    </row>
    <row r="67" spans="4:25" x14ac:dyDescent="0.25">
      <c r="D67" s="3"/>
      <c r="E67" s="1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1"/>
      <c r="R67" s="1"/>
      <c r="S67" s="1"/>
      <c r="T67" s="1"/>
      <c r="U67" s="1"/>
      <c r="V67" s="1"/>
      <c r="W67" s="1"/>
      <c r="X67" s="1"/>
      <c r="Y67" s="9"/>
    </row>
    <row r="68" spans="4:25" x14ac:dyDescent="0.25">
      <c r="D68" s="3"/>
      <c r="E68" s="1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1"/>
      <c r="R68" s="1"/>
      <c r="S68" s="1"/>
      <c r="T68" s="1"/>
      <c r="U68" s="1"/>
      <c r="V68" s="1"/>
      <c r="W68" s="1"/>
      <c r="X68" s="1"/>
      <c r="Y68" s="9"/>
    </row>
    <row r="69" spans="4:25" x14ac:dyDescent="0.25">
      <c r="D69" s="3"/>
      <c r="E69" s="1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1"/>
      <c r="R69" s="1"/>
      <c r="S69" s="1"/>
      <c r="T69" s="1"/>
      <c r="U69" s="1"/>
      <c r="V69" s="1"/>
      <c r="W69" s="1"/>
      <c r="X69" s="1"/>
      <c r="Y69" s="9"/>
    </row>
    <row r="70" spans="4:25" x14ac:dyDescent="0.25">
      <c r="D70" s="3"/>
      <c r="E70" s="1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1"/>
      <c r="R70" s="1"/>
      <c r="S70" s="1"/>
      <c r="T70" s="1"/>
      <c r="U70" s="1"/>
      <c r="V70" s="1"/>
      <c r="W70" s="1"/>
      <c r="X70" s="1"/>
      <c r="Y70" s="9"/>
    </row>
    <row r="71" spans="4:25" x14ac:dyDescent="0.25">
      <c r="D71" s="3"/>
      <c r="E71" s="1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1"/>
      <c r="R71" s="1"/>
      <c r="S71" s="1"/>
      <c r="T71" s="1"/>
      <c r="U71" s="1"/>
      <c r="V71" s="1"/>
      <c r="W71" s="1"/>
      <c r="X71" s="1"/>
      <c r="Y71" s="9"/>
    </row>
    <row r="72" spans="4:25" x14ac:dyDescent="0.25">
      <c r="D72" s="3"/>
      <c r="E72" s="1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1"/>
      <c r="R72" s="1"/>
      <c r="S72" s="1"/>
      <c r="T72" s="1"/>
      <c r="U72" s="1"/>
      <c r="V72" s="1"/>
      <c r="W72" s="1"/>
      <c r="X72" s="1"/>
      <c r="Y72" s="9"/>
    </row>
    <row r="73" spans="4:25" x14ac:dyDescent="0.25">
      <c r="D73" s="3"/>
      <c r="E73" s="1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1"/>
      <c r="R73" s="1"/>
      <c r="S73" s="1"/>
      <c r="T73" s="1"/>
      <c r="U73" s="1"/>
      <c r="V73" s="1"/>
      <c r="W73" s="1"/>
      <c r="X73" s="1"/>
      <c r="Y73" s="9"/>
    </row>
    <row r="74" spans="4:25" x14ac:dyDescent="0.25">
      <c r="D74" s="3"/>
      <c r="E74" s="1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1"/>
      <c r="R74" s="1"/>
      <c r="S74" s="1"/>
      <c r="T74" s="1"/>
      <c r="U74" s="1"/>
      <c r="V74" s="1"/>
      <c r="W74" s="1"/>
      <c r="X74" s="1"/>
      <c r="Y74" s="9"/>
    </row>
    <row r="75" spans="4:25" x14ac:dyDescent="0.25">
      <c r="D75" s="3"/>
      <c r="E75" s="1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1"/>
      <c r="R75" s="1"/>
      <c r="S75" s="1"/>
      <c r="T75" s="1"/>
      <c r="U75" s="1"/>
      <c r="V75" s="1"/>
      <c r="W75" s="1"/>
      <c r="X75" s="1"/>
      <c r="Y75" s="9"/>
    </row>
    <row r="76" spans="4:25" x14ac:dyDescent="0.25">
      <c r="D76" s="3"/>
      <c r="E76" s="1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1"/>
      <c r="R76" s="1"/>
      <c r="S76" s="1"/>
      <c r="T76" s="1"/>
      <c r="U76" s="1"/>
      <c r="V76" s="1"/>
      <c r="W76" s="1"/>
      <c r="X76" s="1"/>
      <c r="Y76" s="9"/>
    </row>
    <row r="77" spans="4:25" x14ac:dyDescent="0.25">
      <c r="D77" s="3"/>
      <c r="E77" s="1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1"/>
      <c r="R77" s="1"/>
      <c r="S77" s="1"/>
      <c r="T77" s="1"/>
      <c r="U77" s="1"/>
      <c r="V77" s="1"/>
      <c r="W77" s="1"/>
      <c r="X77" s="1"/>
      <c r="Y77" s="9"/>
    </row>
    <row r="78" spans="4:25" x14ac:dyDescent="0.25">
      <c r="D78" s="3"/>
      <c r="E78" s="1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1"/>
      <c r="R78" s="1"/>
      <c r="S78" s="1"/>
      <c r="T78" s="1"/>
      <c r="U78" s="1"/>
      <c r="V78" s="1"/>
      <c r="W78" s="1"/>
      <c r="X78" s="1"/>
      <c r="Y78" s="9"/>
    </row>
    <row r="79" spans="4:25" x14ac:dyDescent="0.25">
      <c r="D79" s="3"/>
      <c r="E79" s="1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1"/>
      <c r="R79" s="1"/>
      <c r="S79" s="1"/>
      <c r="T79" s="1"/>
      <c r="U79" s="1"/>
      <c r="V79" s="1"/>
      <c r="W79" s="1"/>
      <c r="X79" s="1"/>
      <c r="Y79" s="9"/>
    </row>
    <row r="80" spans="4:25" x14ac:dyDescent="0.25">
      <c r="D80" s="3"/>
      <c r="E80" s="1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1"/>
      <c r="R80" s="1"/>
      <c r="S80" s="1"/>
      <c r="T80" s="1"/>
      <c r="U80" s="1"/>
      <c r="V80" s="1"/>
      <c r="W80" s="1"/>
      <c r="X80" s="1"/>
      <c r="Y80" s="9"/>
    </row>
    <row r="81" spans="4:25" x14ac:dyDescent="0.25">
      <c r="D81" s="3"/>
      <c r="E81" s="1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1"/>
      <c r="R81" s="1"/>
      <c r="S81" s="1"/>
      <c r="T81" s="1"/>
      <c r="U81" s="1"/>
      <c r="V81" s="1"/>
      <c r="W81" s="1"/>
      <c r="X81" s="1"/>
      <c r="Y81" s="9"/>
    </row>
    <row r="82" spans="4:25" x14ac:dyDescent="0.25">
      <c r="D82" s="3"/>
      <c r="E82" s="1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1"/>
      <c r="R82" s="1"/>
      <c r="S82" s="1"/>
      <c r="T82" s="1"/>
      <c r="U82" s="1"/>
      <c r="V82" s="1"/>
      <c r="W82" s="1"/>
      <c r="X82" s="1"/>
      <c r="Y82" s="9"/>
    </row>
    <row r="83" spans="4:25" x14ac:dyDescent="0.25">
      <c r="D83" s="3"/>
      <c r="E83" s="1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1"/>
      <c r="R83" s="1"/>
      <c r="S83" s="1"/>
      <c r="T83" s="1"/>
      <c r="U83" s="1"/>
      <c r="V83" s="1"/>
      <c r="W83" s="1"/>
      <c r="X83" s="1"/>
      <c r="Y83" s="9"/>
    </row>
    <row r="84" spans="4:25" x14ac:dyDescent="0.25">
      <c r="D84" s="6"/>
      <c r="E84" s="7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7"/>
      <c r="R84" s="7"/>
      <c r="S84" s="7"/>
      <c r="T84" s="7"/>
      <c r="U84" s="7"/>
      <c r="V84" s="7"/>
      <c r="W84" s="7"/>
      <c r="X84" s="7"/>
      <c r="Y84" s="10"/>
    </row>
  </sheetData>
  <mergeCells count="1">
    <mergeCell ref="Q16:Q21"/>
  </mergeCell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C884F9-CC43-41FF-A934-766E5CD0A55E}">
          <x14:formula1>
            <xm:f>List!$D$3:$D$4</xm:f>
          </x14:formula1>
          <xm:sqref>I16:I29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8A852-8BF4-41B6-B970-D1922ACFD553}">
  <sheetPr codeName="Sheet5">
    <tabColor theme="2" tint="-9.9978637043366805E-2"/>
  </sheetPr>
  <dimension ref="B1:MB80"/>
  <sheetViews>
    <sheetView showGridLines="0" topLeftCell="B1" zoomScaleNormal="100" workbookViewId="0">
      <selection activeCell="J32" sqref="J32"/>
    </sheetView>
  </sheetViews>
  <sheetFormatPr defaultRowHeight="15" x14ac:dyDescent="0.25"/>
  <cols>
    <col min="1" max="1" width="0" hidden="1" customWidth="1"/>
    <col min="2" max="4" width="9.140625" style="2"/>
    <col min="5" max="5" width="11" style="39" bestFit="1" customWidth="1"/>
    <col min="6" max="6" width="12" style="39" customWidth="1"/>
    <col min="7" max="8" width="17.85546875" style="39" customWidth="1"/>
    <col min="9" max="9" width="18.85546875" style="39" bestFit="1" customWidth="1"/>
    <col min="10" max="10" width="23.5703125" style="39" customWidth="1"/>
    <col min="11" max="11" width="21.140625" style="45" customWidth="1"/>
    <col min="12" max="12" width="9.140625" style="39"/>
    <col min="13" max="13" width="18.85546875" style="39" bestFit="1" customWidth="1"/>
    <col min="14" max="14" width="25.28515625" style="39" bestFit="1" customWidth="1"/>
    <col min="15" max="15" width="21.140625" style="45" customWidth="1"/>
    <col min="16" max="23" width="9.140625" style="39"/>
    <col min="24" max="340" width="9.140625" style="2"/>
  </cols>
  <sheetData>
    <row r="1" spans="4:25" s="1" customFormat="1" x14ac:dyDescent="0.25">
      <c r="E1" s="25"/>
      <c r="F1" s="25"/>
      <c r="G1" s="25"/>
      <c r="H1" s="25"/>
      <c r="I1" s="25"/>
      <c r="J1" s="25"/>
      <c r="K1" s="41"/>
      <c r="L1" s="25"/>
      <c r="M1" s="25"/>
      <c r="N1" s="25"/>
      <c r="O1" s="41"/>
      <c r="P1" s="25"/>
      <c r="Q1" s="25"/>
      <c r="R1" s="25"/>
      <c r="S1" s="25"/>
      <c r="T1" s="25"/>
      <c r="U1" s="25"/>
      <c r="V1" s="25"/>
      <c r="W1" s="25"/>
    </row>
    <row r="2" spans="4:25" s="1" customFormat="1" ht="26.25" x14ac:dyDescent="0.25">
      <c r="E2" s="25"/>
      <c r="F2" s="25"/>
      <c r="G2" s="25"/>
      <c r="H2" s="60" t="s">
        <v>0</v>
      </c>
      <c r="I2" s="25"/>
      <c r="J2" s="25"/>
      <c r="K2" s="41"/>
      <c r="L2" s="25"/>
      <c r="M2" s="25"/>
      <c r="N2" s="25"/>
      <c r="O2" s="41"/>
      <c r="P2" s="25"/>
      <c r="Q2" s="25"/>
      <c r="R2" s="25"/>
      <c r="S2" s="25"/>
      <c r="T2" s="25"/>
      <c r="U2" s="25"/>
      <c r="V2" s="25"/>
      <c r="W2" s="25"/>
    </row>
    <row r="3" spans="4:25" s="1" customFormat="1" x14ac:dyDescent="0.25">
      <c r="E3" s="25"/>
      <c r="F3" s="25"/>
      <c r="G3" s="25"/>
      <c r="H3" s="25"/>
      <c r="I3" s="25"/>
      <c r="J3" s="25"/>
      <c r="K3" s="41"/>
      <c r="L3" s="25"/>
      <c r="M3" s="25"/>
      <c r="N3" s="25"/>
      <c r="O3" s="41"/>
      <c r="P3" s="25"/>
      <c r="Q3" s="25"/>
      <c r="R3" s="25"/>
      <c r="S3" s="25"/>
      <c r="T3" s="25"/>
      <c r="U3" s="25"/>
      <c r="V3" s="25"/>
      <c r="W3" s="25"/>
    </row>
    <row r="4" spans="4:25" s="11" customFormat="1" ht="4.5" customHeight="1" x14ac:dyDescent="0.25">
      <c r="E4" s="35"/>
      <c r="F4" s="35"/>
      <c r="G4" s="35"/>
      <c r="H4" s="35"/>
      <c r="I4" s="35"/>
      <c r="J4" s="35"/>
      <c r="K4" s="42"/>
      <c r="L4" s="35"/>
      <c r="M4" s="35"/>
      <c r="N4" s="35"/>
      <c r="O4" s="42"/>
      <c r="P4" s="35"/>
      <c r="Q4" s="35"/>
      <c r="R4" s="35"/>
      <c r="S4" s="35"/>
      <c r="T4" s="35"/>
      <c r="U4" s="35"/>
      <c r="V4" s="35"/>
      <c r="W4" s="35"/>
    </row>
    <row r="5" spans="4:25" s="12" customFormat="1" ht="4.5" customHeight="1" x14ac:dyDescent="0.25">
      <c r="E5" s="36"/>
      <c r="F5" s="36"/>
      <c r="G5" s="36"/>
      <c r="H5" s="36"/>
      <c r="I5" s="36"/>
      <c r="J5" s="36"/>
      <c r="K5" s="43"/>
      <c r="L5" s="36"/>
      <c r="M5" s="36"/>
      <c r="N5" s="36"/>
      <c r="O5" s="43"/>
      <c r="P5" s="36"/>
      <c r="Q5" s="36"/>
      <c r="R5" s="36"/>
      <c r="S5" s="36"/>
      <c r="T5" s="36"/>
      <c r="U5" s="36"/>
      <c r="V5" s="36"/>
      <c r="W5" s="36"/>
    </row>
    <row r="8" spans="4:25" x14ac:dyDescent="0.25">
      <c r="D8" s="4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5"/>
      <c r="Y8" s="8"/>
    </row>
    <row r="9" spans="4:25" x14ac:dyDescent="0.25">
      <c r="D9" s="3"/>
      <c r="E9" s="38" t="s">
        <v>80</v>
      </c>
      <c r="F9" s="38"/>
      <c r="G9" s="38"/>
      <c r="H9" s="38"/>
      <c r="I9" s="100">
        <f>SUM(I12:I22)</f>
        <v>2742.3019622400002</v>
      </c>
      <c r="J9" s="100">
        <f>SUM(J12:J22)</f>
        <v>6057.6980377599994</v>
      </c>
      <c r="K9" s="100">
        <f>SUM(K12:K22)</f>
        <v>8.0796113735680031</v>
      </c>
      <c r="L9" s="25"/>
      <c r="M9" s="100">
        <f>SUM(M12:M22)</f>
        <v>2577.8225321466234</v>
      </c>
      <c r="N9" s="100">
        <f>SUM(N12:N22)</f>
        <v>5251.0646053566606</v>
      </c>
      <c r="O9" s="100">
        <f>SUM(O12:O22)</f>
        <v>7.2846967687549347</v>
      </c>
      <c r="P9" s="25"/>
      <c r="Q9" s="25"/>
      <c r="R9" s="25"/>
      <c r="S9" s="25"/>
      <c r="T9" s="25"/>
      <c r="U9" s="25"/>
      <c r="V9" s="25"/>
      <c r="W9" s="25"/>
      <c r="X9" s="1"/>
      <c r="Y9" s="9"/>
    </row>
    <row r="10" spans="4:25" ht="45" customHeight="1" x14ac:dyDescent="0.25">
      <c r="D10" s="3"/>
      <c r="E10" s="38"/>
      <c r="F10" s="98" t="s">
        <v>77</v>
      </c>
      <c r="G10" s="84" t="s">
        <v>59</v>
      </c>
      <c r="H10" s="85"/>
      <c r="I10" s="84" t="s">
        <v>76</v>
      </c>
      <c r="J10" s="85"/>
      <c r="K10" s="46" t="s">
        <v>79</v>
      </c>
      <c r="L10" s="25"/>
      <c r="M10" s="84" t="s">
        <v>92</v>
      </c>
      <c r="N10" s="85"/>
      <c r="O10" s="46" t="s">
        <v>78</v>
      </c>
      <c r="P10" s="25"/>
      <c r="Q10" s="25"/>
      <c r="R10" s="25"/>
      <c r="S10" s="25"/>
      <c r="T10" s="25"/>
      <c r="U10" s="25"/>
      <c r="V10" s="25"/>
      <c r="W10" s="25"/>
      <c r="X10" s="1"/>
      <c r="Y10" s="9"/>
    </row>
    <row r="11" spans="4:25" x14ac:dyDescent="0.25">
      <c r="D11" s="3"/>
      <c r="E11" s="38" t="s">
        <v>51</v>
      </c>
      <c r="F11" s="99"/>
      <c r="G11" s="38" t="s">
        <v>88</v>
      </c>
      <c r="H11" s="38" t="s">
        <v>89</v>
      </c>
      <c r="I11" s="38" t="s">
        <v>60</v>
      </c>
      <c r="J11" s="38" t="s">
        <v>61</v>
      </c>
      <c r="K11" s="46"/>
      <c r="L11" s="25"/>
      <c r="M11" s="38" t="s">
        <v>60</v>
      </c>
      <c r="N11" s="38" t="s">
        <v>61</v>
      </c>
      <c r="O11" s="46"/>
      <c r="P11" s="25"/>
      <c r="Q11" s="25"/>
      <c r="R11" s="25"/>
      <c r="S11" s="25"/>
      <c r="T11" s="25"/>
      <c r="U11" s="25"/>
      <c r="V11" s="25"/>
      <c r="W11" s="25"/>
      <c r="X11" s="1"/>
      <c r="Y11" s="9"/>
    </row>
    <row r="12" spans="4:25" x14ac:dyDescent="0.25">
      <c r="D12" s="3"/>
      <c r="E12" s="76">
        <v>0</v>
      </c>
      <c r="F12" s="101">
        <v>1</v>
      </c>
      <c r="G12" s="102">
        <v>1</v>
      </c>
      <c r="H12" s="102">
        <v>0</v>
      </c>
      <c r="I12" s="102">
        <f t="shared" ref="I12:I22" si="0">G12*p_c_A</f>
        <v>600</v>
      </c>
      <c r="J12" s="102">
        <f t="shared" ref="J12:J22" si="1">G12*p_c_h+H12*p_c_s</f>
        <v>200</v>
      </c>
      <c r="K12" s="103">
        <f t="shared" ref="K12:K22" si="2">G12*p_u_h+H12*p_u_s</f>
        <v>0.98</v>
      </c>
      <c r="L12" s="25"/>
      <c r="M12" s="107">
        <f>I12</f>
        <v>600</v>
      </c>
      <c r="N12" s="102">
        <f>J12</f>
        <v>200</v>
      </c>
      <c r="O12" s="103">
        <f>K12</f>
        <v>0.98</v>
      </c>
      <c r="P12" s="25"/>
      <c r="Q12" s="25"/>
      <c r="R12" s="25"/>
      <c r="S12" s="25"/>
      <c r="T12" s="25"/>
      <c r="U12" s="25"/>
      <c r="V12" s="25"/>
      <c r="W12" s="25"/>
      <c r="X12" s="1"/>
      <c r="Y12" s="9"/>
    </row>
    <row r="13" spans="4:25" x14ac:dyDescent="0.25">
      <c r="D13" s="3"/>
      <c r="E13" s="76">
        <v>1</v>
      </c>
      <c r="F13" s="101">
        <v>1</v>
      </c>
      <c r="G13" s="102">
        <f t="shared" ref="G13:G22" si="3">F13*G12*p_hh_A</f>
        <v>0.8</v>
      </c>
      <c r="H13" s="102">
        <f t="shared" ref="H13:H22" si="4">F13*(G12*p_hs_A+H12*p_ss_A)</f>
        <v>0.19999999999999996</v>
      </c>
      <c r="I13" s="102">
        <f t="shared" si="0"/>
        <v>480</v>
      </c>
      <c r="J13" s="102">
        <f t="shared" si="1"/>
        <v>320</v>
      </c>
      <c r="K13" s="103">
        <f t="shared" si="2"/>
        <v>0.89600000000000002</v>
      </c>
      <c r="L13" s="25"/>
      <c r="M13" s="107">
        <f t="shared" ref="M13:M22" si="5">IFERROR(I13/(1+discount_cost)^($E13-1), "")</f>
        <v>480</v>
      </c>
      <c r="N13" s="102">
        <f t="shared" ref="N13:N22" si="6">IFERROR(J13/(1+discount_cost)^($E13-1), "")</f>
        <v>320</v>
      </c>
      <c r="O13" s="103">
        <f t="shared" ref="O13:O22" si="7">IFERROR(K13/(1+discount_healthOutcome)^($E13-1), "")</f>
        <v>0.89600000000000002</v>
      </c>
      <c r="P13" s="25"/>
      <c r="Q13" s="25"/>
      <c r="R13" s="25"/>
      <c r="S13" s="25"/>
      <c r="T13" s="25"/>
      <c r="U13" s="25"/>
      <c r="V13" s="25"/>
      <c r="W13" s="25"/>
      <c r="X13" s="1"/>
      <c r="Y13" s="9"/>
    </row>
    <row r="14" spans="4:25" x14ac:dyDescent="0.25">
      <c r="D14" s="3"/>
      <c r="E14" s="76">
        <v>2</v>
      </c>
      <c r="F14" s="101">
        <v>1</v>
      </c>
      <c r="G14" s="102">
        <f t="shared" si="3"/>
        <v>0.64000000000000012</v>
      </c>
      <c r="H14" s="102">
        <f t="shared" si="4"/>
        <v>0.35999999999999993</v>
      </c>
      <c r="I14" s="102">
        <f t="shared" si="0"/>
        <v>384.00000000000006</v>
      </c>
      <c r="J14" s="102">
        <f t="shared" si="1"/>
        <v>416</v>
      </c>
      <c r="K14" s="103">
        <f t="shared" si="2"/>
        <v>0.82880000000000009</v>
      </c>
      <c r="L14" s="25"/>
      <c r="M14" s="107">
        <f t="shared" si="5"/>
        <v>372.81553398058259</v>
      </c>
      <c r="N14" s="102">
        <f t="shared" si="6"/>
        <v>403.88349514563106</v>
      </c>
      <c r="O14" s="103">
        <f t="shared" si="7"/>
        <v>0.80466019417475732</v>
      </c>
      <c r="P14" s="25"/>
      <c r="Q14" s="25"/>
      <c r="R14" s="25"/>
      <c r="S14" s="25"/>
      <c r="T14" s="25"/>
      <c r="U14" s="25"/>
      <c r="V14" s="25"/>
      <c r="W14" s="25"/>
      <c r="X14" s="1"/>
      <c r="Y14" s="9"/>
    </row>
    <row r="15" spans="4:25" x14ac:dyDescent="0.25">
      <c r="D15" s="3"/>
      <c r="E15" s="76">
        <v>3</v>
      </c>
      <c r="F15" s="101">
        <v>1</v>
      </c>
      <c r="G15" s="102">
        <f t="shared" si="3"/>
        <v>0.51200000000000012</v>
      </c>
      <c r="H15" s="102">
        <f t="shared" si="4"/>
        <v>0.48799999999999993</v>
      </c>
      <c r="I15" s="102">
        <f t="shared" si="0"/>
        <v>307.20000000000005</v>
      </c>
      <c r="J15" s="102">
        <f t="shared" si="1"/>
        <v>492.79999999999995</v>
      </c>
      <c r="K15" s="103">
        <f t="shared" si="2"/>
        <v>0.77504000000000006</v>
      </c>
      <c r="L15" s="25"/>
      <c r="M15" s="107">
        <f t="shared" si="5"/>
        <v>289.56546328588939</v>
      </c>
      <c r="N15" s="102">
        <f t="shared" si="6"/>
        <v>464.51126402111413</v>
      </c>
      <c r="O15" s="103">
        <f t="shared" si="7"/>
        <v>0.73054953341502504</v>
      </c>
      <c r="P15" s="25"/>
      <c r="Q15" s="25"/>
      <c r="R15" s="25"/>
      <c r="S15" s="25"/>
      <c r="T15" s="25"/>
      <c r="U15" s="25"/>
      <c r="V15" s="25"/>
      <c r="W15" s="25"/>
      <c r="X15" s="1"/>
      <c r="Y15" s="9"/>
    </row>
    <row r="16" spans="4:25" x14ac:dyDescent="0.25">
      <c r="D16" s="3"/>
      <c r="E16" s="76">
        <v>4</v>
      </c>
      <c r="F16" s="101">
        <v>1</v>
      </c>
      <c r="G16" s="102">
        <f t="shared" si="3"/>
        <v>0.40960000000000013</v>
      </c>
      <c r="H16" s="102">
        <f t="shared" si="4"/>
        <v>0.59039999999999992</v>
      </c>
      <c r="I16" s="102">
        <f t="shared" si="0"/>
        <v>245.76000000000008</v>
      </c>
      <c r="J16" s="102">
        <f t="shared" si="1"/>
        <v>554.24</v>
      </c>
      <c r="K16" s="103">
        <f t="shared" si="2"/>
        <v>0.73203200000000002</v>
      </c>
      <c r="L16" s="25"/>
      <c r="M16" s="107">
        <f t="shared" si="5"/>
        <v>224.90521420263258</v>
      </c>
      <c r="N16" s="102">
        <f t="shared" si="6"/>
        <v>507.20811327989514</v>
      </c>
      <c r="O16" s="103">
        <f t="shared" si="7"/>
        <v>0.66991297917961212</v>
      </c>
      <c r="P16" s="25"/>
      <c r="Q16" s="25"/>
      <c r="R16" s="25"/>
      <c r="S16" s="25"/>
      <c r="T16" s="25"/>
      <c r="U16" s="25"/>
      <c r="V16" s="25"/>
      <c r="W16" s="25"/>
      <c r="X16" s="1"/>
      <c r="Y16" s="9"/>
    </row>
    <row r="17" spans="4:25" x14ac:dyDescent="0.25">
      <c r="D17" s="3"/>
      <c r="E17" s="76">
        <v>5</v>
      </c>
      <c r="F17" s="101">
        <v>1</v>
      </c>
      <c r="G17" s="102">
        <f t="shared" si="3"/>
        <v>0.32768000000000014</v>
      </c>
      <c r="H17" s="102">
        <f t="shared" si="4"/>
        <v>0.67231999999999992</v>
      </c>
      <c r="I17" s="102">
        <f t="shared" si="0"/>
        <v>196.60800000000009</v>
      </c>
      <c r="J17" s="102">
        <f t="shared" si="1"/>
        <v>603.39199999999994</v>
      </c>
      <c r="K17" s="103">
        <f t="shared" si="2"/>
        <v>0.69762560000000007</v>
      </c>
      <c r="L17" s="25"/>
      <c r="M17" s="107">
        <f t="shared" si="5"/>
        <v>174.68366151660786</v>
      </c>
      <c r="N17" s="102">
        <f t="shared" si="6"/>
        <v>536.10597681594334</v>
      </c>
      <c r="O17" s="103">
        <f t="shared" si="7"/>
        <v>0.61983130989441138</v>
      </c>
      <c r="P17" s="25"/>
      <c r="Q17" s="25"/>
      <c r="R17" s="25"/>
      <c r="S17" s="25"/>
      <c r="T17" s="25"/>
      <c r="U17" s="25"/>
      <c r="V17" s="25"/>
      <c r="W17" s="25"/>
      <c r="X17" s="1"/>
      <c r="Y17" s="9"/>
    </row>
    <row r="18" spans="4:25" x14ac:dyDescent="0.25">
      <c r="D18" s="3"/>
      <c r="E18" s="76">
        <v>6</v>
      </c>
      <c r="F18" s="101">
        <v>1</v>
      </c>
      <c r="G18" s="102">
        <f t="shared" si="3"/>
        <v>0.2621440000000001</v>
      </c>
      <c r="H18" s="102">
        <f t="shared" si="4"/>
        <v>0.73785599999999996</v>
      </c>
      <c r="I18" s="102">
        <f t="shared" si="0"/>
        <v>157.28640000000007</v>
      </c>
      <c r="J18" s="102">
        <f t="shared" si="1"/>
        <v>642.71360000000004</v>
      </c>
      <c r="K18" s="103">
        <f t="shared" si="2"/>
        <v>0.67010048000000011</v>
      </c>
      <c r="L18" s="25"/>
      <c r="M18" s="107">
        <f t="shared" si="5"/>
        <v>135.67663030416145</v>
      </c>
      <c r="N18" s="102">
        <f t="shared" si="6"/>
        <v>554.41039720316996</v>
      </c>
      <c r="O18" s="103">
        <f t="shared" si="7"/>
        <v>0.57803456046804491</v>
      </c>
      <c r="P18" s="25"/>
      <c r="Q18" s="25"/>
      <c r="R18" s="25"/>
      <c r="S18" s="25"/>
      <c r="T18" s="25"/>
      <c r="U18" s="25"/>
      <c r="V18" s="25"/>
      <c r="W18" s="25"/>
      <c r="X18" s="1"/>
      <c r="Y18" s="9"/>
    </row>
    <row r="19" spans="4:25" x14ac:dyDescent="0.25">
      <c r="D19" s="3"/>
      <c r="E19" s="76">
        <v>7</v>
      </c>
      <c r="F19" s="101">
        <v>1</v>
      </c>
      <c r="G19" s="102">
        <f t="shared" si="3"/>
        <v>0.2097152000000001</v>
      </c>
      <c r="H19" s="102">
        <f t="shared" si="4"/>
        <v>0.79028480000000001</v>
      </c>
      <c r="I19" s="102">
        <f t="shared" si="0"/>
        <v>125.82912000000006</v>
      </c>
      <c r="J19" s="102">
        <f t="shared" si="1"/>
        <v>674.17088000000001</v>
      </c>
      <c r="K19" s="103">
        <f t="shared" si="2"/>
        <v>0.64808038400000012</v>
      </c>
      <c r="L19" s="25"/>
      <c r="M19" s="107">
        <f t="shared" si="5"/>
        <v>105.3799070323584</v>
      </c>
      <c r="N19" s="102">
        <f t="shared" si="6"/>
        <v>564.60749831456519</v>
      </c>
      <c r="O19" s="103">
        <f t="shared" si="7"/>
        <v>0.54275711866549747</v>
      </c>
      <c r="P19" s="25"/>
      <c r="Q19" s="25"/>
      <c r="R19" s="25"/>
      <c r="S19" s="25"/>
      <c r="T19" s="25"/>
      <c r="U19" s="25"/>
      <c r="V19" s="25"/>
      <c r="W19" s="25"/>
      <c r="X19" s="1"/>
      <c r="Y19" s="9"/>
    </row>
    <row r="20" spans="4:25" x14ac:dyDescent="0.25">
      <c r="D20" s="3"/>
      <c r="E20" s="76">
        <v>8</v>
      </c>
      <c r="F20" s="101">
        <v>1</v>
      </c>
      <c r="G20" s="102">
        <f t="shared" si="3"/>
        <v>0.16777216000000009</v>
      </c>
      <c r="H20" s="102">
        <f t="shared" si="4"/>
        <v>0.83222784000000005</v>
      </c>
      <c r="I20" s="102">
        <f t="shared" si="0"/>
        <v>100.66329600000005</v>
      </c>
      <c r="J20" s="102">
        <f t="shared" si="1"/>
        <v>699.33670400000005</v>
      </c>
      <c r="K20" s="103">
        <f t="shared" si="2"/>
        <v>0.63046430720000024</v>
      </c>
      <c r="L20" s="25"/>
      <c r="M20" s="107">
        <f t="shared" si="5"/>
        <v>81.848471481443411</v>
      </c>
      <c r="N20" s="102">
        <f t="shared" si="6"/>
        <v>568.62473759323962</v>
      </c>
      <c r="O20" s="103">
        <f t="shared" si="7"/>
        <v>0.51262517638928862</v>
      </c>
      <c r="P20" s="25"/>
      <c r="Q20" s="25"/>
      <c r="R20" s="25"/>
      <c r="S20" s="25"/>
      <c r="T20" s="25"/>
      <c r="U20" s="25"/>
      <c r="V20" s="25"/>
      <c r="W20" s="25"/>
      <c r="X20" s="1"/>
      <c r="Y20" s="9"/>
    </row>
    <row r="21" spans="4:25" x14ac:dyDescent="0.25">
      <c r="D21" s="3"/>
      <c r="E21" s="76">
        <v>9</v>
      </c>
      <c r="F21" s="101">
        <v>1</v>
      </c>
      <c r="G21" s="102">
        <f t="shared" si="3"/>
        <v>0.13421772800000006</v>
      </c>
      <c r="H21" s="102">
        <f t="shared" si="4"/>
        <v>0.86578227200000002</v>
      </c>
      <c r="I21" s="102">
        <f t="shared" si="0"/>
        <v>80.530636800000039</v>
      </c>
      <c r="J21" s="102">
        <f t="shared" si="1"/>
        <v>719.46936319999998</v>
      </c>
      <c r="K21" s="103">
        <f t="shared" si="2"/>
        <v>0.61637144576000014</v>
      </c>
      <c r="L21" s="25"/>
      <c r="M21" s="107">
        <f t="shared" si="5"/>
        <v>63.571628335101693</v>
      </c>
      <c r="N21" s="102">
        <f t="shared" si="6"/>
        <v>567.95575911604692</v>
      </c>
      <c r="O21" s="103">
        <f t="shared" si="7"/>
        <v>0.48656931105037532</v>
      </c>
      <c r="P21" s="25"/>
      <c r="Q21" s="25"/>
      <c r="R21" s="25"/>
      <c r="S21" s="25"/>
      <c r="T21" s="25"/>
      <c r="U21" s="25"/>
      <c r="V21" s="25"/>
      <c r="W21" s="25"/>
      <c r="X21" s="1"/>
      <c r="Y21" s="9"/>
    </row>
    <row r="22" spans="4:25" x14ac:dyDescent="0.25">
      <c r="D22" s="3"/>
      <c r="E22" s="62">
        <v>10</v>
      </c>
      <c r="F22" s="104">
        <v>1</v>
      </c>
      <c r="G22" s="105">
        <f t="shared" si="3"/>
        <v>0.10737418240000006</v>
      </c>
      <c r="H22" s="105">
        <f t="shared" si="4"/>
        <v>0.89262581760000004</v>
      </c>
      <c r="I22" s="105">
        <f t="shared" si="0"/>
        <v>64.424509440000037</v>
      </c>
      <c r="J22" s="105">
        <f t="shared" si="1"/>
        <v>735.57549056000005</v>
      </c>
      <c r="K22" s="106">
        <f t="shared" si="2"/>
        <v>0.60509715660800012</v>
      </c>
      <c r="L22" s="25"/>
      <c r="M22" s="108">
        <f t="shared" si="5"/>
        <v>49.376022007845975</v>
      </c>
      <c r="N22" s="105">
        <f t="shared" si="6"/>
        <v>563.75736386705569</v>
      </c>
      <c r="O22" s="106">
        <f t="shared" si="7"/>
        <v>0.46375658551792337</v>
      </c>
      <c r="P22" s="25"/>
      <c r="Q22" s="25"/>
      <c r="R22" s="25"/>
      <c r="S22" s="25"/>
      <c r="T22" s="25"/>
      <c r="U22" s="25"/>
      <c r="V22" s="25"/>
      <c r="W22" s="25"/>
      <c r="X22" s="1"/>
      <c r="Y22" s="9"/>
    </row>
    <row r="23" spans="4:25" x14ac:dyDescent="0.25">
      <c r="D23" s="3"/>
      <c r="E23" s="25"/>
      <c r="F23" s="25"/>
      <c r="G23" s="25"/>
      <c r="H23" s="25"/>
      <c r="I23" s="25"/>
      <c r="J23" s="25"/>
      <c r="K23" s="41"/>
      <c r="L23" s="25"/>
      <c r="M23" s="25"/>
      <c r="N23" s="25"/>
      <c r="O23" s="41"/>
      <c r="P23" s="25"/>
      <c r="Q23" s="25"/>
      <c r="R23" s="25"/>
      <c r="S23" s="25"/>
      <c r="T23" s="25"/>
      <c r="U23" s="25"/>
      <c r="V23" s="25"/>
      <c r="W23" s="25"/>
      <c r="X23" s="1"/>
      <c r="Y23" s="9"/>
    </row>
    <row r="24" spans="4:25" x14ac:dyDescent="0.25">
      <c r="D24" s="3"/>
      <c r="E24" s="25"/>
      <c r="F24" s="25"/>
      <c r="G24" s="25"/>
      <c r="H24" s="25"/>
      <c r="I24" s="25"/>
      <c r="J24" s="25"/>
      <c r="K24" s="41"/>
      <c r="L24" s="25"/>
      <c r="M24" s="25"/>
      <c r="N24" s="25"/>
      <c r="O24" s="41"/>
      <c r="P24" s="25"/>
      <c r="Q24" s="25"/>
      <c r="R24" s="25"/>
      <c r="S24" s="25"/>
      <c r="T24" s="25"/>
      <c r="U24" s="25"/>
      <c r="V24" s="25"/>
      <c r="W24" s="25"/>
      <c r="X24" s="1"/>
      <c r="Y24" s="9"/>
    </row>
    <row r="25" spans="4:25" x14ac:dyDescent="0.25">
      <c r="D25" s="3"/>
      <c r="E25" s="25"/>
      <c r="F25" s="25"/>
      <c r="G25" s="25"/>
      <c r="H25" s="25"/>
      <c r="I25" s="25"/>
      <c r="J25" s="25"/>
      <c r="K25" s="41"/>
      <c r="L25" s="25"/>
      <c r="M25" s="25"/>
      <c r="N25" s="25"/>
      <c r="O25" s="41"/>
      <c r="P25" s="25"/>
      <c r="Q25" s="25"/>
      <c r="R25" s="25"/>
      <c r="S25" s="25"/>
      <c r="T25" s="25"/>
      <c r="U25" s="25"/>
      <c r="V25" s="25"/>
      <c r="W25" s="25"/>
      <c r="X25" s="1"/>
      <c r="Y25" s="9"/>
    </row>
    <row r="26" spans="4:25" x14ac:dyDescent="0.25">
      <c r="D26" s="3"/>
      <c r="E26" s="25"/>
      <c r="F26" s="25"/>
      <c r="G26" s="25"/>
      <c r="H26" s="25"/>
      <c r="I26" s="25"/>
      <c r="J26" s="25"/>
      <c r="K26" s="41"/>
      <c r="L26" s="25"/>
      <c r="M26" s="25"/>
      <c r="N26" s="25"/>
      <c r="O26" s="41"/>
      <c r="P26" s="25"/>
      <c r="Q26" s="25"/>
      <c r="R26" s="25"/>
      <c r="S26" s="25"/>
      <c r="T26" s="25"/>
      <c r="U26" s="25"/>
      <c r="V26" s="25"/>
      <c r="W26" s="25"/>
      <c r="X26" s="1"/>
      <c r="Y26" s="9"/>
    </row>
    <row r="27" spans="4:25" x14ac:dyDescent="0.25">
      <c r="D27" s="3"/>
      <c r="E27" s="25"/>
      <c r="F27" s="25"/>
      <c r="G27" s="25"/>
      <c r="H27" s="25"/>
      <c r="I27" s="25"/>
      <c r="J27" s="25"/>
      <c r="K27" s="41"/>
      <c r="L27" s="25"/>
      <c r="M27" s="25"/>
      <c r="N27" s="25"/>
      <c r="O27" s="41"/>
      <c r="P27" s="25"/>
      <c r="Q27" s="25"/>
      <c r="R27" s="25"/>
      <c r="S27" s="25"/>
      <c r="T27" s="25"/>
      <c r="U27" s="25"/>
      <c r="V27" s="25"/>
      <c r="W27" s="25"/>
      <c r="X27" s="1"/>
      <c r="Y27" s="9"/>
    </row>
    <row r="28" spans="4:25" x14ac:dyDescent="0.25">
      <c r="D28" s="3"/>
      <c r="E28" s="25"/>
      <c r="F28" s="25"/>
      <c r="G28" s="25"/>
      <c r="H28" s="25"/>
      <c r="I28" s="25"/>
      <c r="J28" s="25"/>
      <c r="K28" s="41"/>
      <c r="L28" s="25"/>
      <c r="M28" s="25"/>
      <c r="N28" s="25"/>
      <c r="O28" s="41"/>
      <c r="P28" s="25"/>
      <c r="Q28" s="25"/>
      <c r="R28" s="25"/>
      <c r="S28" s="25"/>
      <c r="T28" s="25"/>
      <c r="U28" s="25"/>
      <c r="V28" s="25"/>
      <c r="W28" s="25"/>
      <c r="X28" s="1"/>
      <c r="Y28" s="9"/>
    </row>
    <row r="29" spans="4:25" x14ac:dyDescent="0.25">
      <c r="D29" s="3"/>
      <c r="E29" s="25"/>
      <c r="F29" s="25"/>
      <c r="G29" s="25"/>
      <c r="H29" s="25"/>
      <c r="I29" s="25"/>
      <c r="J29" s="25"/>
      <c r="K29" s="41"/>
      <c r="L29" s="25"/>
      <c r="M29" s="25"/>
      <c r="N29" s="25"/>
      <c r="O29" s="41"/>
      <c r="P29" s="25"/>
      <c r="Q29" s="25"/>
      <c r="R29" s="25"/>
      <c r="S29" s="25"/>
      <c r="T29" s="25"/>
      <c r="U29" s="25"/>
      <c r="V29" s="25"/>
      <c r="W29" s="25"/>
      <c r="X29" s="1"/>
      <c r="Y29" s="9"/>
    </row>
    <row r="30" spans="4:25" x14ac:dyDescent="0.25">
      <c r="D30" s="3"/>
      <c r="E30" s="25"/>
      <c r="F30" s="25"/>
      <c r="G30" s="25"/>
      <c r="H30" s="25"/>
      <c r="I30" s="25"/>
      <c r="J30" s="25"/>
      <c r="K30" s="41"/>
      <c r="L30" s="25"/>
      <c r="M30" s="25"/>
      <c r="N30" s="25"/>
      <c r="O30" s="41"/>
      <c r="P30" s="25"/>
      <c r="Q30" s="25"/>
      <c r="R30" s="25"/>
      <c r="S30" s="25"/>
      <c r="T30" s="25"/>
      <c r="U30" s="25"/>
      <c r="V30" s="25"/>
      <c r="W30" s="25"/>
      <c r="X30" s="1"/>
      <c r="Y30" s="9"/>
    </row>
    <row r="31" spans="4:25" x14ac:dyDescent="0.25">
      <c r="D31" s="3"/>
      <c r="E31" s="25"/>
      <c r="F31" s="25"/>
      <c r="G31" s="25"/>
      <c r="H31" s="25"/>
      <c r="I31" s="25"/>
      <c r="J31" s="25"/>
      <c r="K31" s="41"/>
      <c r="L31" s="25"/>
      <c r="M31" s="25"/>
      <c r="N31" s="25"/>
      <c r="O31" s="41"/>
      <c r="P31" s="25"/>
      <c r="Q31" s="25"/>
      <c r="R31" s="25"/>
      <c r="S31" s="25"/>
      <c r="T31" s="25"/>
      <c r="U31" s="25"/>
      <c r="V31" s="25"/>
      <c r="W31" s="25"/>
      <c r="X31" s="1"/>
      <c r="Y31" s="9"/>
    </row>
    <row r="32" spans="4:25" x14ac:dyDescent="0.25">
      <c r="D32" s="3"/>
      <c r="E32" s="25"/>
      <c r="F32" s="25"/>
      <c r="G32" s="25"/>
      <c r="H32" s="25"/>
      <c r="I32" s="25"/>
      <c r="J32" s="25"/>
      <c r="K32" s="41"/>
      <c r="L32" s="25"/>
      <c r="M32" s="25"/>
      <c r="N32" s="25"/>
      <c r="O32" s="41"/>
      <c r="P32" s="25"/>
      <c r="Q32" s="25"/>
      <c r="R32" s="25"/>
      <c r="S32" s="25"/>
      <c r="T32" s="25"/>
      <c r="U32" s="25"/>
      <c r="V32" s="25"/>
      <c r="W32" s="25"/>
      <c r="X32" s="1"/>
      <c r="Y32" s="9"/>
    </row>
    <row r="33" spans="4:25" x14ac:dyDescent="0.25">
      <c r="D33" s="3"/>
      <c r="E33" s="25"/>
      <c r="F33" s="25"/>
      <c r="G33" s="25"/>
      <c r="H33" s="25"/>
      <c r="I33" s="25"/>
      <c r="J33" s="25"/>
      <c r="K33" s="41"/>
      <c r="L33" s="25"/>
      <c r="M33" s="25"/>
      <c r="N33" s="25"/>
      <c r="O33" s="41"/>
      <c r="P33" s="25"/>
      <c r="Q33" s="25"/>
      <c r="R33" s="25"/>
      <c r="S33" s="25"/>
      <c r="T33" s="25"/>
      <c r="U33" s="25"/>
      <c r="V33" s="25"/>
      <c r="W33" s="25"/>
      <c r="X33" s="1"/>
      <c r="Y33" s="9"/>
    </row>
    <row r="34" spans="4:25" x14ac:dyDescent="0.25">
      <c r="D34" s="3"/>
      <c r="E34" s="25"/>
      <c r="F34" s="25"/>
      <c r="G34" s="25"/>
      <c r="H34" s="25"/>
      <c r="I34" s="25"/>
      <c r="J34" s="25"/>
      <c r="K34" s="41"/>
      <c r="L34" s="25"/>
      <c r="M34" s="25"/>
      <c r="N34" s="25"/>
      <c r="O34" s="41"/>
      <c r="P34" s="25"/>
      <c r="Q34" s="25"/>
      <c r="R34" s="25"/>
      <c r="S34" s="25"/>
      <c r="T34" s="25"/>
      <c r="U34" s="25"/>
      <c r="V34" s="25"/>
      <c r="W34" s="25"/>
      <c r="X34" s="1"/>
      <c r="Y34" s="9"/>
    </row>
    <row r="35" spans="4:25" x14ac:dyDescent="0.25">
      <c r="D35" s="3"/>
      <c r="E35" s="25"/>
      <c r="F35" s="25"/>
      <c r="G35" s="25"/>
      <c r="H35" s="25"/>
      <c r="I35" s="25"/>
      <c r="J35" s="25"/>
      <c r="K35" s="41"/>
      <c r="L35" s="25"/>
      <c r="M35" s="25"/>
      <c r="N35" s="25"/>
      <c r="O35" s="41"/>
      <c r="P35" s="25"/>
      <c r="Q35" s="25"/>
      <c r="R35" s="25"/>
      <c r="S35" s="25"/>
      <c r="T35" s="25"/>
      <c r="U35" s="25"/>
      <c r="V35" s="25"/>
      <c r="W35" s="25"/>
      <c r="X35" s="1"/>
      <c r="Y35" s="9"/>
    </row>
    <row r="36" spans="4:25" x14ac:dyDescent="0.25">
      <c r="D36" s="3"/>
      <c r="E36" s="25"/>
      <c r="F36" s="25"/>
      <c r="G36" s="25"/>
      <c r="H36" s="25"/>
      <c r="I36" s="25"/>
      <c r="J36" s="25"/>
      <c r="K36" s="41"/>
      <c r="L36" s="25"/>
      <c r="M36" s="25"/>
      <c r="N36" s="25"/>
      <c r="O36" s="41"/>
      <c r="P36" s="25"/>
      <c r="Q36" s="25"/>
      <c r="R36" s="25"/>
      <c r="S36" s="25"/>
      <c r="T36" s="25"/>
      <c r="U36" s="25"/>
      <c r="V36" s="25"/>
      <c r="W36" s="25"/>
      <c r="X36" s="1"/>
      <c r="Y36" s="9"/>
    </row>
    <row r="37" spans="4:25" x14ac:dyDescent="0.25">
      <c r="D37" s="3"/>
      <c r="E37" s="25"/>
      <c r="F37" s="25"/>
      <c r="G37" s="25"/>
      <c r="H37" s="25"/>
      <c r="I37" s="25"/>
      <c r="J37" s="25"/>
      <c r="K37" s="41"/>
      <c r="L37" s="25"/>
      <c r="M37" s="25"/>
      <c r="N37" s="25"/>
      <c r="O37" s="41"/>
      <c r="P37" s="25"/>
      <c r="Q37" s="25"/>
      <c r="R37" s="25"/>
      <c r="S37" s="25"/>
      <c r="T37" s="25"/>
      <c r="U37" s="25"/>
      <c r="V37" s="25"/>
      <c r="W37" s="25"/>
      <c r="X37" s="1"/>
      <c r="Y37" s="9"/>
    </row>
    <row r="38" spans="4:25" x14ac:dyDescent="0.25">
      <c r="D38" s="3"/>
      <c r="E38" s="25"/>
      <c r="F38" s="25"/>
      <c r="G38" s="25"/>
      <c r="H38" s="25"/>
      <c r="I38" s="25"/>
      <c r="J38" s="25"/>
      <c r="K38" s="41"/>
      <c r="L38" s="25"/>
      <c r="M38" s="25"/>
      <c r="N38" s="25"/>
      <c r="O38" s="41"/>
      <c r="P38" s="25"/>
      <c r="Q38" s="25"/>
      <c r="R38" s="25"/>
      <c r="S38" s="25"/>
      <c r="T38" s="25"/>
      <c r="U38" s="25"/>
      <c r="V38" s="25"/>
      <c r="W38" s="25"/>
      <c r="X38" s="1"/>
      <c r="Y38" s="9"/>
    </row>
    <row r="39" spans="4:25" x14ac:dyDescent="0.25">
      <c r="D39" s="3"/>
      <c r="E39" s="25"/>
      <c r="F39" s="25"/>
      <c r="G39" s="25"/>
      <c r="H39" s="25"/>
      <c r="I39" s="25"/>
      <c r="J39" s="25"/>
      <c r="K39" s="41"/>
      <c r="L39" s="25"/>
      <c r="M39" s="25"/>
      <c r="N39" s="25"/>
      <c r="O39" s="41"/>
      <c r="P39" s="25"/>
      <c r="Q39" s="25"/>
      <c r="R39" s="25"/>
      <c r="S39" s="25"/>
      <c r="T39" s="25"/>
      <c r="U39" s="25"/>
      <c r="V39" s="25"/>
      <c r="W39" s="25"/>
      <c r="X39" s="1"/>
      <c r="Y39" s="9"/>
    </row>
    <row r="40" spans="4:25" x14ac:dyDescent="0.25">
      <c r="D40" s="3"/>
      <c r="E40" s="25"/>
      <c r="F40" s="25"/>
      <c r="G40" s="25"/>
      <c r="H40" s="25"/>
      <c r="I40" s="25"/>
      <c r="J40" s="25"/>
      <c r="K40" s="41"/>
      <c r="L40" s="25"/>
      <c r="M40" s="25"/>
      <c r="N40" s="25"/>
      <c r="O40" s="41"/>
      <c r="P40" s="25"/>
      <c r="Q40" s="25"/>
      <c r="R40" s="25"/>
      <c r="S40" s="25"/>
      <c r="T40" s="25"/>
      <c r="U40" s="25"/>
      <c r="V40" s="25"/>
      <c r="W40" s="25"/>
      <c r="X40" s="1"/>
      <c r="Y40" s="9"/>
    </row>
    <row r="41" spans="4:25" x14ac:dyDescent="0.25">
      <c r="D41" s="3"/>
      <c r="E41" s="25"/>
      <c r="F41" s="25"/>
      <c r="G41" s="25"/>
      <c r="H41" s="25"/>
      <c r="I41" s="25"/>
      <c r="J41" s="25"/>
      <c r="K41" s="41"/>
      <c r="L41" s="25"/>
      <c r="M41" s="25"/>
      <c r="N41" s="25"/>
      <c r="O41" s="41"/>
      <c r="P41" s="25"/>
      <c r="Q41" s="25"/>
      <c r="R41" s="25"/>
      <c r="S41" s="25"/>
      <c r="T41" s="25"/>
      <c r="U41" s="25"/>
      <c r="V41" s="25"/>
      <c r="W41" s="25"/>
      <c r="X41" s="1"/>
      <c r="Y41" s="9"/>
    </row>
    <row r="42" spans="4:25" x14ac:dyDescent="0.25">
      <c r="D42" s="3"/>
      <c r="E42" s="25"/>
      <c r="F42" s="25"/>
      <c r="G42" s="25"/>
      <c r="H42" s="25"/>
      <c r="I42" s="25"/>
      <c r="J42" s="25"/>
      <c r="K42" s="41"/>
      <c r="L42" s="25"/>
      <c r="M42" s="25"/>
      <c r="N42" s="25"/>
      <c r="O42" s="41"/>
      <c r="P42" s="25"/>
      <c r="Q42" s="25"/>
      <c r="R42" s="25"/>
      <c r="S42" s="25"/>
      <c r="T42" s="25"/>
      <c r="U42" s="25"/>
      <c r="V42" s="25"/>
      <c r="W42" s="25"/>
      <c r="X42" s="1"/>
      <c r="Y42" s="9"/>
    </row>
    <row r="43" spans="4:25" x14ac:dyDescent="0.25">
      <c r="D43" s="3"/>
      <c r="E43" s="25"/>
      <c r="F43" s="25"/>
      <c r="G43" s="25"/>
      <c r="H43" s="25"/>
      <c r="I43" s="25"/>
      <c r="J43" s="25"/>
      <c r="K43" s="41"/>
      <c r="L43" s="25"/>
      <c r="M43" s="25"/>
      <c r="N43" s="25"/>
      <c r="O43" s="41"/>
      <c r="P43" s="25"/>
      <c r="Q43" s="25"/>
      <c r="R43" s="25"/>
      <c r="S43" s="25"/>
      <c r="T43" s="25"/>
      <c r="U43" s="25"/>
      <c r="V43" s="25"/>
      <c r="W43" s="25"/>
      <c r="X43" s="1"/>
      <c r="Y43" s="9"/>
    </row>
    <row r="44" spans="4:25" x14ac:dyDescent="0.25">
      <c r="D44" s="3"/>
      <c r="E44" s="25"/>
      <c r="F44" s="25"/>
      <c r="G44" s="25"/>
      <c r="H44" s="25"/>
      <c r="I44" s="25"/>
      <c r="J44" s="25"/>
      <c r="K44" s="41"/>
      <c r="L44" s="25"/>
      <c r="M44" s="25"/>
      <c r="N44" s="25"/>
      <c r="O44" s="41"/>
      <c r="P44" s="25"/>
      <c r="Q44" s="25"/>
      <c r="R44" s="25"/>
      <c r="S44" s="25"/>
      <c r="T44" s="25"/>
      <c r="U44" s="25"/>
      <c r="V44" s="25"/>
      <c r="W44" s="25"/>
      <c r="X44" s="1"/>
      <c r="Y44" s="9"/>
    </row>
    <row r="45" spans="4:25" x14ac:dyDescent="0.25">
      <c r="D45" s="3"/>
      <c r="E45" s="25"/>
      <c r="F45" s="25"/>
      <c r="G45" s="25"/>
      <c r="H45" s="25"/>
      <c r="I45" s="25"/>
      <c r="J45" s="25"/>
      <c r="K45" s="41"/>
      <c r="L45" s="25"/>
      <c r="M45" s="25"/>
      <c r="N45" s="25"/>
      <c r="O45" s="41"/>
      <c r="P45" s="25"/>
      <c r="Q45" s="25"/>
      <c r="R45" s="25"/>
      <c r="S45" s="25"/>
      <c r="T45" s="25"/>
      <c r="U45" s="25"/>
      <c r="V45" s="25"/>
      <c r="W45" s="25"/>
      <c r="X45" s="1"/>
      <c r="Y45" s="9"/>
    </row>
    <row r="46" spans="4:25" x14ac:dyDescent="0.25">
      <c r="D46" s="3"/>
      <c r="E46" s="25"/>
      <c r="F46" s="25"/>
      <c r="G46" s="25"/>
      <c r="H46" s="25"/>
      <c r="I46" s="25"/>
      <c r="J46" s="25"/>
      <c r="K46" s="41"/>
      <c r="L46" s="25"/>
      <c r="M46" s="25"/>
      <c r="N46" s="25"/>
      <c r="O46" s="41"/>
      <c r="P46" s="25"/>
      <c r="Q46" s="25"/>
      <c r="R46" s="25"/>
      <c r="S46" s="25"/>
      <c r="T46" s="25"/>
      <c r="U46" s="25"/>
      <c r="V46" s="25"/>
      <c r="W46" s="25"/>
      <c r="X46" s="1"/>
      <c r="Y46" s="9"/>
    </row>
    <row r="47" spans="4:25" x14ac:dyDescent="0.25">
      <c r="D47" s="3"/>
      <c r="E47" s="25"/>
      <c r="F47" s="25"/>
      <c r="G47" s="25"/>
      <c r="H47" s="25"/>
      <c r="I47" s="25"/>
      <c r="J47" s="25"/>
      <c r="K47" s="41"/>
      <c r="L47" s="25"/>
      <c r="M47" s="25"/>
      <c r="N47" s="25"/>
      <c r="O47" s="41"/>
      <c r="P47" s="25"/>
      <c r="Q47" s="25"/>
      <c r="R47" s="25"/>
      <c r="S47" s="25"/>
      <c r="T47" s="25"/>
      <c r="U47" s="25"/>
      <c r="V47" s="25"/>
      <c r="W47" s="25"/>
      <c r="X47" s="1"/>
      <c r="Y47" s="9"/>
    </row>
    <row r="48" spans="4:25" x14ac:dyDescent="0.25">
      <c r="D48" s="3"/>
      <c r="E48" s="25"/>
      <c r="F48" s="25"/>
      <c r="G48" s="25"/>
      <c r="H48" s="25"/>
      <c r="I48" s="25"/>
      <c r="J48" s="25"/>
      <c r="K48" s="41"/>
      <c r="L48" s="25"/>
      <c r="M48" s="25"/>
      <c r="N48" s="25"/>
      <c r="O48" s="41"/>
      <c r="P48" s="25"/>
      <c r="Q48" s="25"/>
      <c r="R48" s="25"/>
      <c r="S48" s="25"/>
      <c r="T48" s="25"/>
      <c r="U48" s="25"/>
      <c r="V48" s="25"/>
      <c r="W48" s="25"/>
      <c r="X48" s="1"/>
      <c r="Y48" s="9"/>
    </row>
    <row r="49" spans="4:25" x14ac:dyDescent="0.25">
      <c r="D49" s="3"/>
      <c r="E49" s="25"/>
      <c r="F49" s="25"/>
      <c r="G49" s="25"/>
      <c r="H49" s="25"/>
      <c r="I49" s="25"/>
      <c r="J49" s="25"/>
      <c r="K49" s="41"/>
      <c r="L49" s="25"/>
      <c r="M49" s="25"/>
      <c r="N49" s="25"/>
      <c r="O49" s="41"/>
      <c r="P49" s="25"/>
      <c r="Q49" s="25"/>
      <c r="R49" s="25"/>
      <c r="S49" s="25"/>
      <c r="T49" s="25"/>
      <c r="U49" s="25"/>
      <c r="V49" s="25"/>
      <c r="W49" s="25"/>
      <c r="X49" s="1"/>
      <c r="Y49" s="9"/>
    </row>
    <row r="50" spans="4:25" x14ac:dyDescent="0.25">
      <c r="D50" s="3"/>
      <c r="E50" s="25"/>
      <c r="F50" s="25"/>
      <c r="G50" s="25"/>
      <c r="H50" s="25"/>
      <c r="I50" s="25"/>
      <c r="J50" s="25"/>
      <c r="K50" s="41"/>
      <c r="L50" s="25"/>
      <c r="M50" s="25"/>
      <c r="N50" s="25"/>
      <c r="O50" s="41"/>
      <c r="P50" s="25"/>
      <c r="Q50" s="25"/>
      <c r="R50" s="25"/>
      <c r="S50" s="25"/>
      <c r="T50" s="25"/>
      <c r="U50" s="25"/>
      <c r="V50" s="25"/>
      <c r="W50" s="25"/>
      <c r="X50" s="1"/>
      <c r="Y50" s="9"/>
    </row>
    <row r="51" spans="4:25" x14ac:dyDescent="0.25">
      <c r="D51" s="3"/>
      <c r="E51" s="25"/>
      <c r="F51" s="25"/>
      <c r="G51" s="25"/>
      <c r="H51" s="25"/>
      <c r="I51" s="25"/>
      <c r="J51" s="25"/>
      <c r="K51" s="41"/>
      <c r="L51" s="25"/>
      <c r="M51" s="25"/>
      <c r="N51" s="25"/>
      <c r="O51" s="41"/>
      <c r="P51" s="25"/>
      <c r="Q51" s="25"/>
      <c r="R51" s="25"/>
      <c r="S51" s="25"/>
      <c r="T51" s="25"/>
      <c r="U51" s="25"/>
      <c r="V51" s="25"/>
      <c r="W51" s="25"/>
      <c r="X51" s="1"/>
      <c r="Y51" s="9"/>
    </row>
    <row r="52" spans="4:25" x14ac:dyDescent="0.25">
      <c r="D52" s="3"/>
      <c r="E52" s="25"/>
      <c r="F52" s="25"/>
      <c r="G52" s="25"/>
      <c r="H52" s="25"/>
      <c r="I52" s="25"/>
      <c r="J52" s="25"/>
      <c r="K52" s="41"/>
      <c r="L52" s="25"/>
      <c r="M52" s="25"/>
      <c r="N52" s="25"/>
      <c r="O52" s="41"/>
      <c r="P52" s="25"/>
      <c r="Q52" s="25"/>
      <c r="R52" s="25"/>
      <c r="S52" s="25"/>
      <c r="T52" s="25"/>
      <c r="U52" s="25"/>
      <c r="V52" s="25"/>
      <c r="W52" s="25"/>
      <c r="X52" s="1"/>
      <c r="Y52" s="9"/>
    </row>
    <row r="53" spans="4:25" x14ac:dyDescent="0.25">
      <c r="D53" s="3"/>
      <c r="E53" s="25"/>
      <c r="F53" s="25"/>
      <c r="G53" s="25"/>
      <c r="H53" s="25"/>
      <c r="I53" s="25"/>
      <c r="J53" s="25"/>
      <c r="K53" s="41"/>
      <c r="L53" s="25"/>
      <c r="M53" s="25"/>
      <c r="N53" s="25"/>
      <c r="O53" s="41"/>
      <c r="P53" s="25"/>
      <c r="Q53" s="25"/>
      <c r="R53" s="25"/>
      <c r="S53" s="25"/>
      <c r="T53" s="25"/>
      <c r="U53" s="25"/>
      <c r="V53" s="25"/>
      <c r="W53" s="25"/>
      <c r="X53" s="1"/>
      <c r="Y53" s="9"/>
    </row>
    <row r="54" spans="4:25" x14ac:dyDescent="0.25">
      <c r="D54" s="3"/>
      <c r="E54" s="25"/>
      <c r="F54" s="25"/>
      <c r="G54" s="25"/>
      <c r="H54" s="25"/>
      <c r="I54" s="25"/>
      <c r="J54" s="25"/>
      <c r="K54" s="41"/>
      <c r="L54" s="25"/>
      <c r="M54" s="25"/>
      <c r="N54" s="25"/>
      <c r="O54" s="41"/>
      <c r="P54" s="25"/>
      <c r="Q54" s="25"/>
      <c r="R54" s="25"/>
      <c r="S54" s="25"/>
      <c r="T54" s="25"/>
      <c r="U54" s="25"/>
      <c r="V54" s="25"/>
      <c r="W54" s="25"/>
      <c r="X54" s="1"/>
      <c r="Y54" s="9"/>
    </row>
    <row r="55" spans="4:25" x14ac:dyDescent="0.25">
      <c r="D55" s="3"/>
      <c r="E55" s="25"/>
      <c r="F55" s="25"/>
      <c r="G55" s="25"/>
      <c r="H55" s="25"/>
      <c r="I55" s="25"/>
      <c r="J55" s="25"/>
      <c r="K55" s="41"/>
      <c r="L55" s="25"/>
      <c r="M55" s="25"/>
      <c r="N55" s="25"/>
      <c r="O55" s="41"/>
      <c r="P55" s="25"/>
      <c r="Q55" s="25"/>
      <c r="R55" s="25"/>
      <c r="S55" s="25"/>
      <c r="T55" s="25"/>
      <c r="U55" s="25"/>
      <c r="V55" s="25"/>
      <c r="W55" s="25"/>
      <c r="X55" s="1"/>
      <c r="Y55" s="9"/>
    </row>
    <row r="56" spans="4:25" x14ac:dyDescent="0.25">
      <c r="D56" s="3"/>
      <c r="E56" s="25"/>
      <c r="F56" s="25"/>
      <c r="G56" s="25"/>
      <c r="H56" s="25"/>
      <c r="I56" s="25"/>
      <c r="J56" s="25"/>
      <c r="K56" s="41"/>
      <c r="L56" s="25"/>
      <c r="M56" s="25"/>
      <c r="N56" s="25"/>
      <c r="O56" s="41"/>
      <c r="P56" s="25"/>
      <c r="Q56" s="25"/>
      <c r="R56" s="25"/>
      <c r="S56" s="25"/>
      <c r="T56" s="25"/>
      <c r="U56" s="25"/>
      <c r="V56" s="25"/>
      <c r="W56" s="25"/>
      <c r="X56" s="1"/>
      <c r="Y56" s="9"/>
    </row>
    <row r="57" spans="4:25" x14ac:dyDescent="0.25">
      <c r="D57" s="3"/>
      <c r="E57" s="25"/>
      <c r="F57" s="25"/>
      <c r="G57" s="25"/>
      <c r="H57" s="25"/>
      <c r="I57" s="25"/>
      <c r="J57" s="25"/>
      <c r="K57" s="41"/>
      <c r="L57" s="25"/>
      <c r="M57" s="25"/>
      <c r="N57" s="25"/>
      <c r="O57" s="41"/>
      <c r="P57" s="25"/>
      <c r="Q57" s="25"/>
      <c r="R57" s="25"/>
      <c r="S57" s="25"/>
      <c r="T57" s="25"/>
      <c r="U57" s="25"/>
      <c r="V57" s="25"/>
      <c r="W57" s="25"/>
      <c r="X57" s="1"/>
      <c r="Y57" s="9"/>
    </row>
    <row r="58" spans="4:25" x14ac:dyDescent="0.25">
      <c r="D58" s="3"/>
      <c r="E58" s="25"/>
      <c r="F58" s="25"/>
      <c r="G58" s="25"/>
      <c r="H58" s="25"/>
      <c r="I58" s="25"/>
      <c r="J58" s="25"/>
      <c r="K58" s="41"/>
      <c r="L58" s="25"/>
      <c r="M58" s="25"/>
      <c r="N58" s="25"/>
      <c r="O58" s="41"/>
      <c r="P58" s="25"/>
      <c r="Q58" s="25"/>
      <c r="R58" s="25"/>
      <c r="S58" s="25"/>
      <c r="T58" s="25"/>
      <c r="U58" s="25"/>
      <c r="V58" s="25"/>
      <c r="W58" s="25"/>
      <c r="X58" s="1"/>
      <c r="Y58" s="9"/>
    </row>
    <row r="59" spans="4:25" x14ac:dyDescent="0.25">
      <c r="D59" s="3"/>
      <c r="E59" s="25"/>
      <c r="F59" s="25"/>
      <c r="G59" s="25"/>
      <c r="H59" s="25"/>
      <c r="I59" s="25"/>
      <c r="J59" s="25"/>
      <c r="K59" s="41"/>
      <c r="L59" s="25"/>
      <c r="M59" s="25"/>
      <c r="N59" s="25"/>
      <c r="O59" s="41"/>
      <c r="P59" s="25"/>
      <c r="Q59" s="25"/>
      <c r="R59" s="25"/>
      <c r="S59" s="25"/>
      <c r="T59" s="25"/>
      <c r="U59" s="25"/>
      <c r="V59" s="25"/>
      <c r="W59" s="25"/>
      <c r="X59" s="1"/>
      <c r="Y59" s="9"/>
    </row>
    <row r="60" spans="4:25" x14ac:dyDescent="0.25">
      <c r="D60" s="3"/>
      <c r="E60" s="25"/>
      <c r="F60" s="25"/>
      <c r="G60" s="25"/>
      <c r="H60" s="25"/>
      <c r="I60" s="25"/>
      <c r="J60" s="25"/>
      <c r="K60" s="41"/>
      <c r="L60" s="25"/>
      <c r="M60" s="25"/>
      <c r="N60" s="25"/>
      <c r="O60" s="41"/>
      <c r="P60" s="25"/>
      <c r="Q60" s="25"/>
      <c r="R60" s="25"/>
      <c r="S60" s="25"/>
      <c r="T60" s="25"/>
      <c r="U60" s="25"/>
      <c r="V60" s="25"/>
      <c r="W60" s="25"/>
      <c r="X60" s="1"/>
      <c r="Y60" s="9"/>
    </row>
    <row r="61" spans="4:25" x14ac:dyDescent="0.25">
      <c r="D61" s="3"/>
      <c r="E61" s="25"/>
      <c r="F61" s="25"/>
      <c r="G61" s="25"/>
      <c r="H61" s="25"/>
      <c r="I61" s="25"/>
      <c r="J61" s="25"/>
      <c r="K61" s="41"/>
      <c r="L61" s="25"/>
      <c r="M61" s="25"/>
      <c r="N61" s="25"/>
      <c r="O61" s="41"/>
      <c r="P61" s="25"/>
      <c r="Q61" s="25"/>
      <c r="R61" s="25"/>
      <c r="S61" s="25"/>
      <c r="T61" s="25"/>
      <c r="U61" s="25"/>
      <c r="V61" s="25"/>
      <c r="W61" s="25"/>
      <c r="X61" s="1"/>
      <c r="Y61" s="9"/>
    </row>
    <row r="62" spans="4:25" x14ac:dyDescent="0.25">
      <c r="D62" s="3"/>
      <c r="E62" s="25"/>
      <c r="F62" s="25"/>
      <c r="G62" s="25"/>
      <c r="H62" s="25"/>
      <c r="I62" s="25"/>
      <c r="J62" s="25"/>
      <c r="K62" s="41"/>
      <c r="L62" s="25"/>
      <c r="M62" s="25"/>
      <c r="N62" s="25"/>
      <c r="O62" s="41"/>
      <c r="P62" s="25"/>
      <c r="Q62" s="25"/>
      <c r="R62" s="25"/>
      <c r="S62" s="25"/>
      <c r="T62" s="25"/>
      <c r="U62" s="25"/>
      <c r="V62" s="25"/>
      <c r="W62" s="25"/>
      <c r="X62" s="1"/>
      <c r="Y62" s="9"/>
    </row>
    <row r="63" spans="4:25" x14ac:dyDescent="0.25">
      <c r="D63" s="3"/>
      <c r="E63" s="25"/>
      <c r="F63" s="25"/>
      <c r="G63" s="25"/>
      <c r="H63" s="25"/>
      <c r="I63" s="25"/>
      <c r="J63" s="25"/>
      <c r="K63" s="41"/>
      <c r="L63" s="25"/>
      <c r="M63" s="25"/>
      <c r="N63" s="25"/>
      <c r="O63" s="41"/>
      <c r="P63" s="25"/>
      <c r="Q63" s="25"/>
      <c r="R63" s="25"/>
      <c r="S63" s="25"/>
      <c r="T63" s="25"/>
      <c r="U63" s="25"/>
      <c r="V63" s="25"/>
      <c r="W63" s="25"/>
      <c r="X63" s="1"/>
      <c r="Y63" s="9"/>
    </row>
    <row r="64" spans="4:25" x14ac:dyDescent="0.25">
      <c r="D64" s="3"/>
      <c r="E64" s="25"/>
      <c r="F64" s="25"/>
      <c r="G64" s="25"/>
      <c r="H64" s="25"/>
      <c r="I64" s="25"/>
      <c r="J64" s="25"/>
      <c r="K64" s="41"/>
      <c r="L64" s="25"/>
      <c r="M64" s="25"/>
      <c r="N64" s="25"/>
      <c r="O64" s="41"/>
      <c r="P64" s="25"/>
      <c r="Q64" s="25"/>
      <c r="R64" s="25"/>
      <c r="S64" s="25"/>
      <c r="T64" s="25"/>
      <c r="U64" s="25"/>
      <c r="V64" s="25"/>
      <c r="W64" s="25"/>
      <c r="X64" s="1"/>
      <c r="Y64" s="9"/>
    </row>
    <row r="65" spans="4:25" x14ac:dyDescent="0.25">
      <c r="D65" s="3"/>
      <c r="E65" s="25"/>
      <c r="F65" s="25"/>
      <c r="G65" s="25"/>
      <c r="H65" s="25"/>
      <c r="I65" s="25"/>
      <c r="J65" s="25"/>
      <c r="K65" s="41"/>
      <c r="L65" s="25"/>
      <c r="M65" s="25"/>
      <c r="N65" s="25"/>
      <c r="O65" s="41"/>
      <c r="P65" s="25"/>
      <c r="Q65" s="25"/>
      <c r="R65" s="25"/>
      <c r="S65" s="25"/>
      <c r="T65" s="25"/>
      <c r="U65" s="25"/>
      <c r="V65" s="25"/>
      <c r="W65" s="25"/>
      <c r="X65" s="1"/>
      <c r="Y65" s="9"/>
    </row>
    <row r="66" spans="4:25" x14ac:dyDescent="0.25">
      <c r="D66" s="3"/>
      <c r="E66" s="25"/>
      <c r="F66" s="25"/>
      <c r="G66" s="25"/>
      <c r="H66" s="25"/>
      <c r="I66" s="25"/>
      <c r="J66" s="25"/>
      <c r="K66" s="41"/>
      <c r="L66" s="25"/>
      <c r="M66" s="25"/>
      <c r="N66" s="25"/>
      <c r="O66" s="41"/>
      <c r="P66" s="25"/>
      <c r="Q66" s="25"/>
      <c r="R66" s="25"/>
      <c r="S66" s="25"/>
      <c r="T66" s="25"/>
      <c r="U66" s="25"/>
      <c r="V66" s="25"/>
      <c r="W66" s="25"/>
      <c r="X66" s="1"/>
      <c r="Y66" s="9"/>
    </row>
    <row r="67" spans="4:25" x14ac:dyDescent="0.25">
      <c r="D67" s="3"/>
      <c r="E67" s="25"/>
      <c r="F67" s="25"/>
      <c r="G67" s="25"/>
      <c r="H67" s="25"/>
      <c r="I67" s="25"/>
      <c r="J67" s="25"/>
      <c r="K67" s="41"/>
      <c r="L67" s="25"/>
      <c r="M67" s="25"/>
      <c r="N67" s="25"/>
      <c r="O67" s="41"/>
      <c r="P67" s="25"/>
      <c r="Q67" s="25"/>
      <c r="R67" s="25"/>
      <c r="S67" s="25"/>
      <c r="T67" s="25"/>
      <c r="U67" s="25"/>
      <c r="V67" s="25"/>
      <c r="W67" s="25"/>
      <c r="X67" s="1"/>
      <c r="Y67" s="9"/>
    </row>
    <row r="68" spans="4:25" x14ac:dyDescent="0.25">
      <c r="D68" s="3"/>
      <c r="E68" s="25"/>
      <c r="F68" s="25"/>
      <c r="G68" s="25"/>
      <c r="H68" s="25"/>
      <c r="I68" s="25"/>
      <c r="J68" s="25"/>
      <c r="K68" s="41"/>
      <c r="L68" s="25"/>
      <c r="M68" s="25"/>
      <c r="N68" s="25"/>
      <c r="O68" s="41"/>
      <c r="P68" s="25"/>
      <c r="Q68" s="25"/>
      <c r="R68" s="25"/>
      <c r="S68" s="25"/>
      <c r="T68" s="25"/>
      <c r="U68" s="25"/>
      <c r="V68" s="25"/>
      <c r="W68" s="25"/>
      <c r="X68" s="1"/>
      <c r="Y68" s="9"/>
    </row>
    <row r="69" spans="4:25" x14ac:dyDescent="0.25">
      <c r="D69" s="3"/>
      <c r="E69" s="25"/>
      <c r="F69" s="25"/>
      <c r="G69" s="25"/>
      <c r="H69" s="25"/>
      <c r="I69" s="25"/>
      <c r="J69" s="25"/>
      <c r="K69" s="41"/>
      <c r="L69" s="25"/>
      <c r="M69" s="25"/>
      <c r="N69" s="25"/>
      <c r="O69" s="41"/>
      <c r="P69" s="25"/>
      <c r="Q69" s="25"/>
      <c r="R69" s="25"/>
      <c r="S69" s="25"/>
      <c r="T69" s="25"/>
      <c r="U69" s="25"/>
      <c r="V69" s="25"/>
      <c r="W69" s="25"/>
      <c r="X69" s="1"/>
      <c r="Y69" s="9"/>
    </row>
    <row r="70" spans="4:25" x14ac:dyDescent="0.25">
      <c r="D70" s="3"/>
      <c r="E70" s="25"/>
      <c r="F70" s="25"/>
      <c r="G70" s="25"/>
      <c r="H70" s="25"/>
      <c r="I70" s="25"/>
      <c r="J70" s="25"/>
      <c r="K70" s="41"/>
      <c r="L70" s="25"/>
      <c r="M70" s="25"/>
      <c r="N70" s="25"/>
      <c r="O70" s="41"/>
      <c r="P70" s="25"/>
      <c r="Q70" s="25"/>
      <c r="R70" s="25"/>
      <c r="S70" s="25"/>
      <c r="T70" s="25"/>
      <c r="U70" s="25"/>
      <c r="V70" s="25"/>
      <c r="W70" s="25"/>
      <c r="X70" s="1"/>
      <c r="Y70" s="9"/>
    </row>
    <row r="71" spans="4:25" x14ac:dyDescent="0.25">
      <c r="D71" s="3"/>
      <c r="E71" s="25"/>
      <c r="F71" s="25"/>
      <c r="G71" s="25"/>
      <c r="H71" s="25"/>
      <c r="I71" s="25"/>
      <c r="J71" s="25"/>
      <c r="K71" s="41"/>
      <c r="L71" s="25"/>
      <c r="M71" s="25"/>
      <c r="N71" s="25"/>
      <c r="O71" s="41"/>
      <c r="P71" s="25"/>
      <c r="Q71" s="25"/>
      <c r="R71" s="25"/>
      <c r="S71" s="25"/>
      <c r="T71" s="25"/>
      <c r="U71" s="25"/>
      <c r="V71" s="25"/>
      <c r="W71" s="25"/>
      <c r="X71" s="1"/>
      <c r="Y71" s="9"/>
    </row>
    <row r="72" spans="4:25" x14ac:dyDescent="0.25">
      <c r="D72" s="3"/>
      <c r="E72" s="25"/>
      <c r="F72" s="25"/>
      <c r="G72" s="25"/>
      <c r="H72" s="25"/>
      <c r="I72" s="25"/>
      <c r="J72" s="25"/>
      <c r="K72" s="41"/>
      <c r="L72" s="25"/>
      <c r="M72" s="25"/>
      <c r="N72" s="25"/>
      <c r="O72" s="41"/>
      <c r="P72" s="25"/>
      <c r="Q72" s="25"/>
      <c r="R72" s="25"/>
      <c r="S72" s="25"/>
      <c r="T72" s="25"/>
      <c r="U72" s="25"/>
      <c r="V72" s="25"/>
      <c r="W72" s="25"/>
      <c r="X72" s="1"/>
      <c r="Y72" s="9"/>
    </row>
    <row r="73" spans="4:25" x14ac:dyDescent="0.25">
      <c r="D73" s="3"/>
      <c r="E73" s="25"/>
      <c r="F73" s="25"/>
      <c r="G73" s="25"/>
      <c r="H73" s="25"/>
      <c r="I73" s="25"/>
      <c r="J73" s="25"/>
      <c r="K73" s="41"/>
      <c r="L73" s="25"/>
      <c r="M73" s="25"/>
      <c r="N73" s="25"/>
      <c r="O73" s="41"/>
      <c r="P73" s="25"/>
      <c r="Q73" s="25"/>
      <c r="R73" s="25"/>
      <c r="S73" s="25"/>
      <c r="T73" s="25"/>
      <c r="U73" s="25"/>
      <c r="V73" s="25"/>
      <c r="W73" s="25"/>
      <c r="X73" s="1"/>
      <c r="Y73" s="9"/>
    </row>
    <row r="74" spans="4:25" x14ac:dyDescent="0.25">
      <c r="D74" s="3"/>
      <c r="E74" s="25"/>
      <c r="F74" s="25"/>
      <c r="G74" s="25"/>
      <c r="H74" s="25"/>
      <c r="I74" s="25"/>
      <c r="J74" s="25"/>
      <c r="K74" s="41"/>
      <c r="L74" s="25"/>
      <c r="M74" s="25"/>
      <c r="N74" s="25"/>
      <c r="O74" s="41"/>
      <c r="P74" s="25"/>
      <c r="Q74" s="25"/>
      <c r="R74" s="25"/>
      <c r="S74" s="25"/>
      <c r="T74" s="25"/>
      <c r="U74" s="25"/>
      <c r="V74" s="25"/>
      <c r="W74" s="25"/>
      <c r="X74" s="1"/>
      <c r="Y74" s="9"/>
    </row>
    <row r="75" spans="4:25" x14ac:dyDescent="0.25">
      <c r="D75" s="3"/>
      <c r="E75" s="25"/>
      <c r="F75" s="25"/>
      <c r="G75" s="25"/>
      <c r="H75" s="25"/>
      <c r="I75" s="25"/>
      <c r="J75" s="25"/>
      <c r="K75" s="41"/>
      <c r="L75" s="25"/>
      <c r="M75" s="25"/>
      <c r="N75" s="25"/>
      <c r="O75" s="41"/>
      <c r="P75" s="25"/>
      <c r="Q75" s="25"/>
      <c r="R75" s="25"/>
      <c r="S75" s="25"/>
      <c r="T75" s="25"/>
      <c r="U75" s="25"/>
      <c r="V75" s="25"/>
      <c r="W75" s="25"/>
      <c r="X75" s="1"/>
      <c r="Y75" s="9"/>
    </row>
    <row r="76" spans="4:25" x14ac:dyDescent="0.25">
      <c r="D76" s="3"/>
      <c r="E76" s="25"/>
      <c r="F76" s="25"/>
      <c r="G76" s="25"/>
      <c r="H76" s="25"/>
      <c r="I76" s="25"/>
      <c r="J76" s="25"/>
      <c r="K76" s="41"/>
      <c r="L76" s="25"/>
      <c r="M76" s="25"/>
      <c r="N76" s="25"/>
      <c r="O76" s="41"/>
      <c r="P76" s="25"/>
      <c r="Q76" s="25"/>
      <c r="R76" s="25"/>
      <c r="S76" s="25"/>
      <c r="T76" s="25"/>
      <c r="U76" s="25"/>
      <c r="V76" s="25"/>
      <c r="W76" s="25"/>
      <c r="X76" s="1"/>
      <c r="Y76" s="9"/>
    </row>
    <row r="77" spans="4:25" x14ac:dyDescent="0.25">
      <c r="D77" s="3"/>
      <c r="E77" s="25"/>
      <c r="F77" s="25"/>
      <c r="G77" s="25"/>
      <c r="H77" s="25"/>
      <c r="I77" s="25"/>
      <c r="J77" s="25"/>
      <c r="K77" s="41"/>
      <c r="L77" s="25"/>
      <c r="M77" s="25"/>
      <c r="N77" s="25"/>
      <c r="O77" s="41"/>
      <c r="P77" s="25"/>
      <c r="Q77" s="25"/>
      <c r="R77" s="25"/>
      <c r="S77" s="25"/>
      <c r="T77" s="25"/>
      <c r="U77" s="25"/>
      <c r="V77" s="25"/>
      <c r="W77" s="25"/>
      <c r="X77" s="1"/>
      <c r="Y77" s="9"/>
    </row>
    <row r="78" spans="4:25" x14ac:dyDescent="0.25">
      <c r="D78" s="3"/>
      <c r="E78" s="25"/>
      <c r="F78" s="25"/>
      <c r="G78" s="25"/>
      <c r="H78" s="25"/>
      <c r="I78" s="25"/>
      <c r="J78" s="25"/>
      <c r="K78" s="41"/>
      <c r="L78" s="25"/>
      <c r="M78" s="25"/>
      <c r="N78" s="25"/>
      <c r="O78" s="41"/>
      <c r="P78" s="25"/>
      <c r="Q78" s="25"/>
      <c r="R78" s="25"/>
      <c r="S78" s="25"/>
      <c r="T78" s="25"/>
      <c r="U78" s="25"/>
      <c r="V78" s="25"/>
      <c r="W78" s="25"/>
      <c r="X78" s="1"/>
      <c r="Y78" s="9"/>
    </row>
    <row r="79" spans="4:25" x14ac:dyDescent="0.25">
      <c r="D79" s="3"/>
      <c r="E79" s="25"/>
      <c r="F79" s="25"/>
      <c r="G79" s="25"/>
      <c r="H79" s="25"/>
      <c r="I79" s="25"/>
      <c r="J79" s="25"/>
      <c r="K79" s="41"/>
      <c r="L79" s="25"/>
      <c r="M79" s="25"/>
      <c r="N79" s="25"/>
      <c r="O79" s="41"/>
      <c r="P79" s="25"/>
      <c r="Q79" s="25"/>
      <c r="R79" s="25"/>
      <c r="S79" s="25"/>
      <c r="T79" s="25"/>
      <c r="U79" s="25"/>
      <c r="V79" s="25"/>
      <c r="W79" s="25"/>
      <c r="X79" s="1"/>
      <c r="Y79" s="9"/>
    </row>
    <row r="80" spans="4:25" x14ac:dyDescent="0.25">
      <c r="D80" s="6"/>
      <c r="E80" s="26"/>
      <c r="F80" s="26"/>
      <c r="G80" s="26"/>
      <c r="H80" s="26"/>
      <c r="I80" s="26"/>
      <c r="J80" s="26"/>
      <c r="K80" s="44"/>
      <c r="L80" s="26"/>
      <c r="M80" s="26"/>
      <c r="N80" s="26"/>
      <c r="O80" s="44"/>
      <c r="P80" s="26"/>
      <c r="Q80" s="26"/>
      <c r="R80" s="26"/>
      <c r="S80" s="26"/>
      <c r="T80" s="26"/>
      <c r="U80" s="26"/>
      <c r="V80" s="26"/>
      <c r="W80" s="26"/>
      <c r="X80" s="7"/>
      <c r="Y80" s="10"/>
    </row>
  </sheetData>
  <mergeCells count="4">
    <mergeCell ref="G10:H10"/>
    <mergeCell ref="I10:J10"/>
    <mergeCell ref="M10:N10"/>
    <mergeCell ref="F10:F1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43F9D-AA53-469F-9278-F2DCE65246E9}">
  <sheetPr codeName="Sheet8">
    <tabColor theme="2" tint="-9.9978637043366805E-2"/>
  </sheetPr>
  <dimension ref="B1:MB80"/>
  <sheetViews>
    <sheetView showGridLines="0" topLeftCell="B1" zoomScaleNormal="100" workbookViewId="0">
      <selection activeCell="K33" sqref="K33"/>
    </sheetView>
  </sheetViews>
  <sheetFormatPr defaultRowHeight="15" x14ac:dyDescent="0.25"/>
  <cols>
    <col min="1" max="1" width="0" hidden="1" customWidth="1"/>
    <col min="2" max="4" width="8.7109375" style="2"/>
    <col min="5" max="5" width="11" style="39" bestFit="1" customWidth="1"/>
    <col min="6" max="6" width="13.5703125" style="39" customWidth="1"/>
    <col min="7" max="8" width="17.85546875" style="39" customWidth="1"/>
    <col min="9" max="9" width="18.85546875" style="39" bestFit="1" customWidth="1"/>
    <col min="10" max="10" width="23.5703125" style="39" customWidth="1"/>
    <col min="11" max="11" width="21.140625" style="45" customWidth="1"/>
    <col min="12" max="12" width="8.7109375" style="39"/>
    <col min="13" max="13" width="18.85546875" style="39" bestFit="1" customWidth="1"/>
    <col min="14" max="14" width="25.28515625" style="39" bestFit="1" customWidth="1"/>
    <col min="15" max="15" width="21.140625" style="45" customWidth="1"/>
    <col min="16" max="23" width="8.7109375" style="39"/>
    <col min="24" max="340" width="8.7109375" style="2"/>
  </cols>
  <sheetData>
    <row r="1" spans="4:25" s="1" customFormat="1" x14ac:dyDescent="0.25">
      <c r="E1" s="25"/>
      <c r="F1" s="25"/>
      <c r="G1" s="25"/>
      <c r="H1" s="25"/>
      <c r="I1" s="25"/>
      <c r="J1" s="25"/>
      <c r="K1" s="41"/>
      <c r="L1" s="25"/>
      <c r="M1" s="25"/>
      <c r="N1" s="25"/>
      <c r="O1" s="41"/>
      <c r="P1" s="25"/>
      <c r="Q1" s="25"/>
      <c r="R1" s="25"/>
      <c r="S1" s="25"/>
      <c r="T1" s="25"/>
      <c r="U1" s="25"/>
      <c r="V1" s="25"/>
      <c r="W1" s="25"/>
    </row>
    <row r="2" spans="4:25" s="1" customFormat="1" ht="26.25" x14ac:dyDescent="0.25">
      <c r="E2" s="25"/>
      <c r="F2" s="25"/>
      <c r="G2" s="25"/>
      <c r="H2" s="60" t="s">
        <v>0</v>
      </c>
      <c r="I2" s="25"/>
      <c r="J2" s="25"/>
      <c r="K2" s="41"/>
      <c r="L2" s="25"/>
      <c r="M2" s="25"/>
      <c r="N2" s="25"/>
      <c r="O2" s="41"/>
      <c r="P2" s="25"/>
      <c r="Q2" s="25"/>
      <c r="R2" s="25"/>
      <c r="S2" s="25"/>
      <c r="T2" s="25"/>
      <c r="U2" s="25"/>
      <c r="V2" s="25"/>
      <c r="W2" s="25"/>
    </row>
    <row r="3" spans="4:25" s="1" customFormat="1" x14ac:dyDescent="0.25">
      <c r="E3" s="25"/>
      <c r="F3" s="25"/>
      <c r="G3" s="25"/>
      <c r="H3" s="25"/>
      <c r="I3" s="25"/>
      <c r="J3" s="25"/>
      <c r="K3" s="41"/>
      <c r="L3" s="25"/>
      <c r="M3" s="25"/>
      <c r="N3" s="25"/>
      <c r="O3" s="41"/>
      <c r="P3" s="25"/>
      <c r="Q3" s="25"/>
      <c r="R3" s="25"/>
      <c r="S3" s="25"/>
      <c r="T3" s="25"/>
      <c r="U3" s="25"/>
      <c r="V3" s="25"/>
      <c r="W3" s="25"/>
    </row>
    <row r="4" spans="4:25" s="11" customFormat="1" ht="4.5" customHeight="1" x14ac:dyDescent="0.25">
      <c r="E4" s="35"/>
      <c r="F4" s="35"/>
      <c r="G4" s="35"/>
      <c r="H4" s="35"/>
      <c r="I4" s="35"/>
      <c r="J4" s="35"/>
      <c r="K4" s="42"/>
      <c r="L4" s="35"/>
      <c r="M4" s="35"/>
      <c r="N4" s="35"/>
      <c r="O4" s="42"/>
      <c r="P4" s="35"/>
      <c r="Q4" s="35"/>
      <c r="R4" s="35"/>
      <c r="S4" s="35"/>
      <c r="T4" s="35"/>
      <c r="U4" s="35"/>
      <c r="V4" s="35"/>
      <c r="W4" s="35"/>
    </row>
    <row r="5" spans="4:25" s="12" customFormat="1" ht="4.5" customHeight="1" x14ac:dyDescent="0.25">
      <c r="E5" s="36"/>
      <c r="F5" s="36"/>
      <c r="G5" s="36"/>
      <c r="H5" s="36"/>
      <c r="I5" s="36"/>
      <c r="J5" s="36"/>
      <c r="K5" s="43"/>
      <c r="L5" s="36"/>
      <c r="M5" s="36"/>
      <c r="N5" s="36"/>
      <c r="O5" s="43"/>
      <c r="P5" s="36"/>
      <c r="Q5" s="36"/>
      <c r="R5" s="36"/>
      <c r="S5" s="36"/>
      <c r="T5" s="36"/>
      <c r="U5" s="36"/>
      <c r="V5" s="36"/>
      <c r="W5" s="36"/>
    </row>
    <row r="8" spans="4:25" x14ac:dyDescent="0.25">
      <c r="D8" s="4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5"/>
      <c r="Y8" s="8"/>
    </row>
    <row r="9" spans="4:25" x14ac:dyDescent="0.25">
      <c r="D9" s="3"/>
      <c r="E9" s="38" t="s">
        <v>80</v>
      </c>
      <c r="F9" s="38"/>
      <c r="G9" s="38"/>
      <c r="H9" s="38"/>
      <c r="I9" s="100">
        <f>SUM(I12:I22)</f>
        <v>816.85561047499993</v>
      </c>
      <c r="J9" s="100">
        <f>SUM(J12:J22)</f>
        <v>6839.546534860001</v>
      </c>
      <c r="K9" s="100">
        <f>SUM(K12:K22)</f>
        <v>7.5323174255979994</v>
      </c>
      <c r="L9" s="25"/>
      <c r="M9" s="100">
        <f>SUM(M12:M22)</f>
        <v>784.73139165798693</v>
      </c>
      <c r="N9" s="100">
        <f>SUM(N12:N22)</f>
        <v>5945.531797524116</v>
      </c>
      <c r="O9" s="100">
        <f>SUM(O12:O22)</f>
        <v>6.7985697342377165</v>
      </c>
      <c r="P9" s="25"/>
      <c r="Q9" s="25"/>
      <c r="R9" s="25"/>
      <c r="S9" s="25"/>
      <c r="T9" s="25"/>
      <c r="U9" s="25"/>
      <c r="V9" s="25"/>
      <c r="W9" s="25"/>
      <c r="X9" s="1"/>
      <c r="Y9" s="9"/>
    </row>
    <row r="10" spans="4:25" x14ac:dyDescent="0.25">
      <c r="D10" s="3"/>
      <c r="E10" s="38"/>
      <c r="F10" s="98" t="s">
        <v>77</v>
      </c>
      <c r="G10" s="84" t="s">
        <v>59</v>
      </c>
      <c r="H10" s="85"/>
      <c r="I10" s="84" t="s">
        <v>76</v>
      </c>
      <c r="J10" s="85"/>
      <c r="K10" s="46" t="s">
        <v>79</v>
      </c>
      <c r="L10" s="25"/>
      <c r="M10" s="84" t="s">
        <v>92</v>
      </c>
      <c r="N10" s="85"/>
      <c r="O10" s="46" t="s">
        <v>78</v>
      </c>
      <c r="P10" s="25"/>
      <c r="Q10" s="25"/>
      <c r="R10" s="25"/>
      <c r="S10" s="25"/>
      <c r="T10" s="25"/>
      <c r="U10" s="25"/>
      <c r="V10" s="25"/>
      <c r="W10" s="25"/>
      <c r="X10" s="1"/>
      <c r="Y10" s="9"/>
    </row>
    <row r="11" spans="4:25" x14ac:dyDescent="0.25">
      <c r="D11" s="3"/>
      <c r="E11" s="38" t="s">
        <v>51</v>
      </c>
      <c r="F11" s="99"/>
      <c r="G11" s="38" t="s">
        <v>88</v>
      </c>
      <c r="H11" s="38" t="s">
        <v>89</v>
      </c>
      <c r="I11" s="38" t="s">
        <v>60</v>
      </c>
      <c r="J11" s="38" t="s">
        <v>61</v>
      </c>
      <c r="K11" s="46"/>
      <c r="L11" s="25"/>
      <c r="M11" s="38" t="s">
        <v>60</v>
      </c>
      <c r="N11" s="38" t="s">
        <v>61</v>
      </c>
      <c r="O11" s="46"/>
      <c r="P11" s="25"/>
      <c r="Q11" s="25"/>
      <c r="R11" s="25"/>
      <c r="S11" s="25"/>
      <c r="T11" s="25"/>
      <c r="U11" s="25"/>
      <c r="V11" s="25"/>
      <c r="W11" s="25"/>
      <c r="X11" s="1"/>
      <c r="Y11" s="9"/>
    </row>
    <row r="12" spans="4:25" x14ac:dyDescent="0.25">
      <c r="D12" s="3"/>
      <c r="E12" s="76">
        <v>0</v>
      </c>
      <c r="F12" s="101">
        <v>1</v>
      </c>
      <c r="G12" s="102">
        <v>1</v>
      </c>
      <c r="H12" s="102">
        <v>0</v>
      </c>
      <c r="I12" s="102">
        <f t="shared" ref="I12:I22" si="0">G12*p_c_B</f>
        <v>250</v>
      </c>
      <c r="J12" s="102">
        <f t="shared" ref="J12:J22" si="1">G12*p_c_h+H12*p_c_s</f>
        <v>200</v>
      </c>
      <c r="K12" s="103">
        <f t="shared" ref="K12:K22" si="2">G12*p_u_h+H12*p_u_s</f>
        <v>0.98</v>
      </c>
      <c r="L12" s="25"/>
      <c r="M12" s="109">
        <f>I12</f>
        <v>250</v>
      </c>
      <c r="N12" s="110">
        <f>J12</f>
        <v>200</v>
      </c>
      <c r="O12" s="111">
        <f>K12</f>
        <v>0.98</v>
      </c>
      <c r="P12" s="25"/>
      <c r="Q12" s="25"/>
      <c r="R12" s="25"/>
      <c r="S12" s="25"/>
      <c r="T12" s="25"/>
      <c r="U12" s="25"/>
      <c r="V12" s="25"/>
      <c r="W12" s="25"/>
      <c r="X12" s="1"/>
      <c r="Y12" s="9"/>
    </row>
    <row r="13" spans="4:25" x14ac:dyDescent="0.25">
      <c r="D13" s="3"/>
      <c r="E13" s="76">
        <v>1</v>
      </c>
      <c r="F13" s="101">
        <v>1</v>
      </c>
      <c r="G13" s="102">
        <f t="shared" ref="G13:G22" si="3">F13*G12*p_hh_B</f>
        <v>0.7</v>
      </c>
      <c r="H13" s="102">
        <f t="shared" ref="H13:H22" si="4">F13*(G12*p_hs_B+H12*p_ss_B)</f>
        <v>0.30000000000000004</v>
      </c>
      <c r="I13" s="102">
        <f t="shared" si="0"/>
        <v>175</v>
      </c>
      <c r="J13" s="102">
        <f t="shared" si="1"/>
        <v>380</v>
      </c>
      <c r="K13" s="103">
        <f t="shared" si="2"/>
        <v>0.85399999999999998</v>
      </c>
      <c r="L13" s="25"/>
      <c r="M13" s="107">
        <f t="shared" ref="M13:M22" si="5">IFERROR(I13/(1+discount_cost)^($E13-1), "")</f>
        <v>175</v>
      </c>
      <c r="N13" s="102">
        <f t="shared" ref="N13:N22" si="6">IFERROR(J13/(1+discount_cost)^($E13-1), "")</f>
        <v>380</v>
      </c>
      <c r="O13" s="103">
        <f t="shared" ref="O13:O22" si="7">IFERROR(K13/(1+discount_healthOutcome)^($E13-1), "")</f>
        <v>0.85399999999999998</v>
      </c>
      <c r="P13" s="25"/>
      <c r="Q13" s="25"/>
      <c r="R13" s="25"/>
      <c r="S13" s="25"/>
      <c r="T13" s="25"/>
      <c r="U13" s="25"/>
      <c r="V13" s="25"/>
      <c r="W13" s="25"/>
      <c r="X13" s="1"/>
      <c r="Y13" s="9"/>
    </row>
    <row r="14" spans="4:25" x14ac:dyDescent="0.25">
      <c r="D14" s="3"/>
      <c r="E14" s="76">
        <v>2</v>
      </c>
      <c r="F14" s="101">
        <v>1</v>
      </c>
      <c r="G14" s="102">
        <f t="shared" si="3"/>
        <v>0.48999999999999994</v>
      </c>
      <c r="H14" s="102">
        <f t="shared" si="4"/>
        <v>0.51</v>
      </c>
      <c r="I14" s="102">
        <f t="shared" si="0"/>
        <v>122.49999999999999</v>
      </c>
      <c r="J14" s="102">
        <f t="shared" si="1"/>
        <v>506</v>
      </c>
      <c r="K14" s="103">
        <f t="shared" si="2"/>
        <v>0.76579999999999993</v>
      </c>
      <c r="L14" s="25"/>
      <c r="M14" s="107">
        <f t="shared" si="5"/>
        <v>118.93203883495144</v>
      </c>
      <c r="N14" s="102">
        <f t="shared" si="6"/>
        <v>491.26213592233006</v>
      </c>
      <c r="O14" s="103">
        <f t="shared" si="7"/>
        <v>0.74349514563106789</v>
      </c>
      <c r="P14" s="25"/>
      <c r="Q14" s="25"/>
      <c r="R14" s="25"/>
      <c r="S14" s="25"/>
      <c r="T14" s="25"/>
      <c r="U14" s="25"/>
      <c r="V14" s="25"/>
      <c r="W14" s="25"/>
      <c r="X14" s="1"/>
      <c r="Y14" s="9"/>
    </row>
    <row r="15" spans="4:25" x14ac:dyDescent="0.25">
      <c r="D15" s="3"/>
      <c r="E15" s="76">
        <v>3</v>
      </c>
      <c r="F15" s="101">
        <v>1</v>
      </c>
      <c r="G15" s="102">
        <f t="shared" si="3"/>
        <v>0.34299999999999992</v>
      </c>
      <c r="H15" s="102">
        <f t="shared" si="4"/>
        <v>0.65700000000000003</v>
      </c>
      <c r="I15" s="102">
        <f t="shared" si="0"/>
        <v>85.749999999999986</v>
      </c>
      <c r="J15" s="102">
        <f t="shared" si="1"/>
        <v>594.20000000000005</v>
      </c>
      <c r="K15" s="103">
        <f t="shared" si="2"/>
        <v>0.70405999999999991</v>
      </c>
      <c r="L15" s="25"/>
      <c r="M15" s="107">
        <f t="shared" si="5"/>
        <v>80.827599208219425</v>
      </c>
      <c r="N15" s="102">
        <f t="shared" si="6"/>
        <v>560.09048920727696</v>
      </c>
      <c r="O15" s="103">
        <f t="shared" si="7"/>
        <v>0.66364407578471107</v>
      </c>
      <c r="P15" s="25"/>
      <c r="Q15" s="25"/>
      <c r="R15" s="25"/>
      <c r="S15" s="25"/>
      <c r="T15" s="25"/>
      <c r="U15" s="25"/>
      <c r="V15" s="25"/>
      <c r="W15" s="25"/>
      <c r="X15" s="1"/>
      <c r="Y15" s="9"/>
    </row>
    <row r="16" spans="4:25" x14ac:dyDescent="0.25">
      <c r="D16" s="3"/>
      <c r="E16" s="76">
        <v>4</v>
      </c>
      <c r="F16" s="101">
        <v>1</v>
      </c>
      <c r="G16" s="102">
        <f t="shared" si="3"/>
        <v>0.24009999999999992</v>
      </c>
      <c r="H16" s="102">
        <f t="shared" si="4"/>
        <v>0.75990000000000002</v>
      </c>
      <c r="I16" s="102">
        <f t="shared" si="0"/>
        <v>60.024999999999984</v>
      </c>
      <c r="J16" s="102">
        <f t="shared" si="1"/>
        <v>655.94</v>
      </c>
      <c r="K16" s="103">
        <f t="shared" si="2"/>
        <v>0.66084199999999993</v>
      </c>
      <c r="L16" s="25"/>
      <c r="M16" s="107">
        <f t="shared" si="5"/>
        <v>54.931378102673392</v>
      </c>
      <c r="N16" s="102">
        <f t="shared" si="6"/>
        <v>600.27802003611157</v>
      </c>
      <c r="O16" s="103">
        <f t="shared" si="7"/>
        <v>0.60476404445026066</v>
      </c>
      <c r="P16" s="25"/>
      <c r="Q16" s="25"/>
      <c r="R16" s="25"/>
      <c r="S16" s="25"/>
      <c r="T16" s="25"/>
      <c r="U16" s="25"/>
      <c r="V16" s="25"/>
      <c r="W16" s="25"/>
      <c r="X16" s="1"/>
      <c r="Y16" s="9"/>
    </row>
    <row r="17" spans="4:25" x14ac:dyDescent="0.25">
      <c r="D17" s="3"/>
      <c r="E17" s="76">
        <v>5</v>
      </c>
      <c r="F17" s="101">
        <v>1</v>
      </c>
      <c r="G17" s="102">
        <f t="shared" si="3"/>
        <v>0.16806999999999994</v>
      </c>
      <c r="H17" s="102">
        <f t="shared" si="4"/>
        <v>0.83193000000000006</v>
      </c>
      <c r="I17" s="102">
        <f t="shared" si="0"/>
        <v>42.017499999999984</v>
      </c>
      <c r="J17" s="102">
        <f t="shared" si="1"/>
        <v>699.15800000000013</v>
      </c>
      <c r="K17" s="103">
        <f t="shared" si="2"/>
        <v>0.63058940000000008</v>
      </c>
      <c r="L17" s="25"/>
      <c r="M17" s="107">
        <f t="shared" si="5"/>
        <v>37.332004535797445</v>
      </c>
      <c r="N17" s="102">
        <f t="shared" si="6"/>
        <v>621.19282744663735</v>
      </c>
      <c r="O17" s="103">
        <f t="shared" si="7"/>
        <v>0.56027051445292564</v>
      </c>
      <c r="P17" s="25"/>
      <c r="Q17" s="25"/>
      <c r="R17" s="25"/>
      <c r="S17" s="25"/>
      <c r="T17" s="25"/>
      <c r="U17" s="25"/>
      <c r="V17" s="25"/>
      <c r="W17" s="25"/>
      <c r="X17" s="1"/>
      <c r="Y17" s="9"/>
    </row>
    <row r="18" spans="4:25" x14ac:dyDescent="0.25">
      <c r="D18" s="3"/>
      <c r="E18" s="76">
        <v>6</v>
      </c>
      <c r="F18" s="101">
        <v>1</v>
      </c>
      <c r="G18" s="102">
        <f t="shared" si="3"/>
        <v>0.11764899999999995</v>
      </c>
      <c r="H18" s="102">
        <f t="shared" si="4"/>
        <v>0.882351</v>
      </c>
      <c r="I18" s="102">
        <f t="shared" si="0"/>
        <v>29.412249999999986</v>
      </c>
      <c r="J18" s="102">
        <f t="shared" si="1"/>
        <v>729.41060000000004</v>
      </c>
      <c r="K18" s="103">
        <f t="shared" si="2"/>
        <v>0.60941257999999998</v>
      </c>
      <c r="L18" s="25"/>
      <c r="M18" s="107">
        <f t="shared" si="5"/>
        <v>25.371265218503119</v>
      </c>
      <c r="N18" s="102">
        <f t="shared" si="6"/>
        <v>629.19599098292383</v>
      </c>
      <c r="O18" s="103">
        <f t="shared" si="7"/>
        <v>0.52568464482221711</v>
      </c>
      <c r="P18" s="25"/>
      <c r="Q18" s="25"/>
      <c r="R18" s="25"/>
      <c r="S18" s="25"/>
      <c r="T18" s="25"/>
      <c r="U18" s="25"/>
      <c r="V18" s="25"/>
      <c r="W18" s="25"/>
      <c r="X18" s="1"/>
      <c r="Y18" s="9"/>
    </row>
    <row r="19" spans="4:25" x14ac:dyDescent="0.25">
      <c r="D19" s="3"/>
      <c r="E19" s="76">
        <v>7</v>
      </c>
      <c r="F19" s="101">
        <v>1</v>
      </c>
      <c r="G19" s="102">
        <f t="shared" si="3"/>
        <v>8.2354299999999964E-2</v>
      </c>
      <c r="H19" s="102">
        <f t="shared" si="4"/>
        <v>0.91764570000000001</v>
      </c>
      <c r="I19" s="102">
        <f t="shared" si="0"/>
        <v>20.588574999999992</v>
      </c>
      <c r="J19" s="102">
        <f t="shared" si="1"/>
        <v>750.58742000000007</v>
      </c>
      <c r="K19" s="103">
        <f t="shared" si="2"/>
        <v>0.59458880599999997</v>
      </c>
      <c r="L19" s="25"/>
      <c r="M19" s="107">
        <f t="shared" si="5"/>
        <v>17.242607430050665</v>
      </c>
      <c r="N19" s="102">
        <f t="shared" si="6"/>
        <v>628.60514751480196</v>
      </c>
      <c r="O19" s="103">
        <f t="shared" si="7"/>
        <v>0.49795876422533158</v>
      </c>
      <c r="P19" s="25"/>
      <c r="Q19" s="25"/>
      <c r="R19" s="25"/>
      <c r="S19" s="25"/>
      <c r="T19" s="25"/>
      <c r="U19" s="25"/>
      <c r="V19" s="25"/>
      <c r="W19" s="25"/>
      <c r="X19" s="1"/>
      <c r="Y19" s="9"/>
    </row>
    <row r="20" spans="4:25" x14ac:dyDescent="0.25">
      <c r="D20" s="3"/>
      <c r="E20" s="76">
        <v>8</v>
      </c>
      <c r="F20" s="101">
        <v>1</v>
      </c>
      <c r="G20" s="102">
        <f t="shared" si="3"/>
        <v>5.7648009999999972E-2</v>
      </c>
      <c r="H20" s="102">
        <f t="shared" si="4"/>
        <v>0.94235199000000003</v>
      </c>
      <c r="I20" s="102">
        <f t="shared" si="0"/>
        <v>14.412002499999993</v>
      </c>
      <c r="J20" s="102">
        <f t="shared" si="1"/>
        <v>765.41119400000002</v>
      </c>
      <c r="K20" s="103">
        <f t="shared" si="2"/>
        <v>0.58421216419999999</v>
      </c>
      <c r="L20" s="25"/>
      <c r="M20" s="107">
        <f t="shared" si="5"/>
        <v>11.718276894209186</v>
      </c>
      <c r="N20" s="102">
        <f t="shared" si="6"/>
        <v>622.34934452858101</v>
      </c>
      <c r="O20" s="103">
        <f t="shared" si="7"/>
        <v>0.47501795153454957</v>
      </c>
      <c r="P20" s="25"/>
      <c r="Q20" s="25"/>
      <c r="R20" s="25"/>
      <c r="S20" s="25"/>
      <c r="T20" s="25"/>
      <c r="U20" s="25"/>
      <c r="V20" s="25"/>
      <c r="W20" s="25"/>
      <c r="X20" s="1"/>
      <c r="Y20" s="9"/>
    </row>
    <row r="21" spans="4:25" x14ac:dyDescent="0.25">
      <c r="D21" s="3"/>
      <c r="E21" s="76">
        <v>9</v>
      </c>
      <c r="F21" s="101">
        <v>1</v>
      </c>
      <c r="G21" s="102">
        <f t="shared" si="3"/>
        <v>4.0353606999999979E-2</v>
      </c>
      <c r="H21" s="102">
        <f t="shared" si="4"/>
        <v>0.95964639299999999</v>
      </c>
      <c r="I21" s="102">
        <f t="shared" si="0"/>
        <v>10.088401749999994</v>
      </c>
      <c r="J21" s="102">
        <f t="shared" si="1"/>
        <v>775.78783580000004</v>
      </c>
      <c r="K21" s="103">
        <f t="shared" si="2"/>
        <v>0.57694851493999999</v>
      </c>
      <c r="L21" s="25"/>
      <c r="M21" s="107">
        <f t="shared" si="5"/>
        <v>7.9638775009188647</v>
      </c>
      <c r="N21" s="102">
        <f t="shared" si="6"/>
        <v>612.41408144894342</v>
      </c>
      <c r="O21" s="103">
        <f t="shared" si="7"/>
        <v>0.45544848541734773</v>
      </c>
      <c r="P21" s="25"/>
      <c r="Q21" s="25"/>
      <c r="R21" s="25"/>
      <c r="S21" s="25"/>
      <c r="T21" s="25"/>
      <c r="U21" s="25"/>
      <c r="V21" s="25"/>
      <c r="W21" s="25"/>
      <c r="X21" s="1"/>
      <c r="Y21" s="9"/>
    </row>
    <row r="22" spans="4:25" x14ac:dyDescent="0.25">
      <c r="D22" s="3"/>
      <c r="E22" s="62">
        <v>10</v>
      </c>
      <c r="F22" s="104">
        <v>1</v>
      </c>
      <c r="G22" s="105">
        <f t="shared" si="3"/>
        <v>2.8247524899999984E-2</v>
      </c>
      <c r="H22" s="105">
        <f t="shared" si="4"/>
        <v>0.97175247509999996</v>
      </c>
      <c r="I22" s="105">
        <f t="shared" si="0"/>
        <v>7.061881224999996</v>
      </c>
      <c r="J22" s="105">
        <f t="shared" si="1"/>
        <v>783.05148505999989</v>
      </c>
      <c r="K22" s="106">
        <f t="shared" si="2"/>
        <v>0.57186396045800003</v>
      </c>
      <c r="L22" s="25"/>
      <c r="M22" s="108">
        <f t="shared" si="5"/>
        <v>5.4123439326633065</v>
      </c>
      <c r="N22" s="105">
        <f t="shared" si="6"/>
        <v>600.14376043650952</v>
      </c>
      <c r="O22" s="106">
        <f t="shared" si="7"/>
        <v>0.43828610791930545</v>
      </c>
      <c r="P22" s="25"/>
      <c r="Q22" s="25"/>
      <c r="R22" s="25"/>
      <c r="S22" s="25"/>
      <c r="T22" s="25"/>
      <c r="U22" s="25"/>
      <c r="V22" s="25"/>
      <c r="W22" s="25"/>
      <c r="X22" s="1"/>
      <c r="Y22" s="9"/>
    </row>
    <row r="23" spans="4:25" x14ac:dyDescent="0.25">
      <c r="D23" s="3"/>
      <c r="E23" s="25"/>
      <c r="F23" s="25"/>
      <c r="G23" s="25"/>
      <c r="H23" s="25"/>
      <c r="I23" s="25"/>
      <c r="J23" s="25"/>
      <c r="K23" s="41"/>
      <c r="L23" s="25"/>
      <c r="M23" s="25"/>
      <c r="N23" s="25"/>
      <c r="O23" s="41"/>
      <c r="P23" s="25"/>
      <c r="Q23" s="25"/>
      <c r="R23" s="25"/>
      <c r="S23" s="25"/>
      <c r="T23" s="25"/>
      <c r="U23" s="25"/>
      <c r="V23" s="25"/>
      <c r="W23" s="25"/>
      <c r="X23" s="1"/>
      <c r="Y23" s="9"/>
    </row>
    <row r="24" spans="4:25" x14ac:dyDescent="0.25">
      <c r="D24" s="3"/>
      <c r="E24" s="25"/>
      <c r="F24" s="25"/>
      <c r="G24" s="25"/>
      <c r="H24" s="25"/>
      <c r="I24" s="25"/>
      <c r="J24" s="25"/>
      <c r="K24" s="41"/>
      <c r="L24" s="25"/>
      <c r="M24" s="25"/>
      <c r="N24" s="25"/>
      <c r="O24" s="41"/>
      <c r="P24" s="25"/>
      <c r="Q24" s="25"/>
      <c r="R24" s="25"/>
      <c r="S24" s="25"/>
      <c r="T24" s="25"/>
      <c r="U24" s="25"/>
      <c r="V24" s="25"/>
      <c r="W24" s="25"/>
      <c r="X24" s="1"/>
      <c r="Y24" s="9"/>
    </row>
    <row r="25" spans="4:25" x14ac:dyDescent="0.25">
      <c r="D25" s="3"/>
      <c r="E25" s="25"/>
      <c r="F25" s="25"/>
      <c r="G25" s="25"/>
      <c r="H25" s="25"/>
      <c r="I25" s="25"/>
      <c r="J25" s="25"/>
      <c r="K25" s="41"/>
      <c r="L25" s="25"/>
      <c r="M25" s="25"/>
      <c r="N25" s="25"/>
      <c r="O25" s="41"/>
      <c r="P25" s="25"/>
      <c r="Q25" s="25"/>
      <c r="R25" s="25"/>
      <c r="S25" s="25"/>
      <c r="T25" s="25"/>
      <c r="U25" s="25"/>
      <c r="V25" s="25"/>
      <c r="W25" s="25"/>
      <c r="X25" s="1"/>
      <c r="Y25" s="9"/>
    </row>
    <row r="26" spans="4:25" x14ac:dyDescent="0.25">
      <c r="D26" s="3"/>
      <c r="E26" s="25"/>
      <c r="F26" s="25"/>
      <c r="G26" s="25"/>
      <c r="H26" s="25"/>
      <c r="I26" s="25"/>
      <c r="J26" s="25"/>
      <c r="K26" s="41"/>
      <c r="L26" s="25"/>
      <c r="M26" s="25"/>
      <c r="N26" s="25"/>
      <c r="O26" s="41"/>
      <c r="P26" s="25"/>
      <c r="Q26" s="25"/>
      <c r="R26" s="25"/>
      <c r="S26" s="25"/>
      <c r="T26" s="25"/>
      <c r="U26" s="25"/>
      <c r="V26" s="25"/>
      <c r="W26" s="25"/>
      <c r="X26" s="1"/>
      <c r="Y26" s="9"/>
    </row>
    <row r="27" spans="4:25" x14ac:dyDescent="0.25">
      <c r="D27" s="3"/>
      <c r="E27" s="25"/>
      <c r="F27" s="25"/>
      <c r="G27" s="25"/>
      <c r="H27" s="25"/>
      <c r="I27" s="25"/>
      <c r="J27" s="25"/>
      <c r="K27" s="41"/>
      <c r="L27" s="25"/>
      <c r="M27" s="25"/>
      <c r="N27" s="25"/>
      <c r="O27" s="41"/>
      <c r="P27" s="25"/>
      <c r="Q27" s="25"/>
      <c r="R27" s="25"/>
      <c r="S27" s="25"/>
      <c r="T27" s="25"/>
      <c r="U27" s="25"/>
      <c r="V27" s="25"/>
      <c r="W27" s="25"/>
      <c r="X27" s="1"/>
      <c r="Y27" s="9"/>
    </row>
    <row r="28" spans="4:25" x14ac:dyDescent="0.25">
      <c r="D28" s="3"/>
      <c r="E28" s="25"/>
      <c r="F28" s="25"/>
      <c r="G28" s="25"/>
      <c r="H28" s="25"/>
      <c r="I28" s="25"/>
      <c r="J28" s="25"/>
      <c r="K28" s="41"/>
      <c r="L28" s="25"/>
      <c r="M28" s="25"/>
      <c r="N28" s="25"/>
      <c r="O28" s="41"/>
      <c r="P28" s="25"/>
      <c r="Q28" s="25"/>
      <c r="R28" s="25"/>
      <c r="S28" s="25"/>
      <c r="T28" s="25"/>
      <c r="U28" s="25"/>
      <c r="V28" s="25"/>
      <c r="W28" s="25"/>
      <c r="X28" s="1"/>
      <c r="Y28" s="9"/>
    </row>
    <row r="29" spans="4:25" x14ac:dyDescent="0.25">
      <c r="D29" s="3"/>
      <c r="E29" s="25"/>
      <c r="F29" s="25"/>
      <c r="G29" s="25"/>
      <c r="H29" s="25"/>
      <c r="I29" s="25"/>
      <c r="J29" s="25"/>
      <c r="K29" s="41"/>
      <c r="L29" s="25"/>
      <c r="M29" s="25"/>
      <c r="N29" s="25"/>
      <c r="O29" s="41"/>
      <c r="P29" s="25"/>
      <c r="Q29" s="25"/>
      <c r="R29" s="25"/>
      <c r="S29" s="25"/>
      <c r="T29" s="25"/>
      <c r="U29" s="25"/>
      <c r="V29" s="25"/>
      <c r="W29" s="25"/>
      <c r="X29" s="1"/>
      <c r="Y29" s="9"/>
    </row>
    <row r="30" spans="4:25" x14ac:dyDescent="0.25">
      <c r="D30" s="3"/>
      <c r="E30" s="25"/>
      <c r="F30" s="25"/>
      <c r="G30" s="25"/>
      <c r="H30" s="25"/>
      <c r="I30" s="25"/>
      <c r="J30" s="25"/>
      <c r="K30" s="41"/>
      <c r="L30" s="25"/>
      <c r="M30" s="25"/>
      <c r="N30" s="25"/>
      <c r="O30" s="41"/>
      <c r="P30" s="25"/>
      <c r="Q30" s="25"/>
      <c r="R30" s="25"/>
      <c r="S30" s="25"/>
      <c r="T30" s="25"/>
      <c r="U30" s="25"/>
      <c r="V30" s="25"/>
      <c r="W30" s="25"/>
      <c r="X30" s="1"/>
      <c r="Y30" s="9"/>
    </row>
    <row r="31" spans="4:25" x14ac:dyDescent="0.25">
      <c r="D31" s="3"/>
      <c r="E31" s="25"/>
      <c r="F31" s="25"/>
      <c r="G31" s="25"/>
      <c r="H31" s="25"/>
      <c r="I31" s="25"/>
      <c r="J31" s="25"/>
      <c r="K31" s="41"/>
      <c r="L31" s="25"/>
      <c r="M31" s="25"/>
      <c r="N31" s="25"/>
      <c r="O31" s="41"/>
      <c r="P31" s="25"/>
      <c r="Q31" s="25"/>
      <c r="R31" s="25"/>
      <c r="S31" s="25"/>
      <c r="T31" s="25"/>
      <c r="U31" s="25"/>
      <c r="V31" s="25"/>
      <c r="W31" s="25"/>
      <c r="X31" s="1"/>
      <c r="Y31" s="9"/>
    </row>
    <row r="32" spans="4:25" x14ac:dyDescent="0.25">
      <c r="D32" s="3"/>
      <c r="E32" s="25"/>
      <c r="F32" s="25"/>
      <c r="G32" s="25"/>
      <c r="H32" s="25"/>
      <c r="I32" s="25"/>
      <c r="J32" s="25"/>
      <c r="K32" s="41"/>
      <c r="L32" s="25"/>
      <c r="M32" s="25"/>
      <c r="N32" s="25"/>
      <c r="O32" s="41"/>
      <c r="P32" s="25"/>
      <c r="Q32" s="25"/>
      <c r="R32" s="25"/>
      <c r="S32" s="25"/>
      <c r="T32" s="25"/>
      <c r="U32" s="25"/>
      <c r="V32" s="25"/>
      <c r="W32" s="25"/>
      <c r="X32" s="1"/>
      <c r="Y32" s="9"/>
    </row>
    <row r="33" spans="4:25" x14ac:dyDescent="0.25">
      <c r="D33" s="3"/>
      <c r="E33" s="25"/>
      <c r="F33" s="25"/>
      <c r="G33" s="25"/>
      <c r="H33" s="25"/>
      <c r="I33" s="25"/>
      <c r="J33" s="25"/>
      <c r="K33" s="41"/>
      <c r="L33" s="25"/>
      <c r="M33" s="25"/>
      <c r="N33" s="25"/>
      <c r="O33" s="41"/>
      <c r="P33" s="25"/>
      <c r="Q33" s="25"/>
      <c r="R33" s="25"/>
      <c r="S33" s="25"/>
      <c r="T33" s="25"/>
      <c r="U33" s="25"/>
      <c r="V33" s="25"/>
      <c r="W33" s="25"/>
      <c r="X33" s="1"/>
      <c r="Y33" s="9"/>
    </row>
    <row r="34" spans="4:25" x14ac:dyDescent="0.25">
      <c r="D34" s="3"/>
      <c r="E34" s="25"/>
      <c r="F34" s="25"/>
      <c r="G34" s="25"/>
      <c r="H34" s="25"/>
      <c r="I34" s="25"/>
      <c r="J34" s="25"/>
      <c r="K34" s="41"/>
      <c r="L34" s="25"/>
      <c r="M34" s="25"/>
      <c r="N34" s="25"/>
      <c r="O34" s="41"/>
      <c r="P34" s="25"/>
      <c r="Q34" s="25"/>
      <c r="R34" s="25"/>
      <c r="S34" s="25"/>
      <c r="T34" s="25"/>
      <c r="U34" s="25"/>
      <c r="V34" s="25"/>
      <c r="W34" s="25"/>
      <c r="X34" s="1"/>
      <c r="Y34" s="9"/>
    </row>
    <row r="35" spans="4:25" x14ac:dyDescent="0.25">
      <c r="D35" s="3"/>
      <c r="E35" s="25"/>
      <c r="F35" s="25"/>
      <c r="G35" s="25"/>
      <c r="H35" s="25"/>
      <c r="I35" s="25"/>
      <c r="J35" s="25"/>
      <c r="K35" s="41"/>
      <c r="L35" s="25"/>
      <c r="M35" s="25"/>
      <c r="N35" s="25"/>
      <c r="O35" s="41"/>
      <c r="P35" s="25"/>
      <c r="Q35" s="25"/>
      <c r="R35" s="25"/>
      <c r="S35" s="25"/>
      <c r="T35" s="25"/>
      <c r="U35" s="25"/>
      <c r="V35" s="25"/>
      <c r="W35" s="25"/>
      <c r="X35" s="1"/>
      <c r="Y35" s="9"/>
    </row>
    <row r="36" spans="4:25" x14ac:dyDescent="0.25">
      <c r="D36" s="3"/>
      <c r="E36" s="25"/>
      <c r="F36" s="25"/>
      <c r="G36" s="25"/>
      <c r="H36" s="25"/>
      <c r="I36" s="25"/>
      <c r="J36" s="25"/>
      <c r="K36" s="41"/>
      <c r="L36" s="25"/>
      <c r="M36" s="25"/>
      <c r="N36" s="25"/>
      <c r="O36" s="41"/>
      <c r="P36" s="25"/>
      <c r="Q36" s="25"/>
      <c r="R36" s="25"/>
      <c r="S36" s="25"/>
      <c r="T36" s="25"/>
      <c r="U36" s="25"/>
      <c r="V36" s="25"/>
      <c r="W36" s="25"/>
      <c r="X36" s="1"/>
      <c r="Y36" s="9"/>
    </row>
    <row r="37" spans="4:25" x14ac:dyDescent="0.25">
      <c r="D37" s="3"/>
      <c r="E37" s="25"/>
      <c r="F37" s="25"/>
      <c r="G37" s="25"/>
      <c r="H37" s="25"/>
      <c r="I37" s="25"/>
      <c r="J37" s="25"/>
      <c r="K37" s="41"/>
      <c r="L37" s="25"/>
      <c r="M37" s="25"/>
      <c r="N37" s="25"/>
      <c r="O37" s="41"/>
      <c r="P37" s="25"/>
      <c r="Q37" s="25"/>
      <c r="R37" s="25"/>
      <c r="S37" s="25"/>
      <c r="T37" s="25"/>
      <c r="U37" s="25"/>
      <c r="V37" s="25"/>
      <c r="W37" s="25"/>
      <c r="X37" s="1"/>
      <c r="Y37" s="9"/>
    </row>
    <row r="38" spans="4:25" x14ac:dyDescent="0.25">
      <c r="D38" s="3"/>
      <c r="E38" s="25"/>
      <c r="F38" s="25"/>
      <c r="G38" s="25"/>
      <c r="H38" s="25"/>
      <c r="I38" s="25"/>
      <c r="J38" s="25"/>
      <c r="K38" s="41"/>
      <c r="L38" s="25"/>
      <c r="M38" s="25"/>
      <c r="N38" s="25"/>
      <c r="O38" s="41"/>
      <c r="P38" s="25"/>
      <c r="Q38" s="25"/>
      <c r="R38" s="25"/>
      <c r="S38" s="25"/>
      <c r="T38" s="25"/>
      <c r="U38" s="25"/>
      <c r="V38" s="25"/>
      <c r="W38" s="25"/>
      <c r="X38" s="1"/>
      <c r="Y38" s="9"/>
    </row>
    <row r="39" spans="4:25" x14ac:dyDescent="0.25">
      <c r="D39" s="3"/>
      <c r="E39" s="25"/>
      <c r="F39" s="25"/>
      <c r="G39" s="25"/>
      <c r="H39" s="25"/>
      <c r="I39" s="25"/>
      <c r="J39" s="25"/>
      <c r="K39" s="41"/>
      <c r="L39" s="25"/>
      <c r="M39" s="25"/>
      <c r="N39" s="25"/>
      <c r="O39" s="41"/>
      <c r="P39" s="25"/>
      <c r="Q39" s="25"/>
      <c r="R39" s="25"/>
      <c r="S39" s="25"/>
      <c r="T39" s="25"/>
      <c r="U39" s="25"/>
      <c r="V39" s="25"/>
      <c r="W39" s="25"/>
      <c r="X39" s="1"/>
      <c r="Y39" s="9"/>
    </row>
    <row r="40" spans="4:25" x14ac:dyDescent="0.25">
      <c r="D40" s="3"/>
      <c r="E40" s="25"/>
      <c r="F40" s="25"/>
      <c r="G40" s="25"/>
      <c r="H40" s="25"/>
      <c r="I40" s="25"/>
      <c r="J40" s="25"/>
      <c r="K40" s="41"/>
      <c r="L40" s="25"/>
      <c r="M40" s="25"/>
      <c r="N40" s="25"/>
      <c r="O40" s="41"/>
      <c r="P40" s="25"/>
      <c r="Q40" s="25"/>
      <c r="R40" s="25"/>
      <c r="S40" s="25"/>
      <c r="T40" s="25"/>
      <c r="U40" s="25"/>
      <c r="V40" s="25"/>
      <c r="W40" s="25"/>
      <c r="X40" s="1"/>
      <c r="Y40" s="9"/>
    </row>
    <row r="41" spans="4:25" x14ac:dyDescent="0.25">
      <c r="D41" s="3"/>
      <c r="E41" s="25"/>
      <c r="F41" s="25"/>
      <c r="G41" s="25"/>
      <c r="H41" s="25"/>
      <c r="I41" s="25"/>
      <c r="J41" s="25"/>
      <c r="K41" s="41"/>
      <c r="L41" s="25"/>
      <c r="M41" s="25"/>
      <c r="N41" s="25"/>
      <c r="O41" s="41"/>
      <c r="P41" s="25"/>
      <c r="Q41" s="25"/>
      <c r="R41" s="25"/>
      <c r="S41" s="25"/>
      <c r="T41" s="25"/>
      <c r="U41" s="25"/>
      <c r="V41" s="25"/>
      <c r="W41" s="25"/>
      <c r="X41" s="1"/>
      <c r="Y41" s="9"/>
    </row>
    <row r="42" spans="4:25" x14ac:dyDescent="0.25">
      <c r="D42" s="3"/>
      <c r="E42" s="25"/>
      <c r="F42" s="25"/>
      <c r="G42" s="25"/>
      <c r="H42" s="25"/>
      <c r="I42" s="25"/>
      <c r="J42" s="25"/>
      <c r="K42" s="41"/>
      <c r="L42" s="25"/>
      <c r="M42" s="25"/>
      <c r="N42" s="25"/>
      <c r="O42" s="41"/>
      <c r="P42" s="25"/>
      <c r="Q42" s="25"/>
      <c r="R42" s="25"/>
      <c r="S42" s="25"/>
      <c r="T42" s="25"/>
      <c r="U42" s="25"/>
      <c r="V42" s="25"/>
      <c r="W42" s="25"/>
      <c r="X42" s="1"/>
      <c r="Y42" s="9"/>
    </row>
    <row r="43" spans="4:25" x14ac:dyDescent="0.25">
      <c r="D43" s="3"/>
      <c r="E43" s="25"/>
      <c r="F43" s="25"/>
      <c r="G43" s="25"/>
      <c r="H43" s="25"/>
      <c r="I43" s="25"/>
      <c r="J43" s="25"/>
      <c r="K43" s="41"/>
      <c r="L43" s="25"/>
      <c r="M43" s="25"/>
      <c r="N43" s="25"/>
      <c r="O43" s="41"/>
      <c r="P43" s="25"/>
      <c r="Q43" s="25"/>
      <c r="R43" s="25"/>
      <c r="S43" s="25"/>
      <c r="T43" s="25"/>
      <c r="U43" s="25"/>
      <c r="V43" s="25"/>
      <c r="W43" s="25"/>
      <c r="X43" s="1"/>
      <c r="Y43" s="9"/>
    </row>
    <row r="44" spans="4:25" x14ac:dyDescent="0.25">
      <c r="D44" s="3"/>
      <c r="E44" s="25"/>
      <c r="F44" s="25"/>
      <c r="G44" s="25"/>
      <c r="H44" s="25"/>
      <c r="I44" s="25"/>
      <c r="J44" s="25"/>
      <c r="K44" s="41"/>
      <c r="L44" s="25"/>
      <c r="M44" s="25"/>
      <c r="N44" s="25"/>
      <c r="O44" s="41"/>
      <c r="P44" s="25"/>
      <c r="Q44" s="25"/>
      <c r="R44" s="25"/>
      <c r="S44" s="25"/>
      <c r="T44" s="25"/>
      <c r="U44" s="25"/>
      <c r="V44" s="25"/>
      <c r="W44" s="25"/>
      <c r="X44" s="1"/>
      <c r="Y44" s="9"/>
    </row>
    <row r="45" spans="4:25" x14ac:dyDescent="0.25">
      <c r="D45" s="3"/>
      <c r="E45" s="25"/>
      <c r="F45" s="25"/>
      <c r="G45" s="25"/>
      <c r="H45" s="25"/>
      <c r="I45" s="25"/>
      <c r="J45" s="25"/>
      <c r="K45" s="41"/>
      <c r="L45" s="25"/>
      <c r="M45" s="25"/>
      <c r="N45" s="25"/>
      <c r="O45" s="41"/>
      <c r="P45" s="25"/>
      <c r="Q45" s="25"/>
      <c r="R45" s="25"/>
      <c r="S45" s="25"/>
      <c r="T45" s="25"/>
      <c r="U45" s="25"/>
      <c r="V45" s="25"/>
      <c r="W45" s="25"/>
      <c r="X45" s="1"/>
      <c r="Y45" s="9"/>
    </row>
    <row r="46" spans="4:25" x14ac:dyDescent="0.25">
      <c r="D46" s="3"/>
      <c r="E46" s="25"/>
      <c r="F46" s="25"/>
      <c r="G46" s="25"/>
      <c r="H46" s="25"/>
      <c r="I46" s="25"/>
      <c r="J46" s="25"/>
      <c r="K46" s="41"/>
      <c r="L46" s="25"/>
      <c r="M46" s="25"/>
      <c r="N46" s="25"/>
      <c r="O46" s="41"/>
      <c r="P46" s="25"/>
      <c r="Q46" s="25"/>
      <c r="R46" s="25"/>
      <c r="S46" s="25"/>
      <c r="T46" s="25"/>
      <c r="U46" s="25"/>
      <c r="V46" s="25"/>
      <c r="W46" s="25"/>
      <c r="X46" s="1"/>
      <c r="Y46" s="9"/>
    </row>
    <row r="47" spans="4:25" x14ac:dyDescent="0.25">
      <c r="D47" s="3"/>
      <c r="E47" s="25"/>
      <c r="F47" s="25"/>
      <c r="G47" s="25"/>
      <c r="H47" s="25"/>
      <c r="I47" s="25"/>
      <c r="J47" s="25"/>
      <c r="K47" s="41"/>
      <c r="L47" s="25"/>
      <c r="M47" s="25"/>
      <c r="N47" s="25"/>
      <c r="O47" s="41"/>
      <c r="P47" s="25"/>
      <c r="Q47" s="25"/>
      <c r="R47" s="25"/>
      <c r="S47" s="25"/>
      <c r="T47" s="25"/>
      <c r="U47" s="25"/>
      <c r="V47" s="25"/>
      <c r="W47" s="25"/>
      <c r="X47" s="1"/>
      <c r="Y47" s="9"/>
    </row>
    <row r="48" spans="4:25" x14ac:dyDescent="0.25">
      <c r="D48" s="3"/>
      <c r="E48" s="25"/>
      <c r="F48" s="25"/>
      <c r="G48" s="25"/>
      <c r="H48" s="25"/>
      <c r="I48" s="25"/>
      <c r="J48" s="25"/>
      <c r="K48" s="41"/>
      <c r="L48" s="25"/>
      <c r="M48" s="25"/>
      <c r="N48" s="25"/>
      <c r="O48" s="41"/>
      <c r="P48" s="25"/>
      <c r="Q48" s="25"/>
      <c r="R48" s="25"/>
      <c r="S48" s="25"/>
      <c r="T48" s="25"/>
      <c r="U48" s="25"/>
      <c r="V48" s="25"/>
      <c r="W48" s="25"/>
      <c r="X48" s="1"/>
      <c r="Y48" s="9"/>
    </row>
    <row r="49" spans="4:25" x14ac:dyDescent="0.25">
      <c r="D49" s="3"/>
      <c r="E49" s="25"/>
      <c r="F49" s="25"/>
      <c r="G49" s="25"/>
      <c r="H49" s="25"/>
      <c r="I49" s="25"/>
      <c r="J49" s="25"/>
      <c r="K49" s="41"/>
      <c r="L49" s="25"/>
      <c r="M49" s="25"/>
      <c r="N49" s="25"/>
      <c r="O49" s="41"/>
      <c r="P49" s="25"/>
      <c r="Q49" s="25"/>
      <c r="R49" s="25"/>
      <c r="S49" s="25"/>
      <c r="T49" s="25"/>
      <c r="U49" s="25"/>
      <c r="V49" s="25"/>
      <c r="W49" s="25"/>
      <c r="X49" s="1"/>
      <c r="Y49" s="9"/>
    </row>
    <row r="50" spans="4:25" x14ac:dyDescent="0.25">
      <c r="D50" s="3"/>
      <c r="E50" s="25"/>
      <c r="F50" s="25"/>
      <c r="G50" s="25"/>
      <c r="H50" s="25"/>
      <c r="I50" s="25"/>
      <c r="J50" s="25"/>
      <c r="K50" s="41"/>
      <c r="L50" s="25"/>
      <c r="M50" s="25"/>
      <c r="N50" s="25"/>
      <c r="O50" s="41"/>
      <c r="P50" s="25"/>
      <c r="Q50" s="25"/>
      <c r="R50" s="25"/>
      <c r="S50" s="25"/>
      <c r="T50" s="25"/>
      <c r="U50" s="25"/>
      <c r="V50" s="25"/>
      <c r="W50" s="25"/>
      <c r="X50" s="1"/>
      <c r="Y50" s="9"/>
    </row>
    <row r="51" spans="4:25" x14ac:dyDescent="0.25">
      <c r="D51" s="3"/>
      <c r="E51" s="25"/>
      <c r="F51" s="25"/>
      <c r="G51" s="25"/>
      <c r="H51" s="25"/>
      <c r="I51" s="25"/>
      <c r="J51" s="25"/>
      <c r="K51" s="41"/>
      <c r="L51" s="25"/>
      <c r="M51" s="25"/>
      <c r="N51" s="25"/>
      <c r="O51" s="41"/>
      <c r="P51" s="25"/>
      <c r="Q51" s="25"/>
      <c r="R51" s="25"/>
      <c r="S51" s="25"/>
      <c r="T51" s="25"/>
      <c r="U51" s="25"/>
      <c r="V51" s="25"/>
      <c r="W51" s="25"/>
      <c r="X51" s="1"/>
      <c r="Y51" s="9"/>
    </row>
    <row r="52" spans="4:25" x14ac:dyDescent="0.25">
      <c r="D52" s="3"/>
      <c r="E52" s="25"/>
      <c r="F52" s="25"/>
      <c r="G52" s="25"/>
      <c r="H52" s="25"/>
      <c r="I52" s="25"/>
      <c r="J52" s="25"/>
      <c r="K52" s="41"/>
      <c r="L52" s="25"/>
      <c r="M52" s="25"/>
      <c r="N52" s="25"/>
      <c r="O52" s="41"/>
      <c r="P52" s="25"/>
      <c r="Q52" s="25"/>
      <c r="R52" s="25"/>
      <c r="S52" s="25"/>
      <c r="T52" s="25"/>
      <c r="U52" s="25"/>
      <c r="V52" s="25"/>
      <c r="W52" s="25"/>
      <c r="X52" s="1"/>
      <c r="Y52" s="9"/>
    </row>
    <row r="53" spans="4:25" x14ac:dyDescent="0.25">
      <c r="D53" s="3"/>
      <c r="E53" s="25"/>
      <c r="F53" s="25"/>
      <c r="G53" s="25"/>
      <c r="H53" s="25"/>
      <c r="I53" s="25"/>
      <c r="J53" s="25"/>
      <c r="K53" s="41"/>
      <c r="L53" s="25"/>
      <c r="M53" s="25"/>
      <c r="N53" s="25"/>
      <c r="O53" s="41"/>
      <c r="P53" s="25"/>
      <c r="Q53" s="25"/>
      <c r="R53" s="25"/>
      <c r="S53" s="25"/>
      <c r="T53" s="25"/>
      <c r="U53" s="25"/>
      <c r="V53" s="25"/>
      <c r="W53" s="25"/>
      <c r="X53" s="1"/>
      <c r="Y53" s="9"/>
    </row>
    <row r="54" spans="4:25" x14ac:dyDescent="0.25">
      <c r="D54" s="3"/>
      <c r="E54" s="25"/>
      <c r="F54" s="25"/>
      <c r="G54" s="25"/>
      <c r="H54" s="25"/>
      <c r="I54" s="25"/>
      <c r="J54" s="25"/>
      <c r="K54" s="41"/>
      <c r="L54" s="25"/>
      <c r="M54" s="25"/>
      <c r="N54" s="25"/>
      <c r="O54" s="41"/>
      <c r="P54" s="25"/>
      <c r="Q54" s="25"/>
      <c r="R54" s="25"/>
      <c r="S54" s="25"/>
      <c r="T54" s="25"/>
      <c r="U54" s="25"/>
      <c r="V54" s="25"/>
      <c r="W54" s="25"/>
      <c r="X54" s="1"/>
      <c r="Y54" s="9"/>
    </row>
    <row r="55" spans="4:25" x14ac:dyDescent="0.25">
      <c r="D55" s="3"/>
      <c r="E55" s="25"/>
      <c r="F55" s="25"/>
      <c r="G55" s="25"/>
      <c r="H55" s="25"/>
      <c r="I55" s="25"/>
      <c r="J55" s="25"/>
      <c r="K55" s="41"/>
      <c r="L55" s="25"/>
      <c r="M55" s="25"/>
      <c r="N55" s="25"/>
      <c r="O55" s="41"/>
      <c r="P55" s="25"/>
      <c r="Q55" s="25"/>
      <c r="R55" s="25"/>
      <c r="S55" s="25"/>
      <c r="T55" s="25"/>
      <c r="U55" s="25"/>
      <c r="V55" s="25"/>
      <c r="W55" s="25"/>
      <c r="X55" s="1"/>
      <c r="Y55" s="9"/>
    </row>
    <row r="56" spans="4:25" x14ac:dyDescent="0.25">
      <c r="D56" s="3"/>
      <c r="E56" s="25"/>
      <c r="F56" s="25"/>
      <c r="G56" s="25"/>
      <c r="H56" s="25"/>
      <c r="I56" s="25"/>
      <c r="J56" s="25"/>
      <c r="K56" s="41"/>
      <c r="L56" s="25"/>
      <c r="M56" s="25"/>
      <c r="N56" s="25"/>
      <c r="O56" s="41"/>
      <c r="P56" s="25"/>
      <c r="Q56" s="25"/>
      <c r="R56" s="25"/>
      <c r="S56" s="25"/>
      <c r="T56" s="25"/>
      <c r="U56" s="25"/>
      <c r="V56" s="25"/>
      <c r="W56" s="25"/>
      <c r="X56" s="1"/>
      <c r="Y56" s="9"/>
    </row>
    <row r="57" spans="4:25" x14ac:dyDescent="0.25">
      <c r="D57" s="3"/>
      <c r="E57" s="25"/>
      <c r="F57" s="25"/>
      <c r="G57" s="25"/>
      <c r="H57" s="25"/>
      <c r="I57" s="25"/>
      <c r="J57" s="25"/>
      <c r="K57" s="41"/>
      <c r="L57" s="25"/>
      <c r="M57" s="25"/>
      <c r="N57" s="25"/>
      <c r="O57" s="41"/>
      <c r="P57" s="25"/>
      <c r="Q57" s="25"/>
      <c r="R57" s="25"/>
      <c r="S57" s="25"/>
      <c r="T57" s="25"/>
      <c r="U57" s="25"/>
      <c r="V57" s="25"/>
      <c r="W57" s="25"/>
      <c r="X57" s="1"/>
      <c r="Y57" s="9"/>
    </row>
    <row r="58" spans="4:25" x14ac:dyDescent="0.25">
      <c r="D58" s="3"/>
      <c r="E58" s="25"/>
      <c r="F58" s="25"/>
      <c r="G58" s="25"/>
      <c r="H58" s="25"/>
      <c r="I58" s="25"/>
      <c r="J58" s="25"/>
      <c r="K58" s="41"/>
      <c r="L58" s="25"/>
      <c r="M58" s="25"/>
      <c r="N58" s="25"/>
      <c r="O58" s="41"/>
      <c r="P58" s="25"/>
      <c r="Q58" s="25"/>
      <c r="R58" s="25"/>
      <c r="S58" s="25"/>
      <c r="T58" s="25"/>
      <c r="U58" s="25"/>
      <c r="V58" s="25"/>
      <c r="W58" s="25"/>
      <c r="X58" s="1"/>
      <c r="Y58" s="9"/>
    </row>
    <row r="59" spans="4:25" x14ac:dyDescent="0.25">
      <c r="D59" s="3"/>
      <c r="E59" s="25"/>
      <c r="F59" s="25"/>
      <c r="G59" s="25"/>
      <c r="H59" s="25"/>
      <c r="I59" s="25"/>
      <c r="J59" s="25"/>
      <c r="K59" s="41"/>
      <c r="L59" s="25"/>
      <c r="M59" s="25"/>
      <c r="N59" s="25"/>
      <c r="O59" s="41"/>
      <c r="P59" s="25"/>
      <c r="Q59" s="25"/>
      <c r="R59" s="25"/>
      <c r="S59" s="25"/>
      <c r="T59" s="25"/>
      <c r="U59" s="25"/>
      <c r="V59" s="25"/>
      <c r="W59" s="25"/>
      <c r="X59" s="1"/>
      <c r="Y59" s="9"/>
    </row>
    <row r="60" spans="4:25" x14ac:dyDescent="0.25">
      <c r="D60" s="3"/>
      <c r="E60" s="25"/>
      <c r="F60" s="25"/>
      <c r="G60" s="25"/>
      <c r="H60" s="25"/>
      <c r="I60" s="25"/>
      <c r="J60" s="25"/>
      <c r="K60" s="41"/>
      <c r="L60" s="25"/>
      <c r="M60" s="25"/>
      <c r="N60" s="25"/>
      <c r="O60" s="41"/>
      <c r="P60" s="25"/>
      <c r="Q60" s="25"/>
      <c r="R60" s="25"/>
      <c r="S60" s="25"/>
      <c r="T60" s="25"/>
      <c r="U60" s="25"/>
      <c r="V60" s="25"/>
      <c r="W60" s="25"/>
      <c r="X60" s="1"/>
      <c r="Y60" s="9"/>
    </row>
    <row r="61" spans="4:25" x14ac:dyDescent="0.25">
      <c r="D61" s="3"/>
      <c r="E61" s="25"/>
      <c r="F61" s="25"/>
      <c r="G61" s="25"/>
      <c r="H61" s="25"/>
      <c r="I61" s="25"/>
      <c r="J61" s="25"/>
      <c r="K61" s="41"/>
      <c r="L61" s="25"/>
      <c r="M61" s="25"/>
      <c r="N61" s="25"/>
      <c r="O61" s="41"/>
      <c r="P61" s="25"/>
      <c r="Q61" s="25"/>
      <c r="R61" s="25"/>
      <c r="S61" s="25"/>
      <c r="T61" s="25"/>
      <c r="U61" s="25"/>
      <c r="V61" s="25"/>
      <c r="W61" s="25"/>
      <c r="X61" s="1"/>
      <c r="Y61" s="9"/>
    </row>
    <row r="62" spans="4:25" x14ac:dyDescent="0.25">
      <c r="D62" s="3"/>
      <c r="E62" s="25"/>
      <c r="F62" s="25"/>
      <c r="G62" s="25"/>
      <c r="H62" s="25"/>
      <c r="I62" s="25"/>
      <c r="J62" s="25"/>
      <c r="K62" s="41"/>
      <c r="L62" s="25"/>
      <c r="M62" s="25"/>
      <c r="N62" s="25"/>
      <c r="O62" s="41"/>
      <c r="P62" s="25"/>
      <c r="Q62" s="25"/>
      <c r="R62" s="25"/>
      <c r="S62" s="25"/>
      <c r="T62" s="25"/>
      <c r="U62" s="25"/>
      <c r="V62" s="25"/>
      <c r="W62" s="25"/>
      <c r="X62" s="1"/>
      <c r="Y62" s="9"/>
    </row>
    <row r="63" spans="4:25" x14ac:dyDescent="0.25">
      <c r="D63" s="3"/>
      <c r="E63" s="25"/>
      <c r="F63" s="25"/>
      <c r="G63" s="25"/>
      <c r="H63" s="25"/>
      <c r="I63" s="25"/>
      <c r="J63" s="25"/>
      <c r="K63" s="41"/>
      <c r="L63" s="25"/>
      <c r="M63" s="25"/>
      <c r="N63" s="25"/>
      <c r="O63" s="41"/>
      <c r="P63" s="25"/>
      <c r="Q63" s="25"/>
      <c r="R63" s="25"/>
      <c r="S63" s="25"/>
      <c r="T63" s="25"/>
      <c r="U63" s="25"/>
      <c r="V63" s="25"/>
      <c r="W63" s="25"/>
      <c r="X63" s="1"/>
      <c r="Y63" s="9"/>
    </row>
    <row r="64" spans="4:25" x14ac:dyDescent="0.25">
      <c r="D64" s="3"/>
      <c r="E64" s="25"/>
      <c r="F64" s="25"/>
      <c r="G64" s="25"/>
      <c r="H64" s="25"/>
      <c r="I64" s="25"/>
      <c r="J64" s="25"/>
      <c r="K64" s="41"/>
      <c r="L64" s="25"/>
      <c r="M64" s="25"/>
      <c r="N64" s="25"/>
      <c r="O64" s="41"/>
      <c r="P64" s="25"/>
      <c r="Q64" s="25"/>
      <c r="R64" s="25"/>
      <c r="S64" s="25"/>
      <c r="T64" s="25"/>
      <c r="U64" s="25"/>
      <c r="V64" s="25"/>
      <c r="W64" s="25"/>
      <c r="X64" s="1"/>
      <c r="Y64" s="9"/>
    </row>
    <row r="65" spans="4:25" x14ac:dyDescent="0.25">
      <c r="D65" s="3"/>
      <c r="E65" s="25"/>
      <c r="F65" s="25"/>
      <c r="G65" s="25"/>
      <c r="H65" s="25"/>
      <c r="I65" s="25"/>
      <c r="J65" s="25"/>
      <c r="K65" s="41"/>
      <c r="L65" s="25"/>
      <c r="M65" s="25"/>
      <c r="N65" s="25"/>
      <c r="O65" s="41"/>
      <c r="P65" s="25"/>
      <c r="Q65" s="25"/>
      <c r="R65" s="25"/>
      <c r="S65" s="25"/>
      <c r="T65" s="25"/>
      <c r="U65" s="25"/>
      <c r="V65" s="25"/>
      <c r="W65" s="25"/>
      <c r="X65" s="1"/>
      <c r="Y65" s="9"/>
    </row>
    <row r="66" spans="4:25" x14ac:dyDescent="0.25">
      <c r="D66" s="3"/>
      <c r="E66" s="25"/>
      <c r="F66" s="25"/>
      <c r="G66" s="25"/>
      <c r="H66" s="25"/>
      <c r="I66" s="25"/>
      <c r="J66" s="25"/>
      <c r="K66" s="41"/>
      <c r="L66" s="25"/>
      <c r="M66" s="25"/>
      <c r="N66" s="25"/>
      <c r="O66" s="41"/>
      <c r="P66" s="25"/>
      <c r="Q66" s="25"/>
      <c r="R66" s="25"/>
      <c r="S66" s="25"/>
      <c r="T66" s="25"/>
      <c r="U66" s="25"/>
      <c r="V66" s="25"/>
      <c r="W66" s="25"/>
      <c r="X66" s="1"/>
      <c r="Y66" s="9"/>
    </row>
    <row r="67" spans="4:25" x14ac:dyDescent="0.25">
      <c r="D67" s="3"/>
      <c r="E67" s="25"/>
      <c r="F67" s="25"/>
      <c r="G67" s="25"/>
      <c r="H67" s="25"/>
      <c r="I67" s="25"/>
      <c r="J67" s="25"/>
      <c r="K67" s="41"/>
      <c r="L67" s="25"/>
      <c r="M67" s="25"/>
      <c r="N67" s="25"/>
      <c r="O67" s="41"/>
      <c r="P67" s="25"/>
      <c r="Q67" s="25"/>
      <c r="R67" s="25"/>
      <c r="S67" s="25"/>
      <c r="T67" s="25"/>
      <c r="U67" s="25"/>
      <c r="V67" s="25"/>
      <c r="W67" s="25"/>
      <c r="X67" s="1"/>
      <c r="Y67" s="9"/>
    </row>
    <row r="68" spans="4:25" x14ac:dyDescent="0.25">
      <c r="D68" s="3"/>
      <c r="E68" s="25"/>
      <c r="F68" s="25"/>
      <c r="G68" s="25"/>
      <c r="H68" s="25"/>
      <c r="I68" s="25"/>
      <c r="J68" s="25"/>
      <c r="K68" s="41"/>
      <c r="L68" s="25"/>
      <c r="M68" s="25"/>
      <c r="N68" s="25"/>
      <c r="O68" s="41"/>
      <c r="P68" s="25"/>
      <c r="Q68" s="25"/>
      <c r="R68" s="25"/>
      <c r="S68" s="25"/>
      <c r="T68" s="25"/>
      <c r="U68" s="25"/>
      <c r="V68" s="25"/>
      <c r="W68" s="25"/>
      <c r="X68" s="1"/>
      <c r="Y68" s="9"/>
    </row>
    <row r="69" spans="4:25" x14ac:dyDescent="0.25">
      <c r="D69" s="3"/>
      <c r="E69" s="25"/>
      <c r="F69" s="25"/>
      <c r="G69" s="25"/>
      <c r="H69" s="25"/>
      <c r="I69" s="25"/>
      <c r="J69" s="25"/>
      <c r="K69" s="41"/>
      <c r="L69" s="25"/>
      <c r="M69" s="25"/>
      <c r="N69" s="25"/>
      <c r="O69" s="41"/>
      <c r="P69" s="25"/>
      <c r="Q69" s="25"/>
      <c r="R69" s="25"/>
      <c r="S69" s="25"/>
      <c r="T69" s="25"/>
      <c r="U69" s="25"/>
      <c r="V69" s="25"/>
      <c r="W69" s="25"/>
      <c r="X69" s="1"/>
      <c r="Y69" s="9"/>
    </row>
    <row r="70" spans="4:25" x14ac:dyDescent="0.25">
      <c r="D70" s="3"/>
      <c r="E70" s="25"/>
      <c r="F70" s="25"/>
      <c r="G70" s="25"/>
      <c r="H70" s="25"/>
      <c r="I70" s="25"/>
      <c r="J70" s="25"/>
      <c r="K70" s="41"/>
      <c r="L70" s="25"/>
      <c r="M70" s="25"/>
      <c r="N70" s="25"/>
      <c r="O70" s="41"/>
      <c r="P70" s="25"/>
      <c r="Q70" s="25"/>
      <c r="R70" s="25"/>
      <c r="S70" s="25"/>
      <c r="T70" s="25"/>
      <c r="U70" s="25"/>
      <c r="V70" s="25"/>
      <c r="W70" s="25"/>
      <c r="X70" s="1"/>
      <c r="Y70" s="9"/>
    </row>
    <row r="71" spans="4:25" x14ac:dyDescent="0.25">
      <c r="D71" s="3"/>
      <c r="E71" s="25"/>
      <c r="F71" s="25"/>
      <c r="G71" s="25"/>
      <c r="H71" s="25"/>
      <c r="I71" s="25"/>
      <c r="J71" s="25"/>
      <c r="K71" s="41"/>
      <c r="L71" s="25"/>
      <c r="M71" s="25"/>
      <c r="N71" s="25"/>
      <c r="O71" s="41"/>
      <c r="P71" s="25"/>
      <c r="Q71" s="25"/>
      <c r="R71" s="25"/>
      <c r="S71" s="25"/>
      <c r="T71" s="25"/>
      <c r="U71" s="25"/>
      <c r="V71" s="25"/>
      <c r="W71" s="25"/>
      <c r="X71" s="1"/>
      <c r="Y71" s="9"/>
    </row>
    <row r="72" spans="4:25" x14ac:dyDescent="0.25">
      <c r="D72" s="3"/>
      <c r="E72" s="25"/>
      <c r="F72" s="25"/>
      <c r="G72" s="25"/>
      <c r="H72" s="25"/>
      <c r="I72" s="25"/>
      <c r="J72" s="25"/>
      <c r="K72" s="41"/>
      <c r="L72" s="25"/>
      <c r="M72" s="25"/>
      <c r="N72" s="25"/>
      <c r="O72" s="41"/>
      <c r="P72" s="25"/>
      <c r="Q72" s="25"/>
      <c r="R72" s="25"/>
      <c r="S72" s="25"/>
      <c r="T72" s="25"/>
      <c r="U72" s="25"/>
      <c r="V72" s="25"/>
      <c r="W72" s="25"/>
      <c r="X72" s="1"/>
      <c r="Y72" s="9"/>
    </row>
    <row r="73" spans="4:25" x14ac:dyDescent="0.25">
      <c r="D73" s="3"/>
      <c r="E73" s="25"/>
      <c r="F73" s="25"/>
      <c r="G73" s="25"/>
      <c r="H73" s="25"/>
      <c r="I73" s="25"/>
      <c r="J73" s="25"/>
      <c r="K73" s="41"/>
      <c r="L73" s="25"/>
      <c r="M73" s="25"/>
      <c r="N73" s="25"/>
      <c r="O73" s="41"/>
      <c r="P73" s="25"/>
      <c r="Q73" s="25"/>
      <c r="R73" s="25"/>
      <c r="S73" s="25"/>
      <c r="T73" s="25"/>
      <c r="U73" s="25"/>
      <c r="V73" s="25"/>
      <c r="W73" s="25"/>
      <c r="X73" s="1"/>
      <c r="Y73" s="9"/>
    </row>
    <row r="74" spans="4:25" x14ac:dyDescent="0.25">
      <c r="D74" s="3"/>
      <c r="E74" s="25"/>
      <c r="F74" s="25"/>
      <c r="G74" s="25"/>
      <c r="H74" s="25"/>
      <c r="I74" s="25"/>
      <c r="J74" s="25"/>
      <c r="K74" s="41"/>
      <c r="L74" s="25"/>
      <c r="M74" s="25"/>
      <c r="N74" s="25"/>
      <c r="O74" s="41"/>
      <c r="P74" s="25"/>
      <c r="Q74" s="25"/>
      <c r="R74" s="25"/>
      <c r="S74" s="25"/>
      <c r="T74" s="25"/>
      <c r="U74" s="25"/>
      <c r="V74" s="25"/>
      <c r="W74" s="25"/>
      <c r="X74" s="1"/>
      <c r="Y74" s="9"/>
    </row>
    <row r="75" spans="4:25" x14ac:dyDescent="0.25">
      <c r="D75" s="3"/>
      <c r="E75" s="25"/>
      <c r="F75" s="25"/>
      <c r="G75" s="25"/>
      <c r="H75" s="25"/>
      <c r="I75" s="25"/>
      <c r="J75" s="25"/>
      <c r="K75" s="41"/>
      <c r="L75" s="25"/>
      <c r="M75" s="25"/>
      <c r="N75" s="25"/>
      <c r="O75" s="41"/>
      <c r="P75" s="25"/>
      <c r="Q75" s="25"/>
      <c r="R75" s="25"/>
      <c r="S75" s="25"/>
      <c r="T75" s="25"/>
      <c r="U75" s="25"/>
      <c r="V75" s="25"/>
      <c r="W75" s="25"/>
      <c r="X75" s="1"/>
      <c r="Y75" s="9"/>
    </row>
    <row r="76" spans="4:25" x14ac:dyDescent="0.25">
      <c r="D76" s="3"/>
      <c r="E76" s="25"/>
      <c r="F76" s="25"/>
      <c r="G76" s="25"/>
      <c r="H76" s="25"/>
      <c r="I76" s="25"/>
      <c r="J76" s="25"/>
      <c r="K76" s="41"/>
      <c r="L76" s="25"/>
      <c r="M76" s="25"/>
      <c r="N76" s="25"/>
      <c r="O76" s="41"/>
      <c r="P76" s="25"/>
      <c r="Q76" s="25"/>
      <c r="R76" s="25"/>
      <c r="S76" s="25"/>
      <c r="T76" s="25"/>
      <c r="U76" s="25"/>
      <c r="V76" s="25"/>
      <c r="W76" s="25"/>
      <c r="X76" s="1"/>
      <c r="Y76" s="9"/>
    </row>
    <row r="77" spans="4:25" x14ac:dyDescent="0.25">
      <c r="D77" s="3"/>
      <c r="E77" s="25"/>
      <c r="F77" s="25"/>
      <c r="G77" s="25"/>
      <c r="H77" s="25"/>
      <c r="I77" s="25"/>
      <c r="J77" s="25"/>
      <c r="K77" s="41"/>
      <c r="L77" s="25"/>
      <c r="M77" s="25"/>
      <c r="N77" s="25"/>
      <c r="O77" s="41"/>
      <c r="P77" s="25"/>
      <c r="Q77" s="25"/>
      <c r="R77" s="25"/>
      <c r="S77" s="25"/>
      <c r="T77" s="25"/>
      <c r="U77" s="25"/>
      <c r="V77" s="25"/>
      <c r="W77" s="25"/>
      <c r="X77" s="1"/>
      <c r="Y77" s="9"/>
    </row>
    <row r="78" spans="4:25" x14ac:dyDescent="0.25">
      <c r="D78" s="3"/>
      <c r="E78" s="25"/>
      <c r="F78" s="25"/>
      <c r="G78" s="25"/>
      <c r="H78" s="25"/>
      <c r="I78" s="25"/>
      <c r="J78" s="25"/>
      <c r="K78" s="41"/>
      <c r="L78" s="25"/>
      <c r="M78" s="25"/>
      <c r="N78" s="25"/>
      <c r="O78" s="41"/>
      <c r="P78" s="25"/>
      <c r="Q78" s="25"/>
      <c r="R78" s="25"/>
      <c r="S78" s="25"/>
      <c r="T78" s="25"/>
      <c r="U78" s="25"/>
      <c r="V78" s="25"/>
      <c r="W78" s="25"/>
      <c r="X78" s="1"/>
      <c r="Y78" s="9"/>
    </row>
    <row r="79" spans="4:25" x14ac:dyDescent="0.25">
      <c r="D79" s="3"/>
      <c r="E79" s="25"/>
      <c r="F79" s="25"/>
      <c r="G79" s="25"/>
      <c r="H79" s="25"/>
      <c r="I79" s="25"/>
      <c r="J79" s="25"/>
      <c r="K79" s="41"/>
      <c r="L79" s="25"/>
      <c r="M79" s="25"/>
      <c r="N79" s="25"/>
      <c r="O79" s="41"/>
      <c r="P79" s="25"/>
      <c r="Q79" s="25"/>
      <c r="R79" s="25"/>
      <c r="S79" s="25"/>
      <c r="T79" s="25"/>
      <c r="U79" s="25"/>
      <c r="V79" s="25"/>
      <c r="W79" s="25"/>
      <c r="X79" s="1"/>
      <c r="Y79" s="9"/>
    </row>
    <row r="80" spans="4:25" x14ac:dyDescent="0.25">
      <c r="D80" s="6"/>
      <c r="E80" s="26"/>
      <c r="F80" s="26"/>
      <c r="G80" s="26"/>
      <c r="H80" s="26"/>
      <c r="I80" s="26"/>
      <c r="J80" s="26"/>
      <c r="K80" s="44"/>
      <c r="L80" s="26"/>
      <c r="M80" s="26"/>
      <c r="N80" s="26"/>
      <c r="O80" s="44"/>
      <c r="P80" s="26"/>
      <c r="Q80" s="26"/>
      <c r="R80" s="26"/>
      <c r="S80" s="26"/>
      <c r="T80" s="26"/>
      <c r="U80" s="26"/>
      <c r="V80" s="26"/>
      <c r="W80" s="26"/>
      <c r="X80" s="7"/>
      <c r="Y80" s="10"/>
    </row>
  </sheetData>
  <mergeCells count="4">
    <mergeCell ref="G10:H10"/>
    <mergeCell ref="I10:J10"/>
    <mergeCell ref="M10:N10"/>
    <mergeCell ref="F10:F1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6C93-ECD8-4AB2-8EED-98529FFE3FD7}">
  <sheetPr codeName="Sheet7">
    <tabColor rgb="FFCCCC00"/>
  </sheetPr>
  <dimension ref="B1:MD78"/>
  <sheetViews>
    <sheetView showGridLines="0" topLeftCell="B1" zoomScale="90" zoomScaleNormal="90" workbookViewId="0">
      <selection activeCell="L35" sqref="L35"/>
    </sheetView>
  </sheetViews>
  <sheetFormatPr defaultRowHeight="15" x14ac:dyDescent="0.25"/>
  <cols>
    <col min="1" max="1" width="0" hidden="1" customWidth="1"/>
    <col min="2" max="7" width="9.140625" style="2"/>
    <col min="8" max="8" width="23.42578125" style="2" bestFit="1" customWidth="1"/>
    <col min="9" max="9" width="21.5703125" style="2" customWidth="1"/>
    <col min="10" max="10" width="19.42578125" style="2" bestFit="1" customWidth="1"/>
    <col min="11" max="11" width="37.140625" style="2" customWidth="1"/>
    <col min="12" max="12" width="16.85546875" style="2" customWidth="1"/>
    <col min="13" max="342" width="9.140625" style="2"/>
  </cols>
  <sheetData>
    <row r="1" spans="4:27" s="1" customFormat="1" x14ac:dyDescent="0.25"/>
    <row r="2" spans="4:27" s="1" customFormat="1" ht="26.25" x14ac:dyDescent="0.4">
      <c r="I2" s="13" t="s">
        <v>0</v>
      </c>
    </row>
    <row r="3" spans="4:27" s="1" customFormat="1" x14ac:dyDescent="0.25"/>
    <row r="4" spans="4:27" s="11" customFormat="1" ht="4.5" customHeight="1" x14ac:dyDescent="0.25"/>
    <row r="5" spans="4:27" s="12" customFormat="1" ht="4.5" customHeight="1" x14ac:dyDescent="0.25"/>
    <row r="8" spans="4:27" x14ac:dyDescent="0.25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8"/>
    </row>
    <row r="9" spans="4:27" x14ac:dyDescent="0.25">
      <c r="D9" s="3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9"/>
    </row>
    <row r="10" spans="4:27" ht="15.75" thickBot="1" x14ac:dyDescent="0.3">
      <c r="D10" s="3"/>
      <c r="E10" s="15" t="s">
        <v>111</v>
      </c>
      <c r="F10"/>
      <c r="G10"/>
      <c r="H10"/>
      <c r="I10"/>
      <c r="J10"/>
      <c r="K10"/>
      <c r="L10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9"/>
    </row>
    <row r="11" spans="4:27" x14ac:dyDescent="0.25">
      <c r="D11" s="3"/>
      <c r="E11" s="47"/>
      <c r="F11" s="50" t="s">
        <v>81</v>
      </c>
      <c r="G11" s="50" t="s">
        <v>82</v>
      </c>
      <c r="H11" s="50" t="str">
        <f>_xlfn.CONCAT("Net benefit (£", willingness_to_pay, "/QALY)")</f>
        <v>Net benefit (£20000/QALY)</v>
      </c>
      <c r="I11" s="50" t="s">
        <v>83</v>
      </c>
      <c r="J11" s="50" t="s">
        <v>87</v>
      </c>
      <c r="K11" s="50" t="str">
        <f>_xlfn.CONCAT("Incremental net benefit (£", willingness_to_pay, "/QALY)")</f>
        <v>Incremental net benefit (£20000/QALY)</v>
      </c>
      <c r="L11" s="51" t="s">
        <v>84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9"/>
    </row>
    <row r="12" spans="4:27" x14ac:dyDescent="0.25">
      <c r="D12" s="3"/>
      <c r="E12" s="48" t="s">
        <v>85</v>
      </c>
      <c r="F12" s="112">
        <f>'Model engine A'!M9+'Model engine A'!N9</f>
        <v>7828.8871375032841</v>
      </c>
      <c r="G12" s="112">
        <f>'Model engine A'!O9</f>
        <v>7.2846967687549347</v>
      </c>
      <c r="H12" s="112">
        <f>G12*willingness_to_pay-F12</f>
        <v>137865.04823759542</v>
      </c>
      <c r="I12" s="112"/>
      <c r="J12" s="112"/>
      <c r="K12" s="112"/>
      <c r="L12" s="113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9"/>
    </row>
    <row r="13" spans="4:27" ht="15.75" thickBot="1" x14ac:dyDescent="0.3">
      <c r="D13" s="3"/>
      <c r="E13" s="49" t="s">
        <v>86</v>
      </c>
      <c r="F13" s="114">
        <f>'Model engine B'!M9+'Model engine B'!N9</f>
        <v>6730.2631891821029</v>
      </c>
      <c r="G13" s="114">
        <f>'Model engine B'!O9</f>
        <v>6.7985697342377165</v>
      </c>
      <c r="H13" s="114">
        <f>G13*willingness_to_pay-F13</f>
        <v>129241.13149557223</v>
      </c>
      <c r="I13" s="114">
        <f>F12-F13</f>
        <v>1098.6239483211812</v>
      </c>
      <c r="J13" s="114">
        <f>G12-G13</f>
        <v>0.48612703451721817</v>
      </c>
      <c r="K13" s="114">
        <f>H12-H13</f>
        <v>8623.9167420231825</v>
      </c>
      <c r="L13" s="115">
        <f>I13/J13</f>
        <v>2259.9523793451335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9"/>
    </row>
    <row r="14" spans="4:27" x14ac:dyDescent="0.25"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9"/>
    </row>
    <row r="15" spans="4:27" x14ac:dyDescent="0.25"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9"/>
    </row>
    <row r="16" spans="4:27" x14ac:dyDescent="0.25"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9"/>
    </row>
    <row r="17" spans="4:27" x14ac:dyDescent="0.25"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9"/>
    </row>
    <row r="18" spans="4:27" x14ac:dyDescent="0.25"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9"/>
    </row>
    <row r="19" spans="4:27" x14ac:dyDescent="0.25"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9"/>
    </row>
    <row r="20" spans="4:27" x14ac:dyDescent="0.25"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9"/>
    </row>
    <row r="21" spans="4:27" x14ac:dyDescent="0.25"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9"/>
    </row>
    <row r="22" spans="4:27" x14ac:dyDescent="0.25"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9"/>
    </row>
    <row r="23" spans="4:27" x14ac:dyDescent="0.25"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9"/>
    </row>
    <row r="24" spans="4:27" x14ac:dyDescent="0.25"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9"/>
    </row>
    <row r="25" spans="4:27" x14ac:dyDescent="0.25"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9"/>
    </row>
    <row r="26" spans="4:27" x14ac:dyDescent="0.25"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9"/>
    </row>
    <row r="27" spans="4:27" x14ac:dyDescent="0.25">
      <c r="D27" s="3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9"/>
    </row>
    <row r="28" spans="4:27" x14ac:dyDescent="0.25"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9"/>
    </row>
    <row r="29" spans="4:27" x14ac:dyDescent="0.25"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9"/>
    </row>
    <row r="30" spans="4:27" x14ac:dyDescent="0.25"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9"/>
    </row>
    <row r="31" spans="4:27" x14ac:dyDescent="0.25"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9"/>
    </row>
    <row r="32" spans="4:27" x14ac:dyDescent="0.25"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9"/>
    </row>
    <row r="33" spans="4:27" x14ac:dyDescent="0.25"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9"/>
    </row>
    <row r="34" spans="4:27" x14ac:dyDescent="0.25"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9"/>
    </row>
    <row r="35" spans="4:27" x14ac:dyDescent="0.25"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9"/>
    </row>
    <row r="36" spans="4:27" x14ac:dyDescent="0.25"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9"/>
    </row>
    <row r="37" spans="4:27" x14ac:dyDescent="0.25"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9"/>
    </row>
    <row r="38" spans="4:27" x14ac:dyDescent="0.25"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9"/>
    </row>
    <row r="39" spans="4:27" x14ac:dyDescent="0.25"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9"/>
    </row>
    <row r="40" spans="4:27" x14ac:dyDescent="0.25"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9"/>
    </row>
    <row r="41" spans="4:27" x14ac:dyDescent="0.25">
      <c r="D41" s="3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9"/>
    </row>
    <row r="42" spans="4:27" x14ac:dyDescent="0.25"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9"/>
    </row>
    <row r="43" spans="4:27" x14ac:dyDescent="0.25">
      <c r="D43" s="3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9"/>
    </row>
    <row r="44" spans="4:27" x14ac:dyDescent="0.25">
      <c r="D44" s="3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9"/>
    </row>
    <row r="45" spans="4:27" x14ac:dyDescent="0.25">
      <c r="D45" s="3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9"/>
    </row>
    <row r="46" spans="4:27" x14ac:dyDescent="0.25">
      <c r="D46" s="3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9"/>
    </row>
    <row r="47" spans="4:27" x14ac:dyDescent="0.25">
      <c r="D47" s="3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9"/>
    </row>
    <row r="48" spans="4:27" x14ac:dyDescent="0.25">
      <c r="D48" s="3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9"/>
    </row>
    <row r="49" spans="4:27" x14ac:dyDescent="0.25">
      <c r="D49" s="3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9"/>
    </row>
    <row r="50" spans="4:27" x14ac:dyDescent="0.25">
      <c r="D50" s="3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9"/>
    </row>
    <row r="51" spans="4:27" x14ac:dyDescent="0.25"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9"/>
    </row>
    <row r="52" spans="4:27" x14ac:dyDescent="0.25"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9"/>
    </row>
    <row r="53" spans="4:27" x14ac:dyDescent="0.25"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9"/>
    </row>
    <row r="54" spans="4:27" x14ac:dyDescent="0.25"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9"/>
    </row>
    <row r="55" spans="4:27" x14ac:dyDescent="0.25">
      <c r="D55" s="3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9"/>
    </row>
    <row r="56" spans="4:27" x14ac:dyDescent="0.25">
      <c r="D56" s="3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9"/>
    </row>
    <row r="57" spans="4:27" x14ac:dyDescent="0.25">
      <c r="D57" s="3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9"/>
    </row>
    <row r="58" spans="4:27" x14ac:dyDescent="0.25">
      <c r="D58" s="3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9"/>
    </row>
    <row r="59" spans="4:27" x14ac:dyDescent="0.25">
      <c r="D59" s="3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9"/>
    </row>
    <row r="60" spans="4:27" x14ac:dyDescent="0.25">
      <c r="D60" s="3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9"/>
    </row>
    <row r="61" spans="4:27" x14ac:dyDescent="0.25">
      <c r="D61" s="3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9"/>
    </row>
    <row r="62" spans="4:27" x14ac:dyDescent="0.25">
      <c r="D62" s="3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9"/>
    </row>
    <row r="63" spans="4:27" x14ac:dyDescent="0.25">
      <c r="D63" s="3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9"/>
    </row>
    <row r="64" spans="4:27" x14ac:dyDescent="0.25"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9"/>
    </row>
    <row r="65" spans="4:27" x14ac:dyDescent="0.25"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9"/>
    </row>
    <row r="66" spans="4:27" x14ac:dyDescent="0.25">
      <c r="D66" s="3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9"/>
    </row>
    <row r="67" spans="4:27" x14ac:dyDescent="0.25"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9"/>
    </row>
    <row r="68" spans="4:27" x14ac:dyDescent="0.25"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9"/>
    </row>
    <row r="69" spans="4:27" x14ac:dyDescent="0.25"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9"/>
    </row>
    <row r="70" spans="4:27" x14ac:dyDescent="0.25">
      <c r="D70" s="3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9"/>
    </row>
    <row r="71" spans="4:27" x14ac:dyDescent="0.25">
      <c r="D71" s="3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9"/>
    </row>
    <row r="72" spans="4:27" x14ac:dyDescent="0.25">
      <c r="D72" s="3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9"/>
    </row>
    <row r="73" spans="4:27" x14ac:dyDescent="0.25">
      <c r="D73" s="3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9"/>
    </row>
    <row r="74" spans="4:27" x14ac:dyDescent="0.25">
      <c r="D74" s="3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9"/>
    </row>
    <row r="75" spans="4:27" x14ac:dyDescent="0.25">
      <c r="D75" s="3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9"/>
    </row>
    <row r="76" spans="4:27" x14ac:dyDescent="0.25"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9"/>
    </row>
    <row r="77" spans="4:27" x14ac:dyDescent="0.25"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9"/>
    </row>
    <row r="78" spans="4:27" x14ac:dyDescent="0.25">
      <c r="D78" s="6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10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F445D-7140-413C-8AF8-EA7E9C829391}">
  <sheetPr codeName="Sheet6">
    <tabColor rgb="FFCCCC00"/>
  </sheetPr>
  <dimension ref="B1:MJ78"/>
  <sheetViews>
    <sheetView showGridLines="0" tabSelected="1" topLeftCell="B1" workbookViewId="0">
      <selection activeCell="M32" sqref="M32"/>
    </sheetView>
  </sheetViews>
  <sheetFormatPr defaultRowHeight="15" x14ac:dyDescent="0.25"/>
  <cols>
    <col min="1" max="1" width="0" hidden="1" customWidth="1"/>
    <col min="2" max="5" width="9.140625" style="2"/>
    <col min="6" max="9" width="22.85546875" style="2" customWidth="1"/>
    <col min="10" max="10" width="21.7109375" style="2" customWidth="1"/>
    <col min="11" max="11" width="9.85546875" style="2" customWidth="1"/>
    <col min="12" max="12" width="39.7109375" style="2" customWidth="1"/>
    <col min="13" max="13" width="16.140625" style="2" bestFit="1" customWidth="1"/>
    <col min="14" max="14" width="16.42578125" style="2" bestFit="1" customWidth="1"/>
    <col min="15" max="16" width="9.140625" style="2"/>
    <col min="17" max="17" width="69.5703125" style="39" bestFit="1" customWidth="1"/>
    <col min="18" max="18" width="18.140625" style="39" customWidth="1"/>
    <col min="19" max="20" width="14.42578125" style="39" customWidth="1"/>
    <col min="21" max="21" width="17.42578125" style="39" customWidth="1"/>
    <col min="22" max="22" width="17.28515625" style="39" customWidth="1"/>
    <col min="23" max="24" width="14.42578125" style="39" customWidth="1"/>
    <col min="25" max="25" width="15.85546875" style="39" bestFit="1" customWidth="1"/>
    <col min="26" max="26" width="17.140625" style="39" bestFit="1" customWidth="1"/>
    <col min="27" max="30" width="14.42578125" style="39" customWidth="1"/>
    <col min="31" max="348" width="9.140625" style="2"/>
  </cols>
  <sheetData>
    <row r="1" spans="4:33" s="1" customFormat="1" x14ac:dyDescent="0.25"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</row>
    <row r="2" spans="4:33" s="1" customFormat="1" ht="26.25" x14ac:dyDescent="0.4">
      <c r="O2" s="13" t="s">
        <v>0</v>
      </c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</row>
    <row r="3" spans="4:33" s="1" customFormat="1" x14ac:dyDescent="0.25"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</row>
    <row r="4" spans="4:33" s="11" customFormat="1" ht="4.5" customHeight="1" x14ac:dyDescent="0.25"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</row>
    <row r="5" spans="4:33" s="12" customFormat="1" ht="4.5" customHeight="1" x14ac:dyDescent="0.25"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</row>
    <row r="8" spans="4:33" x14ac:dyDescent="0.25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5"/>
      <c r="AF8" s="5"/>
      <c r="AG8" s="8"/>
    </row>
    <row r="9" spans="4:33" x14ac:dyDescent="0.25">
      <c r="D9" s="3"/>
      <c r="E9" s="1"/>
      <c r="F9" s="15" t="s">
        <v>110</v>
      </c>
      <c r="G9" s="1"/>
      <c r="H9" s="1"/>
      <c r="I9" s="1"/>
      <c r="J9" s="1"/>
      <c r="K9" s="1"/>
      <c r="L9" s="1"/>
      <c r="M9" s="1"/>
      <c r="N9" s="1"/>
      <c r="O9" s="1"/>
      <c r="P9" s="1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1"/>
      <c r="AF9" s="1"/>
      <c r="AG9" s="9"/>
    </row>
    <row r="10" spans="4:33" x14ac:dyDescent="0.25">
      <c r="D10" s="3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64"/>
      <c r="R10" s="64"/>
      <c r="S10" s="64"/>
      <c r="T10" s="64"/>
      <c r="U10" s="69" t="s">
        <v>103</v>
      </c>
      <c r="V10" s="64"/>
      <c r="W10" s="64"/>
      <c r="X10" s="64"/>
      <c r="Y10" s="64"/>
      <c r="Z10" s="64"/>
      <c r="AA10" s="64"/>
      <c r="AB10" s="64"/>
      <c r="AC10" s="64"/>
      <c r="AD10" s="64"/>
      <c r="AE10" s="1"/>
      <c r="AF10" s="1"/>
      <c r="AG10" s="9"/>
    </row>
    <row r="11" spans="4:33" x14ac:dyDescent="0.25">
      <c r="D11" s="3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64"/>
      <c r="R11" s="64"/>
      <c r="S11" s="64"/>
      <c r="T11" s="64"/>
      <c r="U11" s="24" t="s">
        <v>93</v>
      </c>
      <c r="V11" s="24" t="s">
        <v>87</v>
      </c>
      <c r="W11" s="24" t="s">
        <v>94</v>
      </c>
      <c r="X11" s="24" t="s">
        <v>95</v>
      </c>
      <c r="Y11" s="64"/>
      <c r="Z11" s="64"/>
      <c r="AA11" s="64"/>
      <c r="AB11" s="64"/>
      <c r="AC11" s="64"/>
      <c r="AD11" s="64"/>
      <c r="AE11" s="1"/>
      <c r="AF11" s="1"/>
      <c r="AG11" s="9"/>
    </row>
    <row r="12" spans="4:33" x14ac:dyDescent="0.25">
      <c r="D12" s="3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64"/>
      <c r="R12" s="64"/>
      <c r="S12" s="64"/>
      <c r="T12" s="64"/>
      <c r="U12" s="65">
        <f>Results!I13</f>
        <v>1098.6239483211812</v>
      </c>
      <c r="V12" s="65">
        <f>Results!J13</f>
        <v>0.48612703451721817</v>
      </c>
      <c r="W12" s="66">
        <f>U12/V12</f>
        <v>2259.9523793451335</v>
      </c>
      <c r="X12" s="65">
        <f>Results!K13</f>
        <v>8623.9167420231825</v>
      </c>
      <c r="Y12" s="64"/>
      <c r="Z12" s="64"/>
      <c r="AA12" s="64"/>
      <c r="AB12" s="64"/>
      <c r="AC12" s="64"/>
      <c r="AD12" s="64"/>
      <c r="AE12" s="1"/>
      <c r="AF12" s="1"/>
      <c r="AG12" s="9"/>
    </row>
    <row r="13" spans="4:33" x14ac:dyDescent="0.25">
      <c r="D13" s="3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64"/>
      <c r="R13" s="64"/>
      <c r="S13" s="64"/>
      <c r="T13" s="64"/>
      <c r="U13" s="67"/>
      <c r="V13" s="68"/>
      <c r="W13" s="68"/>
      <c r="X13" s="68"/>
      <c r="Y13" s="64"/>
      <c r="Z13" s="64"/>
      <c r="AA13" s="64"/>
      <c r="AB13" s="64"/>
      <c r="AC13" s="64"/>
      <c r="AD13" s="64"/>
      <c r="AE13" s="1"/>
      <c r="AF13" s="1"/>
      <c r="AG13" s="9"/>
    </row>
    <row r="14" spans="4:33" x14ac:dyDescent="0.25">
      <c r="D14" s="3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1"/>
      <c r="AF14" s="1"/>
      <c r="AG14" s="9"/>
    </row>
    <row r="15" spans="4:33" x14ac:dyDescent="0.25">
      <c r="D15" s="3"/>
      <c r="E15" s="1"/>
      <c r="F15" s="1"/>
      <c r="G15" s="1"/>
      <c r="H15" s="1"/>
      <c r="I15" s="1"/>
      <c r="J15" s="1"/>
      <c r="K15" s="70" t="s">
        <v>109</v>
      </c>
      <c r="L15" s="63"/>
      <c r="M15" s="63"/>
      <c r="N15" s="63"/>
      <c r="O15" s="1"/>
      <c r="P15" s="1"/>
      <c r="Q15" s="64"/>
      <c r="R15" s="64"/>
      <c r="S15" s="24" t="s">
        <v>96</v>
      </c>
      <c r="T15" s="24"/>
      <c r="U15" s="24" t="s">
        <v>97</v>
      </c>
      <c r="V15" s="24"/>
      <c r="W15" s="24"/>
      <c r="X15" s="24"/>
      <c r="Y15" s="24" t="s">
        <v>98</v>
      </c>
      <c r="Z15" s="24"/>
      <c r="AA15" s="24"/>
      <c r="AB15" s="24"/>
      <c r="AC15" s="24" t="s">
        <v>99</v>
      </c>
      <c r="AD15" s="24"/>
      <c r="AE15" s="1"/>
      <c r="AF15" s="1"/>
      <c r="AG15" s="9"/>
    </row>
    <row r="16" spans="4:33" x14ac:dyDescent="0.25">
      <c r="D16" s="3"/>
      <c r="E16" s="1"/>
      <c r="F16" s="1"/>
      <c r="G16" s="1"/>
      <c r="H16" s="1"/>
      <c r="I16" s="1"/>
      <c r="J16" s="1"/>
      <c r="K16" s="63"/>
      <c r="L16" s="63"/>
      <c r="M16" s="63"/>
      <c r="N16" s="63"/>
      <c r="O16" s="1"/>
      <c r="P16" s="1"/>
      <c r="Q16" s="24" t="s">
        <v>100</v>
      </c>
      <c r="R16" s="24" t="s">
        <v>101</v>
      </c>
      <c r="S16" s="24" t="s">
        <v>102</v>
      </c>
      <c r="T16" s="24" t="s">
        <v>98</v>
      </c>
      <c r="U16" s="24" t="s">
        <v>93</v>
      </c>
      <c r="V16" s="24" t="s">
        <v>87</v>
      </c>
      <c r="W16" s="24" t="s">
        <v>94</v>
      </c>
      <c r="X16" s="24" t="s">
        <v>95</v>
      </c>
      <c r="Y16" s="24" t="s">
        <v>93</v>
      </c>
      <c r="Z16" s="24" t="s">
        <v>87</v>
      </c>
      <c r="AA16" s="24" t="s">
        <v>94</v>
      </c>
      <c r="AB16" s="24" t="s">
        <v>95</v>
      </c>
      <c r="AC16" s="24" t="s">
        <v>94</v>
      </c>
      <c r="AD16" s="80" t="s">
        <v>95</v>
      </c>
      <c r="AE16" s="1"/>
      <c r="AF16" s="1"/>
      <c r="AG16" s="9"/>
    </row>
    <row r="17" spans="4:33" x14ac:dyDescent="0.25">
      <c r="D17" s="3"/>
      <c r="E17" s="1"/>
      <c r="F17" s="1"/>
      <c r="G17" s="1"/>
      <c r="H17" s="1"/>
      <c r="I17" s="1"/>
      <c r="J17" s="1"/>
      <c r="K17" s="71" t="s">
        <v>104</v>
      </c>
      <c r="L17" s="71" t="s">
        <v>100</v>
      </c>
      <c r="M17" s="71" t="s">
        <v>105</v>
      </c>
      <c r="N17" s="71" t="s">
        <v>106</v>
      </c>
      <c r="O17" s="1"/>
      <c r="P17" s="1"/>
      <c r="Q17" s="61" t="s">
        <v>65</v>
      </c>
      <c r="R17" s="37">
        <v>0.8</v>
      </c>
      <c r="S17" s="37">
        <v>0.62233530230303113</v>
      </c>
      <c r="T17" s="37">
        <v>0.93064121649528175</v>
      </c>
      <c r="U17" s="37">
        <v>1098.6239483211821</v>
      </c>
      <c r="V17" s="37">
        <v>-0.24222987570022525</v>
      </c>
      <c r="W17" s="37">
        <v>-4535.4601497661606</v>
      </c>
      <c r="X17" s="37">
        <v>-5943.2214623256878</v>
      </c>
      <c r="Y17" s="37">
        <v>1098.6239483211821</v>
      </c>
      <c r="Z17" s="37">
        <v>1.6842779311852585</v>
      </c>
      <c r="AA17" s="37">
        <v>652.28186392495184</v>
      </c>
      <c r="AB17" s="37">
        <v>32586.934675383978</v>
      </c>
      <c r="AC17" s="37">
        <f>IF(AA17="", "",AA17-W17)</f>
        <v>5187.7420136911123</v>
      </c>
      <c r="AD17" s="75">
        <f>IF(AB17="", "",AB17-X17)</f>
        <v>38530.156137709666</v>
      </c>
      <c r="AE17" s="1"/>
      <c r="AF17" s="1"/>
      <c r="AG17" s="9"/>
    </row>
    <row r="18" spans="4:33" ht="29.25" x14ac:dyDescent="0.25">
      <c r="D18" s="3"/>
      <c r="E18" s="1"/>
      <c r="F18" s="1"/>
      <c r="G18" s="1"/>
      <c r="H18" s="1"/>
      <c r="I18" s="1"/>
      <c r="J18" s="1"/>
      <c r="K18" s="81">
        <v>1</v>
      </c>
      <c r="L18" s="86" t="s">
        <v>68</v>
      </c>
      <c r="M18" s="72">
        <v>874.15987860805058</v>
      </c>
      <c r="N18" s="72">
        <v>-9040.3070703185094</v>
      </c>
      <c r="O18" s="1"/>
      <c r="P18" s="1"/>
      <c r="Q18" s="76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37" t="str">
        <f t="shared" ref="AC18:AC30" si="0">IF(AA18="", "",AA18-W18)</f>
        <v/>
      </c>
      <c r="AD18" s="75" t="str">
        <f t="shared" ref="AD18:AD30" si="1">IF(AB18="", "",AB18-X18)</f>
        <v/>
      </c>
      <c r="AE18" s="1"/>
      <c r="AF18" s="1"/>
      <c r="AG18" s="9"/>
    </row>
    <row r="19" spans="4:33" ht="29.25" x14ac:dyDescent="0.25">
      <c r="D19" s="3"/>
      <c r="E19" s="1"/>
      <c r="F19" s="1"/>
      <c r="G19" s="1"/>
      <c r="H19" s="1"/>
      <c r="I19" s="1"/>
      <c r="J19" s="1"/>
      <c r="K19" s="82">
        <v>2</v>
      </c>
      <c r="L19" s="87" t="s">
        <v>65</v>
      </c>
      <c r="M19" s="73">
        <v>-4535.4601497661606</v>
      </c>
      <c r="N19" s="73">
        <v>652.28186392495184</v>
      </c>
      <c r="O19" s="1"/>
      <c r="P19" s="1"/>
      <c r="Q19" s="76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37" t="str">
        <f t="shared" si="0"/>
        <v/>
      </c>
      <c r="AD19" s="75" t="str">
        <f t="shared" si="1"/>
        <v/>
      </c>
      <c r="AE19" s="1"/>
      <c r="AF19" s="1"/>
      <c r="AG19" s="9"/>
    </row>
    <row r="20" spans="4:33" x14ac:dyDescent="0.25">
      <c r="D20" s="3"/>
      <c r="E20" s="1"/>
      <c r="F20" s="1"/>
      <c r="G20" s="1"/>
      <c r="H20" s="1"/>
      <c r="I20" s="1"/>
      <c r="J20" s="1"/>
      <c r="K20" s="82">
        <v>3</v>
      </c>
      <c r="L20" s="87" t="s">
        <v>73</v>
      </c>
      <c r="M20" s="73">
        <v>6277.0445489907124</v>
      </c>
      <c r="N20" s="73">
        <v>2157.2272711930791</v>
      </c>
      <c r="O20" s="1"/>
      <c r="P20" s="1"/>
      <c r="Q20" s="76" t="s">
        <v>68</v>
      </c>
      <c r="R20" s="25">
        <v>0.7</v>
      </c>
      <c r="S20" s="25">
        <v>0.55468963712076724</v>
      </c>
      <c r="T20" s="25">
        <v>0.8272171487325426</v>
      </c>
      <c r="U20" s="25">
        <v>769.84216355419721</v>
      </c>
      <c r="V20" s="25">
        <v>0.88066517623759921</v>
      </c>
      <c r="W20" s="25">
        <v>874.15987860805058</v>
      </c>
      <c r="X20" s="25">
        <v>16843.461361197798</v>
      </c>
      <c r="Y20" s="25">
        <v>1656.4180260155381</v>
      </c>
      <c r="Z20" s="25">
        <v>-0.18322585871601138</v>
      </c>
      <c r="AA20" s="25">
        <v>-9040.3070703185094</v>
      </c>
      <c r="AB20" s="25">
        <v>-5320.9352003357781</v>
      </c>
      <c r="AC20" s="37">
        <f t="shared" si="0"/>
        <v>-9914.4669489265598</v>
      </c>
      <c r="AD20" s="75">
        <f t="shared" si="1"/>
        <v>-22164.396561533576</v>
      </c>
      <c r="AE20" s="1"/>
      <c r="AF20" s="1"/>
      <c r="AG20" s="9"/>
    </row>
    <row r="21" spans="4:33" x14ac:dyDescent="0.25">
      <c r="D21" s="3"/>
      <c r="E21" s="1"/>
      <c r="F21" s="1"/>
      <c r="G21" s="1"/>
      <c r="H21" s="1"/>
      <c r="I21" s="1"/>
      <c r="J21" s="1"/>
      <c r="K21" s="82">
        <v>4</v>
      </c>
      <c r="L21" s="87" t="s">
        <v>41</v>
      </c>
      <c r="M21" s="73">
        <v>1271.7266718330693</v>
      </c>
      <c r="N21" s="73">
        <v>3348.5563927364215</v>
      </c>
      <c r="O21" s="1"/>
      <c r="P21" s="1"/>
      <c r="Q21" s="76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37" t="str">
        <f t="shared" si="0"/>
        <v/>
      </c>
      <c r="AD21" s="75" t="str">
        <f t="shared" si="1"/>
        <v/>
      </c>
      <c r="AE21" s="1"/>
      <c r="AF21" s="1"/>
      <c r="AG21" s="9"/>
    </row>
    <row r="22" spans="4:33" x14ac:dyDescent="0.25">
      <c r="D22" s="3"/>
      <c r="E22" s="1"/>
      <c r="F22" s="1"/>
      <c r="G22" s="1"/>
      <c r="H22" s="1"/>
      <c r="I22" s="1"/>
      <c r="J22" s="1"/>
      <c r="K22" s="82">
        <v>5</v>
      </c>
      <c r="L22" s="87" t="s">
        <v>74</v>
      </c>
      <c r="M22" s="73">
        <v>1787.8338219101988</v>
      </c>
      <c r="N22" s="73">
        <v>3042.0348024757905</v>
      </c>
      <c r="O22" s="1"/>
      <c r="P22" s="1"/>
      <c r="Q22" s="76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37" t="str">
        <f t="shared" si="0"/>
        <v/>
      </c>
      <c r="AD22" s="75" t="str">
        <f t="shared" si="1"/>
        <v/>
      </c>
      <c r="AE22" s="1"/>
      <c r="AF22" s="1"/>
      <c r="AG22" s="9"/>
    </row>
    <row r="23" spans="4:33" x14ac:dyDescent="0.25">
      <c r="D23" s="3"/>
      <c r="E23" s="1"/>
      <c r="F23" s="1"/>
      <c r="G23" s="1"/>
      <c r="H23" s="1"/>
      <c r="I23" s="1"/>
      <c r="J23" s="1"/>
      <c r="K23" s="82">
        <v>6</v>
      </c>
      <c r="L23" s="87" t="s">
        <v>72</v>
      </c>
      <c r="M23" s="73">
        <v>2614.9239745656459</v>
      </c>
      <c r="N23" s="73">
        <v>1868.9248030945569</v>
      </c>
      <c r="O23" s="1"/>
      <c r="P23" s="1"/>
      <c r="Q23" s="76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37" t="str">
        <f t="shared" si="0"/>
        <v/>
      </c>
      <c r="AD23" s="75" t="str">
        <f t="shared" si="1"/>
        <v/>
      </c>
      <c r="AE23" s="1"/>
      <c r="AF23" s="1"/>
      <c r="AG23" s="9"/>
    </row>
    <row r="24" spans="4:33" x14ac:dyDescent="0.25">
      <c r="D24" s="3"/>
      <c r="E24" s="1"/>
      <c r="F24" s="1"/>
      <c r="G24" s="1"/>
      <c r="H24" s="1"/>
      <c r="I24" s="1"/>
      <c r="J24" s="1"/>
      <c r="K24" s="82">
        <v>7</v>
      </c>
      <c r="L24" s="87" t="s">
        <v>42</v>
      </c>
      <c r="M24" s="73">
        <v>2560.7844673020845</v>
      </c>
      <c r="N24" s="73">
        <v>1928.563491343737</v>
      </c>
      <c r="O24" s="1"/>
      <c r="P24" s="1"/>
      <c r="Q24" s="76" t="s">
        <v>71</v>
      </c>
      <c r="R24" s="25">
        <v>200</v>
      </c>
      <c r="S24" s="25">
        <v>162.72798250184627</v>
      </c>
      <c r="T24" s="25">
        <v>241.0578955063109</v>
      </c>
      <c r="U24" s="25">
        <v>1055.4836260905822</v>
      </c>
      <c r="V24" s="25">
        <v>0.48612703451721817</v>
      </c>
      <c r="W24" s="25">
        <v>2171.2094805400047</v>
      </c>
      <c r="X24" s="25">
        <v>8667.0570642537641</v>
      </c>
      <c r="Y24" s="25">
        <v>1146.1462173354694</v>
      </c>
      <c r="Z24" s="25">
        <v>0.48612703451721817</v>
      </c>
      <c r="AA24" s="25">
        <v>2357.7092734077801</v>
      </c>
      <c r="AB24" s="25">
        <v>8576.3944730088697</v>
      </c>
      <c r="AC24" s="37">
        <f t="shared" si="0"/>
        <v>186.49979286777534</v>
      </c>
      <c r="AD24" s="75">
        <f t="shared" si="1"/>
        <v>-90.662591244894429</v>
      </c>
      <c r="AE24" s="1"/>
      <c r="AF24" s="1"/>
      <c r="AG24" s="9"/>
    </row>
    <row r="25" spans="4:33" x14ac:dyDescent="0.25">
      <c r="D25" s="3"/>
      <c r="E25" s="1"/>
      <c r="F25" s="1"/>
      <c r="G25" s="1"/>
      <c r="H25" s="1"/>
      <c r="I25" s="1"/>
      <c r="J25" s="1"/>
      <c r="K25" s="82">
        <v>8</v>
      </c>
      <c r="L25" s="87" t="s">
        <v>71</v>
      </c>
      <c r="M25" s="73">
        <v>2171.2094805400047</v>
      </c>
      <c r="N25" s="73">
        <v>2357.7092734077801</v>
      </c>
      <c r="O25" s="1"/>
      <c r="P25" s="1"/>
      <c r="Q25" s="76" t="s">
        <v>72</v>
      </c>
      <c r="R25" s="25">
        <v>800</v>
      </c>
      <c r="S25" s="25">
        <v>650.91193000738508</v>
      </c>
      <c r="T25" s="25">
        <v>964.2315820252436</v>
      </c>
      <c r="U25" s="25">
        <v>1271.1852372435751</v>
      </c>
      <c r="V25" s="25">
        <v>0.48612703451721817</v>
      </c>
      <c r="W25" s="25">
        <v>2614.9239745656459</v>
      </c>
      <c r="X25" s="25">
        <v>8451.3554531007831</v>
      </c>
      <c r="Y25" s="25">
        <v>908.53487226403286</v>
      </c>
      <c r="Z25" s="25">
        <v>0.48612703451721817</v>
      </c>
      <c r="AA25" s="25">
        <v>1868.9248030945569</v>
      </c>
      <c r="AB25" s="25">
        <v>8814.0058180803171</v>
      </c>
      <c r="AC25" s="37">
        <f t="shared" si="0"/>
        <v>-745.99917147108908</v>
      </c>
      <c r="AD25" s="75">
        <f t="shared" si="1"/>
        <v>362.65036497953406</v>
      </c>
      <c r="AE25" s="1"/>
      <c r="AF25" s="1"/>
      <c r="AG25" s="9"/>
    </row>
    <row r="26" spans="4:33" x14ac:dyDescent="0.25">
      <c r="D26" s="3"/>
      <c r="E26" s="1"/>
      <c r="F26" s="1"/>
      <c r="G26" s="1"/>
      <c r="H26" s="1"/>
      <c r="I26" s="1"/>
      <c r="J26" s="1"/>
      <c r="K26" s="82">
        <v>9</v>
      </c>
      <c r="L26" s="87"/>
      <c r="M26" s="73"/>
      <c r="N26" s="73"/>
      <c r="O26" s="1"/>
      <c r="P26" s="1"/>
      <c r="Q26" s="76" t="s">
        <v>41</v>
      </c>
      <c r="R26" s="25">
        <v>600</v>
      </c>
      <c r="S26" s="25">
        <v>488.18394750553881</v>
      </c>
      <c r="T26" s="25">
        <v>723.17368651893275</v>
      </c>
      <c r="U26" s="25">
        <v>618.22071569466152</v>
      </c>
      <c r="V26" s="25">
        <v>0.48612703451721817</v>
      </c>
      <c r="W26" s="25">
        <v>1271.7266718330693</v>
      </c>
      <c r="X26" s="25">
        <v>9104.319974649683</v>
      </c>
      <c r="Y26" s="25">
        <v>1627.82378911463</v>
      </c>
      <c r="Z26" s="25">
        <v>0.48612703451721817</v>
      </c>
      <c r="AA26" s="25">
        <v>3348.5563927364215</v>
      </c>
      <c r="AB26" s="25">
        <v>8094.7169012297381</v>
      </c>
      <c r="AC26" s="37">
        <f t="shared" si="0"/>
        <v>2076.8297209033522</v>
      </c>
      <c r="AD26" s="75">
        <f t="shared" si="1"/>
        <v>-1009.6030734199448</v>
      </c>
      <c r="AE26" s="1"/>
      <c r="AF26" s="1"/>
      <c r="AG26" s="9"/>
    </row>
    <row r="27" spans="4:33" x14ac:dyDescent="0.25">
      <c r="D27" s="3"/>
      <c r="E27" s="1"/>
      <c r="F27" s="1"/>
      <c r="G27" s="1"/>
      <c r="H27" s="1"/>
      <c r="I27" s="1"/>
      <c r="J27" s="1"/>
      <c r="K27" s="83">
        <v>10</v>
      </c>
      <c r="L27" s="88"/>
      <c r="M27" s="74"/>
      <c r="N27" s="74"/>
      <c r="O27" s="1"/>
      <c r="P27" s="1"/>
      <c r="Q27" s="76" t="s">
        <v>42</v>
      </c>
      <c r="R27" s="25">
        <v>250</v>
      </c>
      <c r="S27" s="25">
        <v>203.40997812730785</v>
      </c>
      <c r="T27" s="25">
        <v>301.32236938288861</v>
      </c>
      <c r="U27" s="25">
        <v>1244.8665591273166</v>
      </c>
      <c r="V27" s="25">
        <v>0.48612703451721817</v>
      </c>
      <c r="W27" s="25">
        <v>2560.7844673020845</v>
      </c>
      <c r="X27" s="25">
        <v>8477.6741312170489</v>
      </c>
      <c r="Y27" s="25">
        <v>937.52685092510364</v>
      </c>
      <c r="Z27" s="25">
        <v>0.48612703451721817</v>
      </c>
      <c r="AA27" s="25">
        <v>1928.563491343737</v>
      </c>
      <c r="AB27" s="25">
        <v>8785.0138394192618</v>
      </c>
      <c r="AC27" s="37">
        <f t="shared" si="0"/>
        <v>-632.22097595834748</v>
      </c>
      <c r="AD27" s="75">
        <f t="shared" si="1"/>
        <v>307.33970820221293</v>
      </c>
      <c r="AE27" s="1"/>
      <c r="AF27" s="1"/>
      <c r="AG27" s="9"/>
    </row>
    <row r="28" spans="4:33" x14ac:dyDescent="0.25"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76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37" t="str">
        <f t="shared" si="0"/>
        <v/>
      </c>
      <c r="AD28" s="75" t="str">
        <f t="shared" si="1"/>
        <v/>
      </c>
      <c r="AE28" s="1"/>
      <c r="AF28" s="1"/>
      <c r="AG28" s="9"/>
    </row>
    <row r="29" spans="4:33" x14ac:dyDescent="0.25"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76" t="s">
        <v>73</v>
      </c>
      <c r="R29" s="25">
        <v>0.98</v>
      </c>
      <c r="S29" s="25">
        <v>0.7112144755253601</v>
      </c>
      <c r="T29" s="25">
        <v>1</v>
      </c>
      <c r="U29" s="25">
        <v>1098.6239483211812</v>
      </c>
      <c r="V29" s="25">
        <v>0.17502248705528611</v>
      </c>
      <c r="W29" s="25">
        <v>6277.0445489907124</v>
      </c>
      <c r="X29" s="25">
        <v>2401.8257927845407</v>
      </c>
      <c r="Y29" s="25">
        <v>1098.6239483211812</v>
      </c>
      <c r="Z29" s="25">
        <v>0.50927594092280071</v>
      </c>
      <c r="AA29" s="25">
        <v>2157.2272711930791</v>
      </c>
      <c r="AB29" s="25">
        <v>9086.8948701348418</v>
      </c>
      <c r="AC29" s="37">
        <f t="shared" si="0"/>
        <v>-4119.8172777976333</v>
      </c>
      <c r="AD29" s="75">
        <f t="shared" si="1"/>
        <v>6685.0690773503011</v>
      </c>
      <c r="AE29" s="1"/>
      <c r="AF29" s="1"/>
      <c r="AG29" s="9"/>
    </row>
    <row r="30" spans="4:33" x14ac:dyDescent="0.25"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76" t="s">
        <v>74</v>
      </c>
      <c r="R30" s="25">
        <v>0.56000000000000005</v>
      </c>
      <c r="S30" s="25">
        <v>0.44908935959673879</v>
      </c>
      <c r="T30" s="25">
        <v>0.66797858638814511</v>
      </c>
      <c r="U30" s="25">
        <v>1098.6239483211812</v>
      </c>
      <c r="V30" s="25">
        <v>0.61450003622113147</v>
      </c>
      <c r="W30" s="25">
        <v>1787.8338219101988</v>
      </c>
      <c r="X30" s="25">
        <v>11191.376776101461</v>
      </c>
      <c r="Y30" s="25">
        <v>1098.6239483211812</v>
      </c>
      <c r="Z30" s="25">
        <v>0.36114772501190817</v>
      </c>
      <c r="AA30" s="25">
        <v>3042.0348024757905</v>
      </c>
      <c r="AB30" s="25">
        <v>6124.3305519169662</v>
      </c>
      <c r="AC30" s="37">
        <f t="shared" si="0"/>
        <v>1254.2009805655916</v>
      </c>
      <c r="AD30" s="75">
        <f t="shared" si="1"/>
        <v>-5067.0462241844943</v>
      </c>
      <c r="AE30" s="1"/>
      <c r="AF30" s="1"/>
      <c r="AG30" s="9"/>
    </row>
    <row r="31" spans="4:33" x14ac:dyDescent="0.25"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76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77"/>
      <c r="AE31" s="1"/>
      <c r="AF31" s="1"/>
      <c r="AG31" s="9"/>
    </row>
    <row r="32" spans="4:33" x14ac:dyDescent="0.25"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76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77"/>
      <c r="AE32" s="1"/>
      <c r="AF32" s="1"/>
      <c r="AG32" s="9"/>
    </row>
    <row r="33" spans="4:33" x14ac:dyDescent="0.25"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76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77"/>
      <c r="AE33" s="1"/>
      <c r="AF33" s="1"/>
      <c r="AG33" s="9"/>
    </row>
    <row r="34" spans="4:33" x14ac:dyDescent="0.25"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76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77"/>
      <c r="AE34" s="1"/>
      <c r="AF34" s="1"/>
      <c r="AG34" s="9"/>
    </row>
    <row r="35" spans="4:33" x14ac:dyDescent="0.25"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76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77"/>
      <c r="AE35" s="1"/>
      <c r="AF35" s="1"/>
      <c r="AG35" s="9"/>
    </row>
    <row r="36" spans="4:33" x14ac:dyDescent="0.25"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76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77"/>
      <c r="AE36" s="1"/>
      <c r="AF36" s="1"/>
      <c r="AG36" s="9"/>
    </row>
    <row r="37" spans="4:33" x14ac:dyDescent="0.25"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76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77"/>
      <c r="AE37" s="1"/>
      <c r="AF37" s="1"/>
      <c r="AG37" s="9"/>
    </row>
    <row r="38" spans="4:33" x14ac:dyDescent="0.25"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76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77"/>
      <c r="AE38" s="1"/>
      <c r="AF38" s="1"/>
      <c r="AG38" s="9"/>
    </row>
    <row r="39" spans="4:33" x14ac:dyDescent="0.25"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76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77"/>
      <c r="AE39" s="1"/>
      <c r="AF39" s="1"/>
      <c r="AG39" s="9"/>
    </row>
    <row r="40" spans="4:33" x14ac:dyDescent="0.25"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76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77"/>
      <c r="AE40" s="1"/>
      <c r="AF40" s="1"/>
      <c r="AG40" s="9"/>
    </row>
    <row r="41" spans="4:33" x14ac:dyDescent="0.25">
      <c r="D41" s="3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76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77"/>
      <c r="AE41" s="1"/>
      <c r="AF41" s="1"/>
      <c r="AG41" s="9"/>
    </row>
    <row r="42" spans="4:33" x14ac:dyDescent="0.25"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62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78"/>
      <c r="AE42" s="1"/>
      <c r="AF42" s="1"/>
      <c r="AG42" s="9"/>
    </row>
    <row r="43" spans="4:33" x14ac:dyDescent="0.25">
      <c r="D43" s="3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1"/>
      <c r="AF43" s="1"/>
      <c r="AG43" s="9"/>
    </row>
    <row r="44" spans="4:33" x14ac:dyDescent="0.25">
      <c r="D44" s="3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1"/>
      <c r="AF44" s="1"/>
      <c r="AG44" s="9"/>
    </row>
    <row r="45" spans="4:33" x14ac:dyDescent="0.25">
      <c r="D45" s="3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1"/>
      <c r="AF45" s="1"/>
      <c r="AG45" s="9"/>
    </row>
    <row r="46" spans="4:33" x14ac:dyDescent="0.25">
      <c r="D46" s="3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1"/>
      <c r="AF46" s="1"/>
      <c r="AG46" s="9"/>
    </row>
    <row r="47" spans="4:33" x14ac:dyDescent="0.25">
      <c r="D47" s="3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1"/>
      <c r="AF47" s="1"/>
      <c r="AG47" s="9"/>
    </row>
    <row r="48" spans="4:33" x14ac:dyDescent="0.25">
      <c r="D48" s="3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1"/>
      <c r="AF48" s="1"/>
      <c r="AG48" s="9"/>
    </row>
    <row r="49" spans="4:33" x14ac:dyDescent="0.25">
      <c r="D49" s="3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1"/>
      <c r="AF49" s="1"/>
      <c r="AG49" s="9"/>
    </row>
    <row r="50" spans="4:33" x14ac:dyDescent="0.25">
      <c r="D50" s="3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1"/>
      <c r="AF50" s="1"/>
      <c r="AG50" s="9"/>
    </row>
    <row r="51" spans="4:33" x14ac:dyDescent="0.25"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1"/>
      <c r="AF51" s="1"/>
      <c r="AG51" s="9"/>
    </row>
    <row r="52" spans="4:33" x14ac:dyDescent="0.25"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1"/>
      <c r="AF52" s="1"/>
      <c r="AG52" s="9"/>
    </row>
    <row r="53" spans="4:33" x14ac:dyDescent="0.25"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1"/>
      <c r="AF53" s="1"/>
      <c r="AG53" s="9"/>
    </row>
    <row r="54" spans="4:33" x14ac:dyDescent="0.25"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1"/>
      <c r="AF54" s="1"/>
      <c r="AG54" s="9"/>
    </row>
    <row r="55" spans="4:33" x14ac:dyDescent="0.25">
      <c r="D55" s="3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1"/>
      <c r="AF55" s="1"/>
      <c r="AG55" s="9"/>
    </row>
    <row r="56" spans="4:33" x14ac:dyDescent="0.25">
      <c r="D56" s="3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1"/>
      <c r="AF56" s="1"/>
      <c r="AG56" s="9"/>
    </row>
    <row r="57" spans="4:33" x14ac:dyDescent="0.25">
      <c r="D57" s="3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1"/>
      <c r="AF57" s="1"/>
      <c r="AG57" s="9"/>
    </row>
    <row r="58" spans="4:33" x14ac:dyDescent="0.25">
      <c r="D58" s="3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1"/>
      <c r="AF58" s="1"/>
      <c r="AG58" s="9"/>
    </row>
    <row r="59" spans="4:33" x14ac:dyDescent="0.25">
      <c r="D59" s="3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1"/>
      <c r="AF59" s="1"/>
      <c r="AG59" s="9"/>
    </row>
    <row r="60" spans="4:33" x14ac:dyDescent="0.25">
      <c r="D60" s="3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1"/>
      <c r="AF60" s="1"/>
      <c r="AG60" s="9"/>
    </row>
    <row r="61" spans="4:33" x14ac:dyDescent="0.25">
      <c r="D61" s="3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1"/>
      <c r="AF61" s="1"/>
      <c r="AG61" s="9"/>
    </row>
    <row r="62" spans="4:33" x14ac:dyDescent="0.25">
      <c r="D62" s="3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1"/>
      <c r="AF62" s="1"/>
      <c r="AG62" s="9"/>
    </row>
    <row r="63" spans="4:33" x14ac:dyDescent="0.25">
      <c r="D63" s="3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1"/>
      <c r="AF63" s="1"/>
      <c r="AG63" s="9"/>
    </row>
    <row r="64" spans="4:33" x14ac:dyDescent="0.25"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1"/>
      <c r="AF64" s="1"/>
      <c r="AG64" s="9"/>
    </row>
    <row r="65" spans="4:33" x14ac:dyDescent="0.25"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"/>
      <c r="AF65" s="1"/>
      <c r="AG65" s="9"/>
    </row>
    <row r="66" spans="4:33" x14ac:dyDescent="0.25">
      <c r="D66" s="3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1"/>
      <c r="AF66" s="1"/>
      <c r="AG66" s="9"/>
    </row>
    <row r="67" spans="4:33" x14ac:dyDescent="0.25"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1"/>
      <c r="AF67" s="1"/>
      <c r="AG67" s="9"/>
    </row>
    <row r="68" spans="4:33" x14ac:dyDescent="0.25"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1"/>
      <c r="AF68" s="1"/>
      <c r="AG68" s="9"/>
    </row>
    <row r="69" spans="4:33" x14ac:dyDescent="0.25"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1"/>
      <c r="AF69" s="1"/>
      <c r="AG69" s="9"/>
    </row>
    <row r="70" spans="4:33" x14ac:dyDescent="0.25">
      <c r="D70" s="3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1"/>
      <c r="AF70" s="1"/>
      <c r="AG70" s="9"/>
    </row>
    <row r="71" spans="4:33" x14ac:dyDescent="0.25">
      <c r="D71" s="3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1"/>
      <c r="AF71" s="1"/>
      <c r="AG71" s="9"/>
    </row>
    <row r="72" spans="4:33" x14ac:dyDescent="0.25">
      <c r="D72" s="3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1"/>
      <c r="AF72" s="1"/>
      <c r="AG72" s="9"/>
    </row>
    <row r="73" spans="4:33" x14ac:dyDescent="0.25">
      <c r="D73" s="3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1"/>
      <c r="AF73" s="1"/>
      <c r="AG73" s="9"/>
    </row>
    <row r="74" spans="4:33" x14ac:dyDescent="0.25">
      <c r="D74" s="3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1"/>
      <c r="AF74" s="1"/>
      <c r="AG74" s="9"/>
    </row>
    <row r="75" spans="4:33" x14ac:dyDescent="0.25">
      <c r="D75" s="3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1"/>
      <c r="AF75" s="1"/>
      <c r="AG75" s="9"/>
    </row>
    <row r="76" spans="4:33" x14ac:dyDescent="0.25"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1"/>
      <c r="AF76" s="1"/>
      <c r="AG76" s="9"/>
    </row>
    <row r="77" spans="4:33" x14ac:dyDescent="0.25"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1"/>
      <c r="AF77" s="1"/>
      <c r="AG77" s="9"/>
    </row>
    <row r="78" spans="4:33" x14ac:dyDescent="0.25">
      <c r="D78" s="6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7"/>
      <c r="AF78" s="7"/>
      <c r="AG78" s="10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9F28-9FC3-4F87-AC93-D32ADAA33EA1}">
  <sheetPr codeName="Sheet9"/>
  <dimension ref="C3:D4"/>
  <sheetViews>
    <sheetView showGridLines="0" workbookViewId="0">
      <selection activeCell="U28" sqref="U28"/>
    </sheetView>
  </sheetViews>
  <sheetFormatPr defaultRowHeight="15" x14ac:dyDescent="0.25"/>
  <cols>
    <col min="3" max="3" width="18" customWidth="1"/>
  </cols>
  <sheetData>
    <row r="3" spans="3:4" x14ac:dyDescent="0.25">
      <c r="C3" s="21" t="s">
        <v>25</v>
      </c>
      <c r="D3" s="23" t="s">
        <v>26</v>
      </c>
    </row>
    <row r="4" spans="3:4" x14ac:dyDescent="0.25">
      <c r="D4" s="22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Cover</vt:lpstr>
      <vt:lpstr>Model overview</vt:lpstr>
      <vt:lpstr>Model settings</vt:lpstr>
      <vt:lpstr>Model parameters</vt:lpstr>
      <vt:lpstr>Model engine A</vt:lpstr>
      <vt:lpstr>Model engine B</vt:lpstr>
      <vt:lpstr>Results</vt:lpstr>
      <vt:lpstr>DSA</vt:lpstr>
      <vt:lpstr>List</vt:lpstr>
      <vt:lpstr>Base_ICER</vt:lpstr>
      <vt:lpstr>deterministic_value</vt:lpstr>
      <vt:lpstr>discount_cost</vt:lpstr>
      <vt:lpstr>discount_healthOutcome</vt:lpstr>
      <vt:lpstr>DSA_results</vt:lpstr>
      <vt:lpstr>DSA_start</vt:lpstr>
      <vt:lpstr>Include_DSA</vt:lpstr>
      <vt:lpstr>Live_results</vt:lpstr>
      <vt:lpstr>lower_value</vt:lpstr>
      <vt:lpstr>OWSA_WTP</vt:lpstr>
      <vt:lpstr>p_c_A</vt:lpstr>
      <vt:lpstr>p_c_B</vt:lpstr>
      <vt:lpstr>p_c_h</vt:lpstr>
      <vt:lpstr>p_c_s</vt:lpstr>
      <vt:lpstr>p_control</vt:lpstr>
      <vt:lpstr>p_DSA_rows</vt:lpstr>
      <vt:lpstr>p_hh_A</vt:lpstr>
      <vt:lpstr>p_hh_B</vt:lpstr>
      <vt:lpstr>p_hs_A</vt:lpstr>
      <vt:lpstr>p_hs_B</vt:lpstr>
      <vt:lpstr>p_lower</vt:lpstr>
      <vt:lpstr>p_rows</vt:lpstr>
      <vt:lpstr>p_se</vt:lpstr>
      <vt:lpstr>p_ss_A</vt:lpstr>
      <vt:lpstr>p_ss_B</vt:lpstr>
      <vt:lpstr>p_u_h</vt:lpstr>
      <vt:lpstr>p_u_s</vt:lpstr>
      <vt:lpstr>p_upper</vt:lpstr>
      <vt:lpstr>parameter_name</vt:lpstr>
      <vt:lpstr>rng_ICER_Rank</vt:lpstr>
      <vt:lpstr>rng_Sort</vt:lpstr>
      <vt:lpstr>upper_value</vt:lpstr>
      <vt:lpstr>willingness_to_pay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 Xin</dc:creator>
  <cp:lastModifiedBy>Qian</cp:lastModifiedBy>
  <dcterms:created xsi:type="dcterms:W3CDTF">2015-06-05T18:17:20Z</dcterms:created>
  <dcterms:modified xsi:type="dcterms:W3CDTF">2023-05-18T14:59:02Z</dcterms:modified>
</cp:coreProperties>
</file>