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ian.xin\Desktop\"/>
    </mc:Choice>
  </mc:AlternateContent>
  <xr:revisionPtr revIDLastSave="0" documentId="13_ncr:1_{D980A455-89E3-4C8A-8B83-5DA3FCABE261}" xr6:coauthVersionLast="47" xr6:coauthVersionMax="47" xr10:uidLastSave="{00000000-0000-0000-0000-000000000000}"/>
  <bookViews>
    <workbookView xWindow="28680" yWindow="-120" windowWidth="29040" windowHeight="15720" activeTab="5" xr2:uid="{999E367A-53A0-40F2-B646-A79AB15CDD30}"/>
  </bookViews>
  <sheets>
    <sheet name="Cover sheet" sheetId="1" r:id="rId1"/>
    <sheet name="Model overview" sheetId="5" r:id="rId2"/>
    <sheet name="Model settings" sheetId="6" r:id="rId3"/>
    <sheet name="Model parameters" sheetId="2" r:id="rId4"/>
    <sheet name="Model engine" sheetId="3" r:id="rId5"/>
    <sheet name="DSA" sheetId="9" r:id="rId6"/>
    <sheet name="Results" sheetId="4" r:id="rId7"/>
  </sheets>
  <definedNames>
    <definedName name="analysis_type">'Model settings'!$E$6</definedName>
    <definedName name="icer_antidepressant">Results!$K$8</definedName>
    <definedName name="icer_cbt">Results!$K$7</definedName>
    <definedName name="last_psa_run_samples">#REF!</definedName>
    <definedName name="n_samples">'Model settings'!#REF!</definedName>
    <definedName name="total_costs_antidepressant">'Model engine'!$Q$30</definedName>
    <definedName name="total_costs_cbt">'Model engine'!$Q$20</definedName>
    <definedName name="total_costs_no_treatment">'Model engine'!$Q$10</definedName>
    <definedName name="total_qalys_antidepressant">'Model engine'!$R$30</definedName>
    <definedName name="total_qalys_cbt">'Model engine'!$R$20</definedName>
    <definedName name="total_qalys_no_treatment">'Model engine'!$R$10</definedName>
    <definedName name="willingness_to_pay">'Model settings'!$E$5</definedName>
    <definedName name="willingness_to_pay_te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2" l="1"/>
  <c r="G22" i="2"/>
  <c r="G21" i="2"/>
  <c r="G16" i="2"/>
  <c r="G15" i="2"/>
  <c r="G14" i="2"/>
  <c r="G11" i="2"/>
  <c r="G10" i="2"/>
  <c r="G9" i="2"/>
  <c r="G8" i="2"/>
  <c r="G7" i="2"/>
  <c r="G6" i="2"/>
  <c r="G17" i="2"/>
  <c r="G18" i="2"/>
  <c r="E7" i="9"/>
  <c r="E8" i="9"/>
  <c r="E9" i="9"/>
  <c r="E10" i="9"/>
  <c r="E11" i="9"/>
  <c r="E14" i="9"/>
  <c r="E15" i="9"/>
  <c r="E16" i="9"/>
  <c r="E17" i="9"/>
  <c r="E18" i="9"/>
  <c r="E21" i="9"/>
  <c r="E22" i="9"/>
  <c r="E23" i="9"/>
  <c r="E6" i="9"/>
  <c r="O7" i="2"/>
  <c r="O8" i="2"/>
  <c r="O9" i="2"/>
  <c r="O10" i="2"/>
  <c r="O11" i="2"/>
  <c r="O6" i="2"/>
  <c r="N7" i="2"/>
  <c r="N8" i="2"/>
  <c r="N9" i="2"/>
  <c r="N10" i="2"/>
  <c r="N11" i="2"/>
  <c r="N6" i="2"/>
  <c r="N22" i="2"/>
  <c r="O22" i="2"/>
  <c r="N23" i="2"/>
  <c r="O23" i="2"/>
  <c r="N21" i="2"/>
  <c r="O21" i="2"/>
  <c r="D4" i="4" l="1"/>
  <c r="J5" i="4"/>
  <c r="G5" i="4"/>
  <c r="M15" i="2" l="1"/>
  <c r="M16" i="2"/>
  <c r="M14" i="2"/>
  <c r="L16" i="2"/>
  <c r="L15" i="2"/>
  <c r="L14" i="2"/>
  <c r="I7" i="2"/>
  <c r="I8" i="2"/>
  <c r="I9" i="2"/>
  <c r="I10" i="2"/>
  <c r="I11" i="2"/>
  <c r="I6" i="2"/>
  <c r="H7" i="2"/>
  <c r="L3" i="3" s="1"/>
  <c r="H8" i="2"/>
  <c r="H9" i="2"/>
  <c r="H10" i="2"/>
  <c r="H11" i="2"/>
  <c r="H6" i="2"/>
  <c r="I15" i="3" l="1"/>
  <c r="I19" i="3"/>
  <c r="P19" i="3" s="1"/>
  <c r="L13" i="3"/>
  <c r="L17" i="3"/>
  <c r="N29" i="3"/>
  <c r="N16" i="2"/>
  <c r="O16" i="2"/>
  <c r="N17" i="3"/>
  <c r="N15" i="2"/>
  <c r="O15" i="2"/>
  <c r="N13" i="3"/>
  <c r="O14" i="2"/>
  <c r="N14" i="2"/>
  <c r="I9" i="3"/>
  <c r="P9" i="3" s="1"/>
  <c r="I5" i="3"/>
  <c r="L23" i="3"/>
  <c r="L27" i="3"/>
  <c r="I25" i="3"/>
  <c r="I29" i="3"/>
  <c r="P29" i="3" s="1"/>
  <c r="L7" i="3"/>
  <c r="O3" i="3"/>
  <c r="O23" i="3"/>
  <c r="O13" i="3"/>
  <c r="O29" i="3"/>
  <c r="O9" i="3"/>
  <c r="O19" i="3"/>
  <c r="O27" i="3"/>
  <c r="O7" i="3"/>
  <c r="O17" i="3"/>
  <c r="N9" i="3" l="1"/>
  <c r="N19" i="3"/>
  <c r="Q19" i="3" s="1"/>
  <c r="N27" i="3"/>
  <c r="N7" i="3"/>
  <c r="N23" i="3"/>
  <c r="N3" i="3"/>
  <c r="R9" i="3"/>
  <c r="R29" i="3"/>
  <c r="R19" i="3"/>
  <c r="P17" i="3"/>
  <c r="P13" i="3"/>
  <c r="R13" i="3" s="1"/>
  <c r="P27" i="3"/>
  <c r="R27" i="3" s="1"/>
  <c r="P23" i="3"/>
  <c r="R23" i="3" s="1"/>
  <c r="P7" i="3"/>
  <c r="P3" i="3"/>
  <c r="Q9" i="3"/>
  <c r="Q29" i="3"/>
  <c r="Q13" i="3" l="1"/>
  <c r="R30" i="3"/>
  <c r="F8" i="4" s="1"/>
  <c r="R3" i="3"/>
  <c r="Q3" i="3"/>
  <c r="Q7" i="3"/>
  <c r="R7" i="3"/>
  <c r="Q27" i="3"/>
  <c r="Q23" i="3"/>
  <c r="Q17" i="3"/>
  <c r="R17" i="3"/>
  <c r="R20" i="3" s="1"/>
  <c r="F7" i="4" s="1"/>
  <c r="Q20" i="3" l="1"/>
  <c r="E7" i="4" s="1"/>
  <c r="G7" i="4" s="1"/>
  <c r="Q30" i="3"/>
  <c r="E8" i="4" s="1"/>
  <c r="G8" i="4" s="1"/>
  <c r="Q10" i="3"/>
  <c r="E6" i="4" s="1"/>
  <c r="R10" i="3"/>
  <c r="F6" i="4" s="1"/>
  <c r="H7" i="4" l="1"/>
  <c r="G6" i="4"/>
  <c r="J7" i="4" s="1"/>
  <c r="I8" i="4"/>
  <c r="H8" i="4"/>
  <c r="I7" i="4"/>
  <c r="K7" i="4" l="1"/>
  <c r="J8" i="4"/>
  <c r="K8" i="4"/>
</calcChain>
</file>

<file path=xl/sharedStrings.xml><?xml version="1.0" encoding="utf-8"?>
<sst xmlns="http://schemas.openxmlformats.org/spreadsheetml/2006/main" count="104" uniqueCount="62">
  <si>
    <t>Description</t>
  </si>
  <si>
    <t>Variable name</t>
  </si>
  <si>
    <t>Mean</t>
  </si>
  <si>
    <t>Standard error</t>
  </si>
  <si>
    <t>Alpha</t>
  </si>
  <si>
    <t>Beta</t>
  </si>
  <si>
    <t>Distribution</t>
  </si>
  <si>
    <t>Costs</t>
  </si>
  <si>
    <t>QALYs</t>
  </si>
  <si>
    <t>QALYs recovery</t>
  </si>
  <si>
    <t>QALYs no recovery</t>
  </si>
  <si>
    <t>QALYs relapse</t>
  </si>
  <si>
    <t>Costs recovery</t>
  </si>
  <si>
    <t>Costs relapse</t>
  </si>
  <si>
    <t>Costs no recovery</t>
  </si>
  <si>
    <t>Treatment costs CBT</t>
  </si>
  <si>
    <t>Treatment costs antidepressant</t>
  </si>
  <si>
    <t xml:space="preserve">Probabilities </t>
  </si>
  <si>
    <t>Probability recovery no treatment</t>
  </si>
  <si>
    <t>Probability relapse no treatment</t>
  </si>
  <si>
    <t>Probability recovery CBT</t>
  </si>
  <si>
    <t>Probability relapse CBT</t>
  </si>
  <si>
    <t>Probability recovery antidepressant</t>
  </si>
  <si>
    <t>Probability relapse antidepressant</t>
  </si>
  <si>
    <t>Lognormal</t>
  </si>
  <si>
    <t>Fixed</t>
  </si>
  <si>
    <t>Normal</t>
  </si>
  <si>
    <t>Live value</t>
  </si>
  <si>
    <t>Log mean</t>
  </si>
  <si>
    <t>Log SE</t>
  </si>
  <si>
    <t>Analysis</t>
  </si>
  <si>
    <t>Deterministic</t>
  </si>
  <si>
    <t>Cell colour codes</t>
  </si>
  <si>
    <t>User modifiable input cells</t>
  </si>
  <si>
    <t>User modifiable drop-down menu</t>
  </si>
  <si>
    <t xml:space="preserve">Calculation </t>
  </si>
  <si>
    <t>Results</t>
  </si>
  <si>
    <t>Tab colour codes</t>
  </si>
  <si>
    <t>Calculations</t>
  </si>
  <si>
    <t>Description and settings</t>
  </si>
  <si>
    <t>Input parameters</t>
  </si>
  <si>
    <t>Probability</t>
  </si>
  <si>
    <t>Costs (£)</t>
  </si>
  <si>
    <t>Totals No Treatment</t>
  </si>
  <si>
    <t>Totals CBT</t>
  </si>
  <si>
    <t>Totals Antidepressant</t>
  </si>
  <si>
    <t>Incremental costs (£)</t>
  </si>
  <si>
    <t>Incremental QALYs (£)</t>
  </si>
  <si>
    <t>Willingness-to-pay threshold (£/QALY)</t>
  </si>
  <si>
    <t>ICER (£/QALY)</t>
  </si>
  <si>
    <t>No treatment</t>
  </si>
  <si>
    <t>CBT</t>
  </si>
  <si>
    <t>Antidepressant</t>
  </si>
  <si>
    <t>Calculation - output by VBA</t>
  </si>
  <si>
    <t>Lower 95%</t>
  </si>
  <si>
    <t>Upper 95%</t>
  </si>
  <si>
    <t>Uncertain</t>
  </si>
  <si>
    <t>ICER LL</t>
  </si>
  <si>
    <t>ICER UL</t>
  </si>
  <si>
    <t xml:space="preserve">Depression Decision Tree </t>
  </si>
  <si>
    <t>Expected Costs (£)</t>
  </si>
  <si>
    <t>Expected QALYs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</si>
</sst>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30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quotePrefix="1"/>
    <xf numFmtId="0" fontId="2" fillId="0" borderId="1" xfId="0" applyFont="1" applyBorder="1"/>
    <xf numFmtId="0" fontId="0" fillId="0" borderId="1" xfId="0" applyBorder="1"/>
    <xf numFmtId="2" fontId="0" fillId="0" borderId="0" xfId="0" applyNumberFormat="1"/>
    <xf numFmtId="2" fontId="0" fillId="0" borderId="1" xfId="0" applyNumberForma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3" fillId="0" borderId="0" xfId="0" applyFont="1"/>
    <xf numFmtId="2" fontId="0" fillId="4" borderId="0" xfId="0" applyNumberFormat="1" applyFill="1"/>
    <xf numFmtId="0" fontId="0" fillId="6" borderId="0" xfId="0" applyFill="1"/>
    <xf numFmtId="2" fontId="0" fillId="6" borderId="0" xfId="0" applyNumberFormat="1" applyFill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0" fillId="5" borderId="6" xfId="0" applyFill="1" applyBorder="1"/>
    <xf numFmtId="0" fontId="2" fillId="0" borderId="7" xfId="0" applyFont="1" applyBorder="1"/>
    <xf numFmtId="0" fontId="0" fillId="5" borderId="8" xfId="0" applyFill="1" applyBorder="1"/>
    <xf numFmtId="164" fontId="0" fillId="5" borderId="0" xfId="0" applyNumberFormat="1" applyFill="1"/>
    <xf numFmtId="164" fontId="0" fillId="5" borderId="8" xfId="0" applyNumberFormat="1" applyFill="1" applyBorder="1"/>
    <xf numFmtId="164" fontId="0" fillId="5" borderId="6" xfId="0" applyNumberFormat="1" applyFill="1" applyBorder="1"/>
    <xf numFmtId="164" fontId="0" fillId="5" borderId="9" xfId="0" applyNumberFormat="1" applyFill="1" applyBorder="1"/>
    <xf numFmtId="0" fontId="1" fillId="0" borderId="2" xfId="0" applyFont="1" applyBorder="1"/>
    <xf numFmtId="2" fontId="0" fillId="5" borderId="0" xfId="0" applyNumberFormat="1" applyFill="1"/>
    <xf numFmtId="2" fontId="0" fillId="5" borderId="8" xfId="0" applyNumberFormat="1" applyFill="1" applyBorder="1"/>
    <xf numFmtId="0" fontId="2" fillId="0" borderId="0" xfId="0" applyFont="1"/>
    <xf numFmtId="0" fontId="0" fillId="7" borderId="0" xfId="0" applyFill="1"/>
    <xf numFmtId="0" fontId="0" fillId="2" borderId="10" xfId="0" applyFill="1" applyBorder="1"/>
    <xf numFmtId="0" fontId="0" fillId="2" borderId="9" xfId="0" applyFill="1" applyBorder="1"/>
    <xf numFmtId="0" fontId="5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00"/>
      <color rgb="FFCC9900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CB</a:t>
            </a:r>
            <a:r>
              <a:rPr lang="en-GB" baseline="0"/>
              <a:t>T OW-DSA ICER (£/QALY)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Lower limit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(DSA!$D$6:$D$11,DSA!$D$14:$D$16,DSA!$D$21:$D$23)</c:f>
              <c:strCache>
                <c:ptCount val="12"/>
                <c:pt idx="0">
                  <c:v>Probability recovery no treatment</c:v>
                </c:pt>
                <c:pt idx="1">
                  <c:v>Probability relapse no treatment</c:v>
                </c:pt>
                <c:pt idx="2">
                  <c:v>Probability recovery CBT</c:v>
                </c:pt>
                <c:pt idx="3">
                  <c:v>Probability relapse CBT</c:v>
                </c:pt>
                <c:pt idx="4">
                  <c:v>Probability recovery antidepressant</c:v>
                </c:pt>
                <c:pt idx="5">
                  <c:v>Probability relapse antidepressant</c:v>
                </c:pt>
                <c:pt idx="6">
                  <c:v>Costs recovery</c:v>
                </c:pt>
                <c:pt idx="7">
                  <c:v>Costs relapse</c:v>
                </c:pt>
                <c:pt idx="8">
                  <c:v>Costs no recovery</c:v>
                </c:pt>
                <c:pt idx="9">
                  <c:v>QALYs recovery</c:v>
                </c:pt>
                <c:pt idx="10">
                  <c:v>QALYs relapse</c:v>
                </c:pt>
                <c:pt idx="11">
                  <c:v>QALYs no recovery</c:v>
                </c:pt>
              </c:strCache>
            </c:strRef>
          </c:cat>
          <c:val>
            <c:numRef>
              <c:f>(DSA!$F$6:$F$11,DSA!$F$14:$F$16,DSA!$F$21:$F$23)</c:f>
              <c:numCache>
                <c:formatCode>General</c:formatCode>
                <c:ptCount val="12"/>
                <c:pt idx="0">
                  <c:v>669.66139999999996</c:v>
                </c:pt>
                <c:pt idx="1">
                  <c:v>1139.3436999999999</c:v>
                </c:pt>
                <c:pt idx="2">
                  <c:v>-25077.802899999999</c:v>
                </c:pt>
                <c:pt idx="3">
                  <c:v>1117.787</c:v>
                </c:pt>
                <c:pt idx="4">
                  <c:v>1129.1687999999999</c:v>
                </c:pt>
                <c:pt idx="5">
                  <c:v>1129.1687999999999</c:v>
                </c:pt>
                <c:pt idx="6">
                  <c:v>1117.5422000000001</c:v>
                </c:pt>
                <c:pt idx="7">
                  <c:v>1129.1196</c:v>
                </c:pt>
                <c:pt idx="8">
                  <c:v>1184.4469999999999</c:v>
                </c:pt>
                <c:pt idx="9">
                  <c:v>3250.7438000000002</c:v>
                </c:pt>
                <c:pt idx="10">
                  <c:v>1131.5124000000001</c:v>
                </c:pt>
                <c:pt idx="11">
                  <c:v>489.2312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B-4657-87A4-CE0CAB1D6A7A}"/>
            </c:ext>
          </c:extLst>
        </c:ser>
        <c:ser>
          <c:idx val="1"/>
          <c:order val="1"/>
          <c:tx>
            <c:v>Upper limit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(DSA!$D$6:$D$11,DSA!$D$14:$D$16,DSA!$D$21:$D$23)</c:f>
              <c:strCache>
                <c:ptCount val="12"/>
                <c:pt idx="0">
                  <c:v>Probability recovery no treatment</c:v>
                </c:pt>
                <c:pt idx="1">
                  <c:v>Probability relapse no treatment</c:v>
                </c:pt>
                <c:pt idx="2">
                  <c:v>Probability recovery CBT</c:v>
                </c:pt>
                <c:pt idx="3">
                  <c:v>Probability relapse CBT</c:v>
                </c:pt>
                <c:pt idx="4">
                  <c:v>Probability recovery antidepressant</c:v>
                </c:pt>
                <c:pt idx="5">
                  <c:v>Probability relapse antidepressant</c:v>
                </c:pt>
                <c:pt idx="6">
                  <c:v>Costs recovery</c:v>
                </c:pt>
                <c:pt idx="7">
                  <c:v>Costs relapse</c:v>
                </c:pt>
                <c:pt idx="8">
                  <c:v>Costs no recovery</c:v>
                </c:pt>
                <c:pt idx="9">
                  <c:v>QALYs recovery</c:v>
                </c:pt>
                <c:pt idx="10">
                  <c:v>QALYs relapse</c:v>
                </c:pt>
                <c:pt idx="11">
                  <c:v>QALYs no recovery</c:v>
                </c:pt>
              </c:strCache>
            </c:strRef>
          </c:cat>
          <c:val>
            <c:numRef>
              <c:f>(DSA!$G$6:$G$11,DSA!$G$14:$G$16,DSA!$G$21:$G$23)</c:f>
              <c:numCache>
                <c:formatCode>General</c:formatCode>
                <c:ptCount val="12"/>
                <c:pt idx="0">
                  <c:v>4930.5717000000004</c:v>
                </c:pt>
                <c:pt idx="1">
                  <c:v>1109.2791999999999</c:v>
                </c:pt>
                <c:pt idx="2">
                  <c:v>307.65109999999999</c:v>
                </c:pt>
                <c:pt idx="3">
                  <c:v>1152.6375</c:v>
                </c:pt>
                <c:pt idx="4">
                  <c:v>1129.1687999999999</c:v>
                </c:pt>
                <c:pt idx="5">
                  <c:v>1129.1687999999999</c:v>
                </c:pt>
                <c:pt idx="6">
                  <c:v>1141.6684</c:v>
                </c:pt>
                <c:pt idx="7">
                  <c:v>1129.2217000000001</c:v>
                </c:pt>
                <c:pt idx="8">
                  <c:v>1065.4456</c:v>
                </c:pt>
                <c:pt idx="9">
                  <c:v>683.25030000000004</c:v>
                </c:pt>
                <c:pt idx="10">
                  <c:v>1126.8349000000001</c:v>
                </c:pt>
                <c:pt idx="11">
                  <c:v>-3665.5677000000001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CB-4657-87A4-CE0CAB1D6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"/>
        <c:overlap val="100"/>
        <c:axId val="1254483344"/>
        <c:axId val="1254492912"/>
      </c:barChart>
      <c:catAx>
        <c:axId val="1254483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492912"/>
        <c:crossesAt val="1129"/>
        <c:auto val="1"/>
        <c:lblAlgn val="ctr"/>
        <c:lblOffset val="100"/>
        <c:noMultiLvlLbl val="0"/>
      </c:catAx>
      <c:valAx>
        <c:axId val="125449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48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Antidepressants OW-DSA ICER (£/QALY)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Lower limit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(DSA!$D$6:$D$11,DSA!$D$14:$D$16,DSA!$D$21:$D$23)</c:f>
              <c:strCache>
                <c:ptCount val="12"/>
                <c:pt idx="0">
                  <c:v>Probability recovery no treatment</c:v>
                </c:pt>
                <c:pt idx="1">
                  <c:v>Probability relapse no treatment</c:v>
                </c:pt>
                <c:pt idx="2">
                  <c:v>Probability recovery CBT</c:v>
                </c:pt>
                <c:pt idx="3">
                  <c:v>Probability relapse CBT</c:v>
                </c:pt>
                <c:pt idx="4">
                  <c:v>Probability recovery antidepressant</c:v>
                </c:pt>
                <c:pt idx="5">
                  <c:v>Probability relapse antidepressant</c:v>
                </c:pt>
                <c:pt idx="6">
                  <c:v>Costs recovery</c:v>
                </c:pt>
                <c:pt idx="7">
                  <c:v>Costs relapse</c:v>
                </c:pt>
                <c:pt idx="8">
                  <c:v>Costs no recovery</c:v>
                </c:pt>
                <c:pt idx="9">
                  <c:v>QALYs recovery</c:v>
                </c:pt>
                <c:pt idx="10">
                  <c:v>QALYs relapse</c:v>
                </c:pt>
                <c:pt idx="11">
                  <c:v>QALYs no recovery</c:v>
                </c:pt>
              </c:strCache>
            </c:strRef>
          </c:cat>
          <c:val>
            <c:numRef>
              <c:f>(DSA!$H$6:$H$11,DSA!$H$14:$H$16,DSA!$H$21:$H$23)</c:f>
              <c:numCache>
                <c:formatCode>General</c:formatCode>
                <c:ptCount val="12"/>
                <c:pt idx="0">
                  <c:v>274.51580000000001</c:v>
                </c:pt>
                <c:pt idx="1">
                  <c:v>432.29469999999998</c:v>
                </c:pt>
                <c:pt idx="2">
                  <c:v>429.17099999999999</c:v>
                </c:pt>
                <c:pt idx="3">
                  <c:v>429.17099999999999</c:v>
                </c:pt>
                <c:pt idx="4">
                  <c:v>1939.1976</c:v>
                </c:pt>
                <c:pt idx="5">
                  <c:v>422.62009999999998</c:v>
                </c:pt>
                <c:pt idx="6">
                  <c:v>417.6053</c:v>
                </c:pt>
                <c:pt idx="7">
                  <c:v>428.87819999999999</c:v>
                </c:pt>
                <c:pt idx="8">
                  <c:v>484.73820000000001</c:v>
                </c:pt>
                <c:pt idx="9">
                  <c:v>1223.4894999999999</c:v>
                </c:pt>
                <c:pt idx="10">
                  <c:v>434.52809999999999</c:v>
                </c:pt>
                <c:pt idx="11">
                  <c:v>185.39619999999999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47-4AB4-94B0-87A560B5916D}"/>
            </c:ext>
          </c:extLst>
        </c:ser>
        <c:ser>
          <c:idx val="1"/>
          <c:order val="1"/>
          <c:tx>
            <c:v>Upper limit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(DSA!$D$6:$D$11,DSA!$D$14:$D$16,DSA!$D$21:$D$23)</c:f>
              <c:strCache>
                <c:ptCount val="12"/>
                <c:pt idx="0">
                  <c:v>Probability recovery no treatment</c:v>
                </c:pt>
                <c:pt idx="1">
                  <c:v>Probability relapse no treatment</c:v>
                </c:pt>
                <c:pt idx="2">
                  <c:v>Probability recovery CBT</c:v>
                </c:pt>
                <c:pt idx="3">
                  <c:v>Probability relapse CBT</c:v>
                </c:pt>
                <c:pt idx="4">
                  <c:v>Probability recovery antidepressant</c:v>
                </c:pt>
                <c:pt idx="5">
                  <c:v>Probability relapse antidepressant</c:v>
                </c:pt>
                <c:pt idx="6">
                  <c:v>Costs recovery</c:v>
                </c:pt>
                <c:pt idx="7">
                  <c:v>Costs relapse</c:v>
                </c:pt>
                <c:pt idx="8">
                  <c:v>Costs no recovery</c:v>
                </c:pt>
                <c:pt idx="9">
                  <c:v>QALYs recovery</c:v>
                </c:pt>
                <c:pt idx="10">
                  <c:v>QALYs relapse</c:v>
                </c:pt>
                <c:pt idx="11">
                  <c:v>QALYs no recovery</c:v>
                </c:pt>
              </c:strCache>
            </c:strRef>
          </c:cat>
          <c:val>
            <c:numRef>
              <c:f>(DSA!$I$6:$I$11,DSA!$I$14:$I$16,DSA!$I$21:$I$23)</c:f>
              <c:numCache>
                <c:formatCode>General</c:formatCode>
                <c:ptCount val="12"/>
                <c:pt idx="0">
                  <c:v>948.00869999999998</c:v>
                </c:pt>
                <c:pt idx="1">
                  <c:v>423.01310000000001</c:v>
                </c:pt>
                <c:pt idx="2">
                  <c:v>429.17099999999999</c:v>
                </c:pt>
                <c:pt idx="3">
                  <c:v>429.17099999999999</c:v>
                </c:pt>
                <c:pt idx="4">
                  <c:v>111.7469</c:v>
                </c:pt>
                <c:pt idx="5">
                  <c:v>440.93810000000002</c:v>
                </c:pt>
                <c:pt idx="6">
                  <c:v>441.60500000000002</c:v>
                </c:pt>
                <c:pt idx="7">
                  <c:v>429.48579999999998</c:v>
                </c:pt>
                <c:pt idx="8">
                  <c:v>365.1146</c:v>
                </c:pt>
                <c:pt idx="9">
                  <c:v>260.22609999999997</c:v>
                </c:pt>
                <c:pt idx="10">
                  <c:v>423.94439999999997</c:v>
                </c:pt>
                <c:pt idx="11">
                  <c:v>-1362.9421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47-4AB4-94B0-87A560B59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882500320"/>
        <c:axId val="1882506976"/>
      </c:barChart>
      <c:catAx>
        <c:axId val="1882500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506976"/>
        <c:crossesAt val="429"/>
        <c:auto val="1"/>
        <c:lblAlgn val="ctr"/>
        <c:lblOffset val="100"/>
        <c:noMultiLvlLbl val="0"/>
      </c:catAx>
      <c:valAx>
        <c:axId val="188250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50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24448</xdr:colOff>
      <xdr:row>0</xdr:row>
      <xdr:rowOff>563563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4688" cy="5635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24448</xdr:colOff>
      <xdr:row>0</xdr:row>
      <xdr:rowOff>563563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4688" cy="5635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30798</xdr:colOff>
      <xdr:row>1</xdr:row>
      <xdr:rowOff>1588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4688" cy="5635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27623</xdr:colOff>
      <xdr:row>0</xdr:row>
      <xdr:rowOff>560388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4688" cy="5635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259080</xdr:colOff>
      <xdr:row>6</xdr:row>
      <xdr:rowOff>175260</xdr:rowOff>
    </xdr:from>
    <xdr:to>
      <xdr:col>6</xdr:col>
      <xdr:colOff>441960</xdr:colOff>
      <xdr:row>7</xdr:row>
      <xdr:rowOff>179070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099560" y="1272540"/>
          <a:ext cx="182880" cy="18669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350521</xdr:colOff>
      <xdr:row>5</xdr:row>
      <xdr:rowOff>81915</xdr:rowOff>
    </xdr:from>
    <xdr:to>
      <xdr:col>9</xdr:col>
      <xdr:colOff>270511</xdr:colOff>
      <xdr:row>6</xdr:row>
      <xdr:rowOff>175260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>
          <a:stCxn id="2" idx="0"/>
          <a:endCxn id="6" idx="2"/>
        </xdr:cNvCxnSpPr>
      </xdr:nvCxnSpPr>
      <xdr:spPr>
        <a:xfrm rot="5400000" flipH="1" flipV="1">
          <a:off x="4973003" y="214313"/>
          <a:ext cx="276225" cy="184023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270510</xdr:colOff>
      <xdr:row>4</xdr:row>
      <xdr:rowOff>171450</xdr:rowOff>
    </xdr:from>
    <xdr:to>
      <xdr:col>9</xdr:col>
      <xdr:colOff>453390</xdr:colOff>
      <xdr:row>5</xdr:row>
      <xdr:rowOff>175260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31230" y="902970"/>
          <a:ext cx="182880" cy="18669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350521</xdr:colOff>
      <xdr:row>7</xdr:row>
      <xdr:rowOff>179069</xdr:rowOff>
    </xdr:from>
    <xdr:to>
      <xdr:col>10</xdr:col>
      <xdr:colOff>213361</xdr:colOff>
      <xdr:row>9</xdr:row>
      <xdr:rowOff>89534</xdr:rowOff>
    </xdr:to>
    <xdr:cxnSp macro="">
      <xdr:nvCxnSpPr>
        <xdr:cNvPr id="9" name="Connector: Elbow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>
          <a:cxnSpLocks/>
          <a:stCxn id="2" idx="4"/>
          <a:endCxn id="30" idx="0"/>
        </xdr:cNvCxnSpPr>
      </xdr:nvCxnSpPr>
      <xdr:spPr>
        <a:xfrm rot="16200000" flipH="1">
          <a:off x="5264468" y="385762"/>
          <a:ext cx="276225" cy="242316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361951</xdr:colOff>
      <xdr:row>3</xdr:row>
      <xdr:rowOff>93345</xdr:rowOff>
    </xdr:from>
    <xdr:to>
      <xdr:col>12</xdr:col>
      <xdr:colOff>243841</xdr:colOff>
      <xdr:row>4</xdr:row>
      <xdr:rowOff>171450</xdr:rowOff>
    </xdr:to>
    <xdr:cxnSp macro="">
      <xdr:nvCxnSpPr>
        <xdr:cNvPr id="12" name="Connector: Elbow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>
          <a:stCxn id="6" idx="0"/>
          <a:endCxn id="18" idx="0"/>
        </xdr:cNvCxnSpPr>
      </xdr:nvCxnSpPr>
      <xdr:spPr>
        <a:xfrm rot="5400000" flipH="1" flipV="1">
          <a:off x="6893243" y="-128587"/>
          <a:ext cx="260985" cy="180213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243840</xdr:colOff>
      <xdr:row>3</xdr:row>
      <xdr:rowOff>19050</xdr:rowOff>
    </xdr:from>
    <xdr:to>
      <xdr:col>12</xdr:col>
      <xdr:colOff>422910</xdr:colOff>
      <xdr:row>3</xdr:row>
      <xdr:rowOff>167640</xdr:rowOff>
    </xdr:to>
    <xdr:sp macro="" textlink="">
      <xdr:nvSpPr>
        <xdr:cNvPr id="18" name="Isosceles Tri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 rot="16200000">
          <a:off x="7940040" y="55245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236220</xdr:colOff>
      <xdr:row>7</xdr:row>
      <xdr:rowOff>15240</xdr:rowOff>
    </xdr:from>
    <xdr:to>
      <xdr:col>12</xdr:col>
      <xdr:colOff>415290</xdr:colOff>
      <xdr:row>7</xdr:row>
      <xdr:rowOff>163830</xdr:rowOff>
    </xdr:to>
    <xdr:sp macro="" textlink="">
      <xdr:nvSpPr>
        <xdr:cNvPr id="20" name="Isosceles Tri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 rot="16200000">
          <a:off x="7932420" y="128016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361951</xdr:colOff>
      <xdr:row>5</xdr:row>
      <xdr:rowOff>175259</xdr:rowOff>
    </xdr:from>
    <xdr:to>
      <xdr:col>12</xdr:col>
      <xdr:colOff>236221</xdr:colOff>
      <xdr:row>7</xdr:row>
      <xdr:rowOff>89534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>
          <a:stCxn id="6" idx="4"/>
          <a:endCxn id="20" idx="0"/>
        </xdr:cNvCxnSpPr>
      </xdr:nvCxnSpPr>
      <xdr:spPr>
        <a:xfrm rot="16200000" flipH="1">
          <a:off x="6879908" y="332422"/>
          <a:ext cx="280035" cy="179451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213360</xdr:colOff>
      <xdr:row>9</xdr:row>
      <xdr:rowOff>15240</xdr:rowOff>
    </xdr:from>
    <xdr:to>
      <xdr:col>10</xdr:col>
      <xdr:colOff>392430</xdr:colOff>
      <xdr:row>9</xdr:row>
      <xdr:rowOff>163830</xdr:rowOff>
    </xdr:to>
    <xdr:sp macro="" textlink="">
      <xdr:nvSpPr>
        <xdr:cNvPr id="30" name="Isosceles Triangl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 rot="16200000">
          <a:off x="6629400" y="164592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571500</xdr:colOff>
      <xdr:row>1</xdr:row>
      <xdr:rowOff>140970</xdr:rowOff>
    </xdr:from>
    <xdr:to>
      <xdr:col>11</xdr:col>
      <xdr:colOff>217170</xdr:colOff>
      <xdr:row>3</xdr:row>
      <xdr:rowOff>45720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6332220" y="32385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 relapse</a:t>
          </a:r>
        </a:p>
      </xdr:txBody>
    </xdr:sp>
    <xdr:clientData/>
  </xdr:twoCellAnchor>
  <xdr:twoCellAnchor>
    <xdr:from>
      <xdr:col>9</xdr:col>
      <xdr:colOff>582930</xdr:colOff>
      <xdr:row>5</xdr:row>
      <xdr:rowOff>140970</xdr:rowOff>
    </xdr:from>
    <xdr:to>
      <xdr:col>11</xdr:col>
      <xdr:colOff>228600</xdr:colOff>
      <xdr:row>7</xdr:row>
      <xdr:rowOff>45720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6343650" y="105537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Relapse</a:t>
          </a:r>
        </a:p>
      </xdr:txBody>
    </xdr:sp>
    <xdr:clientData/>
  </xdr:twoCellAnchor>
  <xdr:twoCellAnchor>
    <xdr:from>
      <xdr:col>6</xdr:col>
      <xdr:colOff>426720</xdr:colOff>
      <xdr:row>3</xdr:row>
      <xdr:rowOff>137160</xdr:rowOff>
    </xdr:from>
    <xdr:to>
      <xdr:col>8</xdr:col>
      <xdr:colOff>72390</xdr:colOff>
      <xdr:row>5</xdr:row>
      <xdr:rowOff>41910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4267200" y="68580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Recovery</a:t>
          </a:r>
        </a:p>
      </xdr:txBody>
    </xdr:sp>
    <xdr:clientData/>
  </xdr:twoCellAnchor>
  <xdr:twoCellAnchor>
    <xdr:from>
      <xdr:col>6</xdr:col>
      <xdr:colOff>419100</xdr:colOff>
      <xdr:row>7</xdr:row>
      <xdr:rowOff>144780</xdr:rowOff>
    </xdr:from>
    <xdr:to>
      <xdr:col>8</xdr:col>
      <xdr:colOff>64770</xdr:colOff>
      <xdr:row>9</xdr:row>
      <xdr:rowOff>49530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4259580" y="142494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 recovery</a:t>
          </a:r>
        </a:p>
      </xdr:txBody>
    </xdr:sp>
    <xdr:clientData/>
  </xdr:twoCellAnchor>
  <xdr:twoCellAnchor>
    <xdr:from>
      <xdr:col>6</xdr:col>
      <xdr:colOff>255270</xdr:colOff>
      <xdr:row>16</xdr:row>
      <xdr:rowOff>163830</xdr:rowOff>
    </xdr:from>
    <xdr:to>
      <xdr:col>6</xdr:col>
      <xdr:colOff>438150</xdr:colOff>
      <xdr:row>17</xdr:row>
      <xdr:rowOff>167640</xdr:rowOff>
    </xdr:to>
    <xdr:sp macro="" textlink="">
      <xdr:nvSpPr>
        <xdr:cNvPr id="60" name="Oval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4095750" y="3089910"/>
          <a:ext cx="182880" cy="18669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346711</xdr:colOff>
      <xdr:row>15</xdr:row>
      <xdr:rowOff>70485</xdr:rowOff>
    </xdr:from>
    <xdr:to>
      <xdr:col>9</xdr:col>
      <xdr:colOff>266701</xdr:colOff>
      <xdr:row>16</xdr:row>
      <xdr:rowOff>163830</xdr:rowOff>
    </xdr:to>
    <xdr:cxnSp macro="">
      <xdr:nvCxnSpPr>
        <xdr:cNvPr id="61" name="Connector: Elbow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CxnSpPr>
          <a:stCxn id="60" idx="0"/>
          <a:endCxn id="62" idx="2"/>
        </xdr:cNvCxnSpPr>
      </xdr:nvCxnSpPr>
      <xdr:spPr>
        <a:xfrm rot="5400000" flipH="1" flipV="1">
          <a:off x="4969193" y="2031683"/>
          <a:ext cx="276225" cy="184023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266700</xdr:colOff>
      <xdr:row>14</xdr:row>
      <xdr:rowOff>160020</xdr:rowOff>
    </xdr:from>
    <xdr:to>
      <xdr:col>9</xdr:col>
      <xdr:colOff>449580</xdr:colOff>
      <xdr:row>15</xdr:row>
      <xdr:rowOff>163830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6027420" y="2720340"/>
          <a:ext cx="182880" cy="18669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346711</xdr:colOff>
      <xdr:row>17</xdr:row>
      <xdr:rowOff>167639</xdr:rowOff>
    </xdr:from>
    <xdr:to>
      <xdr:col>10</xdr:col>
      <xdr:colOff>209551</xdr:colOff>
      <xdr:row>19</xdr:row>
      <xdr:rowOff>78104</xdr:rowOff>
    </xdr:to>
    <xdr:cxnSp macro="">
      <xdr:nvCxnSpPr>
        <xdr:cNvPr id="63" name="Connector: Elbow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>
          <a:cxnSpLocks/>
          <a:stCxn id="60" idx="4"/>
          <a:endCxn id="68" idx="0"/>
        </xdr:cNvCxnSpPr>
      </xdr:nvCxnSpPr>
      <xdr:spPr>
        <a:xfrm rot="16200000" flipH="1">
          <a:off x="5260658" y="2203132"/>
          <a:ext cx="276225" cy="242316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358141</xdr:colOff>
      <xdr:row>13</xdr:row>
      <xdr:rowOff>108585</xdr:rowOff>
    </xdr:from>
    <xdr:to>
      <xdr:col>12</xdr:col>
      <xdr:colOff>228601</xdr:colOff>
      <xdr:row>14</xdr:row>
      <xdr:rowOff>160020</xdr:rowOff>
    </xdr:to>
    <xdr:cxnSp macro="">
      <xdr:nvCxnSpPr>
        <xdr:cNvPr id="64" name="Connector: Elbow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CxnSpPr>
          <a:stCxn id="62" idx="0"/>
          <a:endCxn id="65" idx="0"/>
        </xdr:cNvCxnSpPr>
      </xdr:nvCxnSpPr>
      <xdr:spPr>
        <a:xfrm rot="5400000" flipH="1" flipV="1">
          <a:off x="6897053" y="1707833"/>
          <a:ext cx="234315" cy="17907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228600</xdr:colOff>
      <xdr:row>13</xdr:row>
      <xdr:rowOff>34290</xdr:rowOff>
    </xdr:from>
    <xdr:to>
      <xdr:col>12</xdr:col>
      <xdr:colOff>407670</xdr:colOff>
      <xdr:row>14</xdr:row>
      <xdr:rowOff>0</xdr:rowOff>
    </xdr:to>
    <xdr:sp macro="" textlink="">
      <xdr:nvSpPr>
        <xdr:cNvPr id="65" name="Isosceles Triangle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 rot="16200000">
          <a:off x="7924800" y="239649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232410</xdr:colOff>
      <xdr:row>17</xdr:row>
      <xdr:rowOff>22860</xdr:rowOff>
    </xdr:from>
    <xdr:to>
      <xdr:col>12</xdr:col>
      <xdr:colOff>411480</xdr:colOff>
      <xdr:row>17</xdr:row>
      <xdr:rowOff>171450</xdr:rowOff>
    </xdr:to>
    <xdr:sp macro="" textlink="">
      <xdr:nvSpPr>
        <xdr:cNvPr id="66" name="Isosceles Triangle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 rot="16200000">
          <a:off x="7928610" y="311658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358141</xdr:colOff>
      <xdr:row>15</xdr:row>
      <xdr:rowOff>163829</xdr:rowOff>
    </xdr:from>
    <xdr:to>
      <xdr:col>12</xdr:col>
      <xdr:colOff>232411</xdr:colOff>
      <xdr:row>17</xdr:row>
      <xdr:rowOff>97154</xdr:rowOff>
    </xdr:to>
    <xdr:cxnSp macro="">
      <xdr:nvCxnSpPr>
        <xdr:cNvPr id="67" name="Connector: Elbow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>
          <a:stCxn id="62" idx="4"/>
          <a:endCxn id="66" idx="0"/>
        </xdr:cNvCxnSpPr>
      </xdr:nvCxnSpPr>
      <xdr:spPr>
        <a:xfrm rot="16200000" flipH="1">
          <a:off x="6866573" y="2159317"/>
          <a:ext cx="299085" cy="179451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209550</xdr:colOff>
      <xdr:row>19</xdr:row>
      <xdr:rowOff>3810</xdr:rowOff>
    </xdr:from>
    <xdr:to>
      <xdr:col>10</xdr:col>
      <xdr:colOff>388620</xdr:colOff>
      <xdr:row>19</xdr:row>
      <xdr:rowOff>152400</xdr:rowOff>
    </xdr:to>
    <xdr:sp macro="" textlink="">
      <xdr:nvSpPr>
        <xdr:cNvPr id="68" name="Isosceles Triangle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>
        <a:xfrm rot="16200000">
          <a:off x="6625590" y="346329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575310</xdr:colOff>
      <xdr:row>11</xdr:row>
      <xdr:rowOff>140970</xdr:rowOff>
    </xdr:from>
    <xdr:to>
      <xdr:col>11</xdr:col>
      <xdr:colOff>220980</xdr:colOff>
      <xdr:row>13</xdr:row>
      <xdr:rowOff>45720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6336030" y="215265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 relapse</a:t>
          </a:r>
        </a:p>
      </xdr:txBody>
    </xdr:sp>
    <xdr:clientData/>
  </xdr:twoCellAnchor>
  <xdr:twoCellAnchor>
    <xdr:from>
      <xdr:col>9</xdr:col>
      <xdr:colOff>571500</xdr:colOff>
      <xdr:row>15</xdr:row>
      <xdr:rowOff>129540</xdr:rowOff>
    </xdr:from>
    <xdr:to>
      <xdr:col>11</xdr:col>
      <xdr:colOff>217170</xdr:colOff>
      <xdr:row>17</xdr:row>
      <xdr:rowOff>34290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6332220" y="287274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Relapse</a:t>
          </a:r>
        </a:p>
      </xdr:txBody>
    </xdr:sp>
    <xdr:clientData/>
  </xdr:twoCellAnchor>
  <xdr:twoCellAnchor>
    <xdr:from>
      <xdr:col>6</xdr:col>
      <xdr:colOff>422910</xdr:colOff>
      <xdr:row>13</xdr:row>
      <xdr:rowOff>125730</xdr:rowOff>
    </xdr:from>
    <xdr:to>
      <xdr:col>8</xdr:col>
      <xdr:colOff>68580</xdr:colOff>
      <xdr:row>15</xdr:row>
      <xdr:rowOff>30480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4263390" y="250317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Recovery</a:t>
          </a:r>
        </a:p>
      </xdr:txBody>
    </xdr:sp>
    <xdr:clientData/>
  </xdr:twoCellAnchor>
  <xdr:twoCellAnchor>
    <xdr:from>
      <xdr:col>6</xdr:col>
      <xdr:colOff>415290</xdr:colOff>
      <xdr:row>17</xdr:row>
      <xdr:rowOff>133350</xdr:rowOff>
    </xdr:from>
    <xdr:to>
      <xdr:col>8</xdr:col>
      <xdr:colOff>60960</xdr:colOff>
      <xdr:row>19</xdr:row>
      <xdr:rowOff>38100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4255770" y="324231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 recovery</a:t>
          </a:r>
        </a:p>
      </xdr:txBody>
    </xdr:sp>
    <xdr:clientData/>
  </xdr:twoCellAnchor>
  <xdr:twoCellAnchor>
    <xdr:from>
      <xdr:col>6</xdr:col>
      <xdr:colOff>251460</xdr:colOff>
      <xdr:row>26</xdr:row>
      <xdr:rowOff>175260</xdr:rowOff>
    </xdr:from>
    <xdr:to>
      <xdr:col>6</xdr:col>
      <xdr:colOff>434340</xdr:colOff>
      <xdr:row>27</xdr:row>
      <xdr:rowOff>179070</xdr:rowOff>
    </xdr:to>
    <xdr:sp macro="" textlink="">
      <xdr:nvSpPr>
        <xdr:cNvPr id="73" name="Oval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4091940" y="4930140"/>
          <a:ext cx="182880" cy="18669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342901</xdr:colOff>
      <xdr:row>25</xdr:row>
      <xdr:rowOff>81915</xdr:rowOff>
    </xdr:from>
    <xdr:to>
      <xdr:col>9</xdr:col>
      <xdr:colOff>262891</xdr:colOff>
      <xdr:row>26</xdr:row>
      <xdr:rowOff>175260</xdr:rowOff>
    </xdr:to>
    <xdr:cxnSp macro="">
      <xdr:nvCxnSpPr>
        <xdr:cNvPr id="74" name="Connector: Elbow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CxnSpPr>
          <a:stCxn id="73" idx="0"/>
          <a:endCxn id="75" idx="2"/>
        </xdr:cNvCxnSpPr>
      </xdr:nvCxnSpPr>
      <xdr:spPr>
        <a:xfrm rot="5400000" flipH="1" flipV="1">
          <a:off x="4965383" y="3871913"/>
          <a:ext cx="276225" cy="184023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262890</xdr:colOff>
      <xdr:row>24</xdr:row>
      <xdr:rowOff>171450</xdr:rowOff>
    </xdr:from>
    <xdr:to>
      <xdr:col>9</xdr:col>
      <xdr:colOff>445770</xdr:colOff>
      <xdr:row>25</xdr:row>
      <xdr:rowOff>175260</xdr:rowOff>
    </xdr:to>
    <xdr:sp macro="" textlink="">
      <xdr:nvSpPr>
        <xdr:cNvPr id="75" name="Oval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6023610" y="4560570"/>
          <a:ext cx="182880" cy="18669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342901</xdr:colOff>
      <xdr:row>27</xdr:row>
      <xdr:rowOff>179069</xdr:rowOff>
    </xdr:from>
    <xdr:to>
      <xdr:col>10</xdr:col>
      <xdr:colOff>205741</xdr:colOff>
      <xdr:row>29</xdr:row>
      <xdr:rowOff>89534</xdr:rowOff>
    </xdr:to>
    <xdr:cxnSp macro="">
      <xdr:nvCxnSpPr>
        <xdr:cNvPr id="76" name="Connector: Elbow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>
          <a:cxnSpLocks/>
          <a:stCxn id="73" idx="4"/>
          <a:endCxn id="81" idx="0"/>
        </xdr:cNvCxnSpPr>
      </xdr:nvCxnSpPr>
      <xdr:spPr>
        <a:xfrm rot="16200000" flipH="1">
          <a:off x="5256848" y="4043362"/>
          <a:ext cx="276225" cy="242316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354331</xdr:colOff>
      <xdr:row>23</xdr:row>
      <xdr:rowOff>66675</xdr:rowOff>
    </xdr:from>
    <xdr:to>
      <xdr:col>12</xdr:col>
      <xdr:colOff>240031</xdr:colOff>
      <xdr:row>24</xdr:row>
      <xdr:rowOff>171450</xdr:rowOff>
    </xdr:to>
    <xdr:cxnSp macro="">
      <xdr:nvCxnSpPr>
        <xdr:cNvPr id="77" name="Connector: Elbow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CxnSpPr>
          <a:stCxn id="75" idx="0"/>
          <a:endCxn id="78" idx="0"/>
        </xdr:cNvCxnSpPr>
      </xdr:nvCxnSpPr>
      <xdr:spPr>
        <a:xfrm rot="5400000" flipH="1" flipV="1">
          <a:off x="6874193" y="3513773"/>
          <a:ext cx="287655" cy="180594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240030</xdr:colOff>
      <xdr:row>22</xdr:row>
      <xdr:rowOff>175260</xdr:rowOff>
    </xdr:from>
    <xdr:to>
      <xdr:col>12</xdr:col>
      <xdr:colOff>419100</xdr:colOff>
      <xdr:row>23</xdr:row>
      <xdr:rowOff>140970</xdr:rowOff>
    </xdr:to>
    <xdr:sp macro="" textlink="">
      <xdr:nvSpPr>
        <xdr:cNvPr id="78" name="Isosceles Triangle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>
        <a:xfrm rot="16200000">
          <a:off x="7936230" y="418338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236220</xdr:colOff>
      <xdr:row>27</xdr:row>
      <xdr:rowOff>34290</xdr:rowOff>
    </xdr:from>
    <xdr:to>
      <xdr:col>12</xdr:col>
      <xdr:colOff>415290</xdr:colOff>
      <xdr:row>28</xdr:row>
      <xdr:rowOff>0</xdr:rowOff>
    </xdr:to>
    <xdr:sp macro="" textlink="">
      <xdr:nvSpPr>
        <xdr:cNvPr id="79" name="Isosceles Triangle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 rot="16200000">
          <a:off x="7932420" y="495681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354331</xdr:colOff>
      <xdr:row>25</xdr:row>
      <xdr:rowOff>175259</xdr:rowOff>
    </xdr:from>
    <xdr:to>
      <xdr:col>12</xdr:col>
      <xdr:colOff>236221</xdr:colOff>
      <xdr:row>27</xdr:row>
      <xdr:rowOff>108584</xdr:rowOff>
    </xdr:to>
    <xdr:cxnSp macro="">
      <xdr:nvCxnSpPr>
        <xdr:cNvPr id="80" name="Connector: Elbow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CxnSpPr>
          <a:stCxn id="75" idx="4"/>
          <a:endCxn id="79" idx="0"/>
        </xdr:cNvCxnSpPr>
      </xdr:nvCxnSpPr>
      <xdr:spPr>
        <a:xfrm rot="16200000" flipH="1">
          <a:off x="6866573" y="3995737"/>
          <a:ext cx="299085" cy="180213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205740</xdr:colOff>
      <xdr:row>29</xdr:row>
      <xdr:rowOff>15240</xdr:rowOff>
    </xdr:from>
    <xdr:to>
      <xdr:col>10</xdr:col>
      <xdr:colOff>384810</xdr:colOff>
      <xdr:row>29</xdr:row>
      <xdr:rowOff>163830</xdr:rowOff>
    </xdr:to>
    <xdr:sp macro="" textlink="">
      <xdr:nvSpPr>
        <xdr:cNvPr id="81" name="Isosceles Triangle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>
        <a:xfrm rot="16200000">
          <a:off x="6621780" y="5303520"/>
          <a:ext cx="148590" cy="17907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575310</xdr:colOff>
      <xdr:row>21</xdr:row>
      <xdr:rowOff>148590</xdr:rowOff>
    </xdr:from>
    <xdr:to>
      <xdr:col>11</xdr:col>
      <xdr:colOff>220980</xdr:colOff>
      <xdr:row>23</xdr:row>
      <xdr:rowOff>53340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6336030" y="398907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 relapse</a:t>
          </a:r>
        </a:p>
      </xdr:txBody>
    </xdr:sp>
    <xdr:clientData/>
  </xdr:twoCellAnchor>
  <xdr:twoCellAnchor>
    <xdr:from>
      <xdr:col>9</xdr:col>
      <xdr:colOff>609600</xdr:colOff>
      <xdr:row>25</xdr:row>
      <xdr:rowOff>137160</xdr:rowOff>
    </xdr:from>
    <xdr:to>
      <xdr:col>11</xdr:col>
      <xdr:colOff>255270</xdr:colOff>
      <xdr:row>27</xdr:row>
      <xdr:rowOff>41910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6370320" y="470916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Relapse</a:t>
          </a:r>
        </a:p>
      </xdr:txBody>
    </xdr:sp>
    <xdr:clientData/>
  </xdr:twoCellAnchor>
  <xdr:twoCellAnchor>
    <xdr:from>
      <xdr:col>6</xdr:col>
      <xdr:colOff>419100</xdr:colOff>
      <xdr:row>23</xdr:row>
      <xdr:rowOff>137160</xdr:rowOff>
    </xdr:from>
    <xdr:to>
      <xdr:col>8</xdr:col>
      <xdr:colOff>64770</xdr:colOff>
      <xdr:row>25</xdr:row>
      <xdr:rowOff>41910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4259580" y="434340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Recovery</a:t>
          </a:r>
        </a:p>
      </xdr:txBody>
    </xdr:sp>
    <xdr:clientData/>
  </xdr:twoCellAnchor>
  <xdr:twoCellAnchor>
    <xdr:from>
      <xdr:col>6</xdr:col>
      <xdr:colOff>411480</xdr:colOff>
      <xdr:row>27</xdr:row>
      <xdr:rowOff>144780</xdr:rowOff>
    </xdr:from>
    <xdr:to>
      <xdr:col>8</xdr:col>
      <xdr:colOff>57150</xdr:colOff>
      <xdr:row>29</xdr:row>
      <xdr:rowOff>49530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4251960" y="5082540"/>
          <a:ext cx="925830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 recovery</a:t>
          </a:r>
        </a:p>
      </xdr:txBody>
    </xdr:sp>
    <xdr:clientData/>
  </xdr:twoCellAnchor>
  <xdr:twoCellAnchor>
    <xdr:from>
      <xdr:col>3</xdr:col>
      <xdr:colOff>259080</xdr:colOff>
      <xdr:row>17</xdr:row>
      <xdr:rowOff>0</xdr:rowOff>
    </xdr:from>
    <xdr:to>
      <xdr:col>3</xdr:col>
      <xdr:colOff>430530</xdr:colOff>
      <xdr:row>17</xdr:row>
      <xdr:rowOff>175260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>
        <a:xfrm>
          <a:off x="2179320" y="3108960"/>
          <a:ext cx="171450" cy="175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344805</xdr:colOff>
      <xdr:row>7</xdr:row>
      <xdr:rowOff>85726</xdr:rowOff>
    </xdr:from>
    <xdr:to>
      <xdr:col>6</xdr:col>
      <xdr:colOff>259080</xdr:colOff>
      <xdr:row>17</xdr:row>
      <xdr:rowOff>1</xdr:rowOff>
    </xdr:to>
    <xdr:cxnSp macro="">
      <xdr:nvCxnSpPr>
        <xdr:cNvPr id="87" name="Connector: Elbow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>
          <a:cxnSpLocks/>
          <a:stCxn id="86" idx="0"/>
          <a:endCxn id="2" idx="2"/>
        </xdr:cNvCxnSpPr>
      </xdr:nvCxnSpPr>
      <xdr:spPr>
        <a:xfrm rot="5400000" flipH="1" flipV="1">
          <a:off x="2310765" y="1320166"/>
          <a:ext cx="1743075" cy="1834515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344805</xdr:colOff>
      <xdr:row>17</xdr:row>
      <xdr:rowOff>175259</xdr:rowOff>
    </xdr:from>
    <xdr:to>
      <xdr:col>6</xdr:col>
      <xdr:colOff>251460</xdr:colOff>
      <xdr:row>27</xdr:row>
      <xdr:rowOff>85724</xdr:rowOff>
    </xdr:to>
    <xdr:cxnSp macro="">
      <xdr:nvCxnSpPr>
        <xdr:cNvPr id="90" name="Connector: Elbow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>
          <a:cxnSpLocks/>
          <a:stCxn id="86" idx="2"/>
          <a:endCxn id="73" idx="2"/>
        </xdr:cNvCxnSpPr>
      </xdr:nvCxnSpPr>
      <xdr:spPr>
        <a:xfrm rot="16200000" flipH="1">
          <a:off x="2308860" y="3240404"/>
          <a:ext cx="1739265" cy="1826895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430530</xdr:colOff>
      <xdr:row>17</xdr:row>
      <xdr:rowOff>74295</xdr:rowOff>
    </xdr:from>
    <xdr:to>
      <xdr:col>6</xdr:col>
      <xdr:colOff>255270</xdr:colOff>
      <xdr:row>17</xdr:row>
      <xdr:rowOff>87630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CxnSpPr>
          <a:stCxn id="86" idx="3"/>
          <a:endCxn id="60" idx="2"/>
        </xdr:cNvCxnSpPr>
      </xdr:nvCxnSpPr>
      <xdr:spPr>
        <a:xfrm flipV="1">
          <a:off x="2350770" y="3183255"/>
          <a:ext cx="1744980" cy="133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</xdr:colOff>
      <xdr:row>5</xdr:row>
      <xdr:rowOff>129540</xdr:rowOff>
    </xdr:from>
    <xdr:to>
      <xdr:col>6</xdr:col>
      <xdr:colOff>213360</xdr:colOff>
      <xdr:row>7</xdr:row>
      <xdr:rowOff>41910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2567940" y="1043940"/>
          <a:ext cx="1485900" cy="2781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 treatment</a:t>
          </a:r>
        </a:p>
      </xdr:txBody>
    </xdr:sp>
    <xdr:clientData/>
  </xdr:twoCellAnchor>
  <xdr:twoCellAnchor>
    <xdr:from>
      <xdr:col>3</xdr:col>
      <xdr:colOff>632460</xdr:colOff>
      <xdr:row>15</xdr:row>
      <xdr:rowOff>118110</xdr:rowOff>
    </xdr:from>
    <xdr:to>
      <xdr:col>5</xdr:col>
      <xdr:colOff>278130</xdr:colOff>
      <xdr:row>17</xdr:row>
      <xdr:rowOff>49530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2552700" y="2861310"/>
          <a:ext cx="92583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CBT</a:t>
          </a:r>
        </a:p>
      </xdr:txBody>
    </xdr:sp>
    <xdr:clientData/>
  </xdr:twoCellAnchor>
  <xdr:twoCellAnchor>
    <xdr:from>
      <xdr:col>3</xdr:col>
      <xdr:colOff>617220</xdr:colOff>
      <xdr:row>25</xdr:row>
      <xdr:rowOff>121920</xdr:rowOff>
    </xdr:from>
    <xdr:to>
      <xdr:col>5</xdr:col>
      <xdr:colOff>556260</xdr:colOff>
      <xdr:row>27</xdr:row>
      <xdr:rowOff>53340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2537460" y="4693920"/>
          <a:ext cx="12192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Antidepressant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24448</xdr:colOff>
      <xdr:row>0</xdr:row>
      <xdr:rowOff>563563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4688" cy="5635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1</xdr:row>
          <xdr:rowOff>158750</xdr:rowOff>
        </xdr:from>
        <xdr:to>
          <xdr:col>4</xdr:col>
          <xdr:colOff>0</xdr:colOff>
          <xdr:row>3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DSA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222885</xdr:colOff>
      <xdr:row>0</xdr:row>
      <xdr:rowOff>140970</xdr:rowOff>
    </xdr:from>
    <xdr:to>
      <xdr:col>16</xdr:col>
      <xdr:colOff>314325</xdr:colOff>
      <xdr:row>15</xdr:row>
      <xdr:rowOff>140970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180975</xdr:colOff>
      <xdr:row>16</xdr:row>
      <xdr:rowOff>102870</xdr:rowOff>
    </xdr:from>
    <xdr:to>
      <xdr:col>16</xdr:col>
      <xdr:colOff>272415</xdr:colOff>
      <xdr:row>31</xdr:row>
      <xdr:rowOff>102870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24448</xdr:colOff>
      <xdr:row>0</xdr:row>
      <xdr:rowOff>563563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4688" cy="5635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27623</xdr:colOff>
      <xdr:row>0</xdr:row>
      <xdr:rowOff>560388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4688" cy="5635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24983-C00D-4EE3-BCF4-7AE2EA605CA8}">
  <sheetPr codeName="Sheet1">
    <tabColor rgb="FFFF9900"/>
  </sheetPr>
  <dimension ref="D1"/>
  <sheetViews>
    <sheetView workbookViewId="0">
      <selection activeCell="J31" sqref="J31"/>
    </sheetView>
  </sheetViews>
  <sheetFormatPr defaultRowHeight="14.5" x14ac:dyDescent="0.35"/>
  <cols>
    <col min="1" max="1" width="8.81640625" customWidth="1"/>
  </cols>
  <sheetData>
    <row r="1" spans="4:4" ht="44.75" customHeight="1" x14ac:dyDescent="0.85">
      <c r="D1" s="31" t="s">
        <v>59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35F8E-2146-4043-968B-F9F291A11270}">
  <sheetPr codeName="Sheet2">
    <tabColor rgb="FFFF9900"/>
  </sheetPr>
  <dimension ref="D1:E16"/>
  <sheetViews>
    <sheetView workbookViewId="0">
      <selection activeCell="D5" sqref="D5"/>
    </sheetView>
  </sheetViews>
  <sheetFormatPr defaultRowHeight="14.5" x14ac:dyDescent="0.35"/>
  <sheetData>
    <row r="1" spans="4:5" ht="45.65" customHeight="1" x14ac:dyDescent="0.85">
      <c r="D1" s="31" t="s">
        <v>59</v>
      </c>
    </row>
    <row r="5" spans="4:5" x14ac:dyDescent="0.35">
      <c r="D5" s="10" t="s">
        <v>32</v>
      </c>
    </row>
    <row r="6" spans="4:5" x14ac:dyDescent="0.35">
      <c r="D6" s="6"/>
      <c r="E6" t="s">
        <v>33</v>
      </c>
    </row>
    <row r="7" spans="4:5" x14ac:dyDescent="0.35">
      <c r="D7" s="7"/>
      <c r="E7" t="s">
        <v>34</v>
      </c>
    </row>
    <row r="8" spans="4:5" x14ac:dyDescent="0.35">
      <c r="D8" s="8"/>
      <c r="E8" t="s">
        <v>35</v>
      </c>
    </row>
    <row r="9" spans="4:5" x14ac:dyDescent="0.35">
      <c r="D9" s="28"/>
      <c r="E9" t="s">
        <v>53</v>
      </c>
    </row>
    <row r="10" spans="4:5" x14ac:dyDescent="0.35">
      <c r="D10" s="9"/>
      <c r="E10" t="s">
        <v>36</v>
      </c>
    </row>
    <row r="12" spans="4:5" x14ac:dyDescent="0.35">
      <c r="D12" s="10" t="s">
        <v>37</v>
      </c>
    </row>
    <row r="13" spans="4:5" x14ac:dyDescent="0.35">
      <c r="D13" s="6"/>
      <c r="E13" t="s">
        <v>39</v>
      </c>
    </row>
    <row r="14" spans="4:5" x14ac:dyDescent="0.35">
      <c r="D14" s="7"/>
      <c r="E14" t="s">
        <v>40</v>
      </c>
    </row>
    <row r="15" spans="4:5" x14ac:dyDescent="0.35">
      <c r="D15" s="8"/>
      <c r="E15" t="s">
        <v>38</v>
      </c>
    </row>
    <row r="16" spans="4:5" x14ac:dyDescent="0.35">
      <c r="D16" s="9"/>
      <c r="E16" t="s">
        <v>36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A4FF9-6CF4-4D7F-A7D4-D3997EB5A3EE}">
  <sheetPr codeName="Sheet3">
    <tabColor rgb="FFFF9900"/>
  </sheetPr>
  <dimension ref="D1:E6"/>
  <sheetViews>
    <sheetView workbookViewId="0">
      <selection activeCell="E6" sqref="E6"/>
    </sheetView>
  </sheetViews>
  <sheetFormatPr defaultRowHeight="14.5" x14ac:dyDescent="0.35"/>
  <cols>
    <col min="4" max="4" width="36.1796875" customWidth="1"/>
    <col min="5" max="5" width="13.08984375" customWidth="1"/>
  </cols>
  <sheetData>
    <row r="1" spans="4:5" ht="44.75" customHeight="1" x14ac:dyDescent="0.85">
      <c r="D1" s="31" t="s">
        <v>59</v>
      </c>
    </row>
    <row r="4" spans="4:5" ht="15" thickBot="1" x14ac:dyDescent="0.4"/>
    <row r="5" spans="4:5" x14ac:dyDescent="0.35">
      <c r="D5" s="10" t="s">
        <v>48</v>
      </c>
      <c r="E5" s="29">
        <v>20000</v>
      </c>
    </row>
    <row r="6" spans="4:5" ht="15" thickBot="1" x14ac:dyDescent="0.4">
      <c r="D6" s="10" t="s">
        <v>30</v>
      </c>
      <c r="E6" s="30" t="s">
        <v>31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36A2-E541-409E-95B3-D54B26A39122}">
  <sheetPr codeName="Sheet4">
    <tabColor rgb="FFCC9900"/>
  </sheetPr>
  <dimension ref="D1:P23"/>
  <sheetViews>
    <sheetView workbookViewId="0">
      <selection activeCell="M31" sqref="M31"/>
    </sheetView>
  </sheetViews>
  <sheetFormatPr defaultRowHeight="14.5" x14ac:dyDescent="0.35"/>
  <cols>
    <col min="4" max="4" width="26.7265625" customWidth="1"/>
    <col min="6" max="6" width="12.6328125" customWidth="1"/>
    <col min="7" max="7" width="10.81640625" customWidth="1"/>
    <col min="9" max="9" width="15.453125" customWidth="1"/>
    <col min="14" max="14" width="9.7265625" customWidth="1"/>
    <col min="15" max="15" width="11.90625" customWidth="1"/>
    <col min="16" max="16" width="13.26953125" customWidth="1"/>
  </cols>
  <sheetData>
    <row r="1" spans="4:16" ht="45" customHeight="1" x14ac:dyDescent="0.85">
      <c r="D1" s="31" t="s">
        <v>59</v>
      </c>
    </row>
    <row r="3" spans="4:16" x14ac:dyDescent="0.35">
      <c r="D3" s="2" t="s">
        <v>0</v>
      </c>
      <c r="E3" s="2"/>
      <c r="F3" s="2" t="s">
        <v>1</v>
      </c>
      <c r="G3" s="2" t="s">
        <v>27</v>
      </c>
      <c r="H3" s="2" t="s">
        <v>2</v>
      </c>
      <c r="I3" s="2" t="s">
        <v>3</v>
      </c>
      <c r="J3" s="2" t="s">
        <v>4</v>
      </c>
      <c r="K3" s="2" t="s">
        <v>5</v>
      </c>
      <c r="L3" s="2" t="s">
        <v>28</v>
      </c>
      <c r="M3" s="2" t="s">
        <v>29</v>
      </c>
      <c r="N3" s="2" t="s">
        <v>54</v>
      </c>
      <c r="O3" s="2" t="s">
        <v>55</v>
      </c>
      <c r="P3" s="2" t="s">
        <v>6</v>
      </c>
    </row>
    <row r="4" spans="4:16" x14ac:dyDescent="0.35">
      <c r="G4" s="1"/>
    </row>
    <row r="5" spans="4:16" x14ac:dyDescent="0.35">
      <c r="D5" s="2" t="s">
        <v>17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4:16" ht="15.65" customHeight="1" x14ac:dyDescent="0.35">
      <c r="D6" t="s">
        <v>18</v>
      </c>
      <c r="G6" s="11">
        <f>H6</f>
        <v>2.9126213592233011E-2</v>
      </c>
      <c r="H6" s="11">
        <f>J6/(J6+K6)</f>
        <v>2.9126213592233011E-2</v>
      </c>
      <c r="I6" s="8">
        <f>SQRT(J6*K6/((J6+K6)*(J6+K6)*(J6+K6+1)))</f>
        <v>1.168794690153099E-2</v>
      </c>
      <c r="J6" s="12">
        <v>6</v>
      </c>
      <c r="K6" s="12">
        <v>200</v>
      </c>
      <c r="N6" s="8">
        <f>_xlfn.BETA.INV(0.025,J6,K6)</f>
        <v>1.0815151385794988E-2</v>
      </c>
      <c r="O6" s="8">
        <f>_xlfn.BETA.INV(0.975,J6,K6)</f>
        <v>5.5997872258288672E-2</v>
      </c>
      <c r="P6" t="s">
        <v>5</v>
      </c>
    </row>
    <row r="7" spans="4:16" x14ac:dyDescent="0.35">
      <c r="D7" t="s">
        <v>19</v>
      </c>
      <c r="G7" s="11">
        <f>H7</f>
        <v>1.9607843137254902E-2</v>
      </c>
      <c r="H7" s="11">
        <f t="shared" ref="H7:H11" si="0">J7/(J7+K7)</f>
        <v>1.9607843137254902E-2</v>
      </c>
      <c r="I7" s="8">
        <f t="shared" ref="I7:I11" si="1">SQRT(J7*K7/((J7+K7)*(J7+K7)*(J7+K7+1)))</f>
        <v>1.3661431652776817E-2</v>
      </c>
      <c r="J7" s="12">
        <v>2</v>
      </c>
      <c r="K7" s="12">
        <v>100</v>
      </c>
      <c r="N7" s="8">
        <f t="shared" ref="N7:N11" si="2">_xlfn.BETA.INV(0.025,J7,K7)</f>
        <v>2.4071729092579896E-3</v>
      </c>
      <c r="O7" s="8">
        <f t="shared" ref="O7:O11" si="3">_xlfn.BETA.INV(0.975,J7,K7)</f>
        <v>5.3932347426795757E-2</v>
      </c>
      <c r="P7" t="s">
        <v>5</v>
      </c>
    </row>
    <row r="8" spans="4:16" x14ac:dyDescent="0.35">
      <c r="D8" t="s">
        <v>20</v>
      </c>
      <c r="G8" s="11">
        <f>H8</f>
        <v>6.5420560747663545E-2</v>
      </c>
      <c r="H8" s="11">
        <f t="shared" si="0"/>
        <v>6.5420560747663545E-2</v>
      </c>
      <c r="I8" s="8">
        <f t="shared" si="1"/>
        <v>2.3793227907351194E-2</v>
      </c>
      <c r="J8" s="12">
        <v>7</v>
      </c>
      <c r="K8" s="12">
        <v>100</v>
      </c>
      <c r="N8" s="8">
        <f t="shared" si="2"/>
        <v>2.6960770787961559E-2</v>
      </c>
      <c r="O8" s="8">
        <f t="shared" si="3"/>
        <v>0.11913771386223926</v>
      </c>
      <c r="P8" t="s">
        <v>5</v>
      </c>
    </row>
    <row r="9" spans="4:16" x14ac:dyDescent="0.35">
      <c r="D9" t="s">
        <v>21</v>
      </c>
      <c r="G9" s="11">
        <f>H9</f>
        <v>9.9009900990099011E-3</v>
      </c>
      <c r="H9" s="11">
        <f t="shared" si="0"/>
        <v>9.9009900990099011E-3</v>
      </c>
      <c r="I9" s="8">
        <f t="shared" si="1"/>
        <v>6.9491327360752123E-3</v>
      </c>
      <c r="J9" s="12">
        <v>2</v>
      </c>
      <c r="K9" s="12">
        <v>200</v>
      </c>
      <c r="N9" s="8">
        <f t="shared" si="2"/>
        <v>1.2073010114929663E-3</v>
      </c>
      <c r="O9" s="8">
        <f t="shared" si="3"/>
        <v>2.7406429803410348E-2</v>
      </c>
      <c r="P9" t="s">
        <v>5</v>
      </c>
    </row>
    <row r="10" spans="4:16" x14ac:dyDescent="0.35">
      <c r="D10" t="s">
        <v>22</v>
      </c>
      <c r="G10" s="11">
        <f>H10</f>
        <v>9.0909090909090912E-2</v>
      </c>
      <c r="H10" s="11">
        <f t="shared" si="0"/>
        <v>9.0909090909090912E-2</v>
      </c>
      <c r="I10" s="8">
        <f t="shared" si="1"/>
        <v>2.4927658959412808E-2</v>
      </c>
      <c r="J10" s="12">
        <v>12</v>
      </c>
      <c r="K10" s="12">
        <v>120</v>
      </c>
      <c r="N10" s="8">
        <f t="shared" si="2"/>
        <v>4.8232606292222591E-2</v>
      </c>
      <c r="O10" s="8">
        <f t="shared" si="3"/>
        <v>0.14527746052856294</v>
      </c>
      <c r="P10" t="s">
        <v>5</v>
      </c>
    </row>
    <row r="11" spans="4:16" x14ac:dyDescent="0.35">
      <c r="D11" t="s">
        <v>23</v>
      </c>
      <c r="G11" s="11">
        <f>H11</f>
        <v>1.4778325123152709E-2</v>
      </c>
      <c r="H11" s="11">
        <f t="shared" si="0"/>
        <v>1.4778325123152709E-2</v>
      </c>
      <c r="I11" s="8">
        <f t="shared" si="1"/>
        <v>8.4482061646556084E-3</v>
      </c>
      <c r="J11" s="12">
        <v>3</v>
      </c>
      <c r="K11" s="12">
        <v>200</v>
      </c>
      <c r="N11" s="8">
        <f t="shared" si="2"/>
        <v>3.073267898397015E-3</v>
      </c>
      <c r="O11" s="8">
        <f t="shared" si="3"/>
        <v>3.5306217616740576E-2</v>
      </c>
      <c r="P11" t="s">
        <v>5</v>
      </c>
    </row>
    <row r="12" spans="4:16" x14ac:dyDescent="0.35">
      <c r="G12" s="4"/>
      <c r="H12" s="4"/>
    </row>
    <row r="13" spans="4:16" x14ac:dyDescent="0.35">
      <c r="D13" s="2" t="s">
        <v>7</v>
      </c>
      <c r="E13" s="3"/>
      <c r="F13" s="3"/>
      <c r="G13" s="5"/>
      <c r="H13" s="5"/>
      <c r="I13" s="3"/>
      <c r="J13" s="3"/>
      <c r="K13" s="3"/>
      <c r="L13" s="3"/>
      <c r="M13" s="3"/>
      <c r="N13" s="3"/>
      <c r="O13" s="3"/>
      <c r="P13" s="3"/>
    </row>
    <row r="14" spans="4:16" x14ac:dyDescent="0.35">
      <c r="D14" t="s">
        <v>12</v>
      </c>
      <c r="G14" s="11">
        <f xml:space="preserve"> H14</f>
        <v>1000</v>
      </c>
      <c r="H14" s="13">
        <v>1000</v>
      </c>
      <c r="I14" s="12">
        <v>50</v>
      </c>
      <c r="L14" s="8">
        <f>LN(H14)</f>
        <v>6.9077552789821368</v>
      </c>
      <c r="M14" s="8">
        <f>(LN(H14+1.96*I14)-LN(H14-I14))/(2*1.96)</f>
        <v>3.6934601396655407E-2</v>
      </c>
      <c r="N14" s="8">
        <f>EXP(L14-1.96*M14)</f>
        <v>930.16636778957377</v>
      </c>
      <c r="O14" s="8">
        <f>EXP(L14+1.96*M14)</f>
        <v>1075.076496666265</v>
      </c>
      <c r="P14" t="s">
        <v>24</v>
      </c>
    </row>
    <row r="15" spans="4:16" x14ac:dyDescent="0.35">
      <c r="D15" t="s">
        <v>13</v>
      </c>
      <c r="G15" s="11">
        <f xml:space="preserve"> H15</f>
        <v>2000</v>
      </c>
      <c r="H15" s="13">
        <v>2000</v>
      </c>
      <c r="I15" s="12">
        <v>100</v>
      </c>
      <c r="L15" s="8">
        <f>LN(H15)</f>
        <v>7.6009024595420822</v>
      </c>
      <c r="M15" s="8">
        <f t="shared" ref="M15:M16" si="4">(LN(H15+1.96*I15)-LN(H15-I15))/(2*1.96)</f>
        <v>3.6934601396655407E-2</v>
      </c>
      <c r="N15" s="8">
        <f t="shared" ref="N15:N16" si="5">EXP(L15-1.96*M15)</f>
        <v>1860.3327355791478</v>
      </c>
      <c r="O15" s="8">
        <f t="shared" ref="O15:O16" si="6">EXP(L15+1.96*M15)</f>
        <v>2150.1529933325301</v>
      </c>
      <c r="P15" t="s">
        <v>24</v>
      </c>
    </row>
    <row r="16" spans="4:16" x14ac:dyDescent="0.35">
      <c r="D16" t="s">
        <v>14</v>
      </c>
      <c r="G16" s="11">
        <f xml:space="preserve"> H16</f>
        <v>2500</v>
      </c>
      <c r="H16" s="13">
        <v>2500</v>
      </c>
      <c r="I16" s="12">
        <v>250</v>
      </c>
      <c r="L16" s="8">
        <f>LN(H16)</f>
        <v>7.8240460108562919</v>
      </c>
      <c r="M16" s="8">
        <f t="shared" si="4"/>
        <v>7.2536523261802738E-2</v>
      </c>
      <c r="N16" s="8">
        <f t="shared" si="5"/>
        <v>2168.6809948733999</v>
      </c>
      <c r="O16" s="8">
        <f t="shared" si="6"/>
        <v>2881.936077631764</v>
      </c>
      <c r="P16" t="s">
        <v>24</v>
      </c>
    </row>
    <row r="17" spans="4:16" x14ac:dyDescent="0.35">
      <c r="D17" t="s">
        <v>15</v>
      </c>
      <c r="G17" s="11">
        <f t="shared" ref="G17:G18" si="7" xml:space="preserve"> H17</f>
        <v>300</v>
      </c>
      <c r="H17" s="13">
        <v>300</v>
      </c>
      <c r="P17" t="s">
        <v>25</v>
      </c>
    </row>
    <row r="18" spans="4:16" x14ac:dyDescent="0.35">
      <c r="D18" t="s">
        <v>16</v>
      </c>
      <c r="G18" s="11">
        <f t="shared" si="7"/>
        <v>250</v>
      </c>
      <c r="H18" s="13">
        <v>250</v>
      </c>
      <c r="P18" t="s">
        <v>25</v>
      </c>
    </row>
    <row r="19" spans="4:16" x14ac:dyDescent="0.35">
      <c r="G19" s="4"/>
      <c r="H19" s="4"/>
    </row>
    <row r="20" spans="4:16" x14ac:dyDescent="0.35">
      <c r="D20" s="2" t="s">
        <v>8</v>
      </c>
      <c r="E20" s="3"/>
      <c r="F20" s="3"/>
      <c r="G20" s="5"/>
      <c r="H20" s="5"/>
      <c r="I20" s="3"/>
      <c r="J20" s="3"/>
      <c r="K20" s="3"/>
      <c r="L20" s="3"/>
      <c r="M20" s="3"/>
      <c r="N20" s="3"/>
      <c r="O20" s="3"/>
      <c r="P20" s="3"/>
    </row>
    <row r="21" spans="4:16" x14ac:dyDescent="0.35">
      <c r="D21" t="s">
        <v>9</v>
      </c>
      <c r="G21" s="11">
        <f>H21</f>
        <v>26</v>
      </c>
      <c r="H21" s="13">
        <v>26</v>
      </c>
      <c r="I21" s="12">
        <v>2</v>
      </c>
      <c r="N21" s="8">
        <f>H21-1.96*I21</f>
        <v>22.08</v>
      </c>
      <c r="O21" s="8">
        <f>H21+1.96*I21</f>
        <v>29.92</v>
      </c>
      <c r="P21" t="s">
        <v>26</v>
      </c>
    </row>
    <row r="22" spans="4:16" x14ac:dyDescent="0.35">
      <c r="D22" t="s">
        <v>11</v>
      </c>
      <c r="G22" s="11">
        <f>H22</f>
        <v>23</v>
      </c>
      <c r="H22" s="13">
        <v>23</v>
      </c>
      <c r="I22" s="12">
        <v>3</v>
      </c>
      <c r="N22" s="8">
        <f t="shared" ref="N22:N23" si="8">H22-1.96*I22</f>
        <v>17.12</v>
      </c>
      <c r="O22" s="8">
        <f t="shared" ref="O22:O23" si="9">H22+1.96*I22</f>
        <v>28.88</v>
      </c>
      <c r="P22" t="s">
        <v>26</v>
      </c>
    </row>
    <row r="23" spans="4:16" x14ac:dyDescent="0.35">
      <c r="D23" t="s">
        <v>10</v>
      </c>
      <c r="G23" s="11">
        <f>H23</f>
        <v>20</v>
      </c>
      <c r="H23" s="13">
        <v>20</v>
      </c>
      <c r="I23" s="12">
        <v>4</v>
      </c>
      <c r="N23" s="8">
        <f t="shared" si="8"/>
        <v>12.16</v>
      </c>
      <c r="O23" s="8">
        <f t="shared" si="9"/>
        <v>27.84</v>
      </c>
      <c r="P23" t="s">
        <v>26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C393C-63AA-4460-BE71-8F4FD97058BB}">
  <sheetPr codeName="Sheet5">
    <tabColor theme="2" tint="-9.9978637043366805E-2"/>
  </sheetPr>
  <dimension ref="D1:R30"/>
  <sheetViews>
    <sheetView workbookViewId="0">
      <selection activeCell="L35" sqref="L35"/>
    </sheetView>
  </sheetViews>
  <sheetFormatPr defaultRowHeight="14.5" x14ac:dyDescent="0.35"/>
  <cols>
    <col min="13" max="14" width="10.26953125" customWidth="1"/>
    <col min="15" max="15" width="8.90625" customWidth="1"/>
    <col min="16" max="16" width="11.6328125" customWidth="1"/>
    <col min="17" max="17" width="17.26953125" customWidth="1"/>
    <col min="18" max="18" width="15.6328125" customWidth="1"/>
  </cols>
  <sheetData>
    <row r="1" spans="4:18" ht="44.4" customHeight="1" x14ac:dyDescent="0.85">
      <c r="D1" s="31" t="s">
        <v>59</v>
      </c>
      <c r="N1" s="2" t="s">
        <v>42</v>
      </c>
      <c r="O1" s="2" t="s">
        <v>8</v>
      </c>
      <c r="P1" s="2" t="s">
        <v>41</v>
      </c>
      <c r="Q1" s="2" t="s">
        <v>60</v>
      </c>
      <c r="R1" s="2" t="s">
        <v>61</v>
      </c>
    </row>
    <row r="3" spans="4:18" x14ac:dyDescent="0.35">
      <c r="L3" s="11">
        <f>1-'Model parameters'!G7</f>
        <v>0.98039215686274506</v>
      </c>
      <c r="N3" s="11">
        <f>'Model parameters'!G$14</f>
        <v>1000</v>
      </c>
      <c r="O3" s="11">
        <f>'Model parameters'!G$21</f>
        <v>26</v>
      </c>
      <c r="P3" s="8">
        <f>I5*L3</f>
        <v>2.8555111364934323E-2</v>
      </c>
      <c r="Q3" s="8">
        <f>N3*P3</f>
        <v>28.555111364934323</v>
      </c>
      <c r="R3" s="8">
        <f>P3*O3</f>
        <v>0.74243289548829239</v>
      </c>
    </row>
    <row r="5" spans="4:18" x14ac:dyDescent="0.35">
      <c r="I5" s="11">
        <f>'Model parameters'!G6</f>
        <v>2.9126213592233011E-2</v>
      </c>
    </row>
    <row r="7" spans="4:18" x14ac:dyDescent="0.35">
      <c r="L7" s="11">
        <f>'Model parameters'!G7</f>
        <v>1.9607843137254902E-2</v>
      </c>
      <c r="N7" s="11">
        <f>'Model parameters'!G$15</f>
        <v>2000</v>
      </c>
      <c r="O7" s="11">
        <f>'Model parameters'!G$22</f>
        <v>23</v>
      </c>
      <c r="P7" s="8">
        <f>I5*L7</f>
        <v>5.7110222729868647E-4</v>
      </c>
      <c r="Q7" s="8">
        <f>N7*P7</f>
        <v>1.1422044545973729</v>
      </c>
      <c r="R7" s="8">
        <f>P7*O7</f>
        <v>1.3135351227869789E-2</v>
      </c>
    </row>
    <row r="9" spans="4:18" x14ac:dyDescent="0.35">
      <c r="I9" s="11">
        <f>1-'Model parameters'!G6</f>
        <v>0.970873786407767</v>
      </c>
      <c r="N9" s="11">
        <f>'Model parameters'!G$16</f>
        <v>2500</v>
      </c>
      <c r="O9" s="11">
        <f>'Model parameters'!G$23</f>
        <v>20</v>
      </c>
      <c r="P9" s="11">
        <f>I9</f>
        <v>0.970873786407767</v>
      </c>
      <c r="Q9" s="8">
        <f>N9*P9</f>
        <v>2427.1844660194174</v>
      </c>
      <c r="R9" s="8">
        <f>P9*O9</f>
        <v>19.417475728155338</v>
      </c>
    </row>
    <row r="10" spans="4:18" x14ac:dyDescent="0.35">
      <c r="M10" s="10" t="s">
        <v>43</v>
      </c>
      <c r="Q10" s="9">
        <f>SUM(Q3:Q9)</f>
        <v>2456.8817818389489</v>
      </c>
      <c r="R10" s="9">
        <f>SUM(R3:R9)</f>
        <v>20.173043974871501</v>
      </c>
    </row>
    <row r="13" spans="4:18" x14ac:dyDescent="0.35">
      <c r="L13" s="11">
        <f>1-'Model parameters'!G9</f>
        <v>0.99009900990099009</v>
      </c>
      <c r="N13" s="11">
        <f>'Model parameters'!G$14+'Model parameters'!G17</f>
        <v>1300</v>
      </c>
      <c r="O13" s="11">
        <f>'Model parameters'!G$21</f>
        <v>26</v>
      </c>
      <c r="P13" s="8">
        <f>I15*L13</f>
        <v>6.4772832423429252E-2</v>
      </c>
      <c r="Q13" s="8">
        <f>N13*P13</f>
        <v>84.204682150458027</v>
      </c>
      <c r="R13" s="8">
        <f>P13*O13</f>
        <v>1.6840936430091606</v>
      </c>
    </row>
    <row r="15" spans="4:18" x14ac:dyDescent="0.35">
      <c r="I15" s="11">
        <f>'Model parameters'!G8</f>
        <v>6.5420560747663545E-2</v>
      </c>
    </row>
    <row r="17" spans="9:18" x14ac:dyDescent="0.35">
      <c r="L17" s="11">
        <f>'Model parameters'!G9</f>
        <v>9.9009900990099011E-3</v>
      </c>
      <c r="N17" s="11">
        <f>'Model parameters'!G$15+'Model parameters'!G17</f>
        <v>2300</v>
      </c>
      <c r="O17" s="11">
        <f>'Model parameters'!G$22</f>
        <v>23</v>
      </c>
      <c r="P17" s="8">
        <f>I15*L17</f>
        <v>6.4772832423429249E-4</v>
      </c>
      <c r="Q17" s="8">
        <f>N17*P17</f>
        <v>1.4897751457388728</v>
      </c>
      <c r="R17" s="8">
        <f>P17*O17</f>
        <v>1.4897751457388727E-2</v>
      </c>
    </row>
    <row r="19" spans="9:18" x14ac:dyDescent="0.35">
      <c r="I19" s="11">
        <f>1-'Model parameters'!G8</f>
        <v>0.93457943925233644</v>
      </c>
      <c r="N19" s="11">
        <f>'Model parameters'!G$16+'Model parameters'!G17</f>
        <v>2800</v>
      </c>
      <c r="O19" s="11">
        <f>'Model parameters'!G$23</f>
        <v>20</v>
      </c>
      <c r="P19" s="11">
        <f>I19</f>
        <v>0.93457943925233644</v>
      </c>
      <c r="Q19" s="8">
        <f>N19*P19</f>
        <v>2616.8224299065419</v>
      </c>
      <c r="R19" s="8">
        <f>P19*O19</f>
        <v>18.691588785046729</v>
      </c>
    </row>
    <row r="20" spans="9:18" x14ac:dyDescent="0.35">
      <c r="M20" s="10" t="s">
        <v>44</v>
      </c>
      <c r="Q20" s="9">
        <f>SUM(Q13:Q19)</f>
        <v>2702.5168872027389</v>
      </c>
      <c r="R20" s="9">
        <f>SUM(R13:R19)</f>
        <v>20.390580179513279</v>
      </c>
    </row>
    <row r="23" spans="9:18" x14ac:dyDescent="0.35">
      <c r="L23" s="11">
        <f>1-'Model parameters'!G11</f>
        <v>0.98522167487684731</v>
      </c>
      <c r="N23" s="11">
        <f>'Model parameters'!G$14+'Model parameters'!G18</f>
        <v>1250</v>
      </c>
      <c r="O23" s="11">
        <f>'Model parameters'!G$21</f>
        <v>26</v>
      </c>
      <c r="P23" s="8">
        <f>I25*L23</f>
        <v>8.9565606806986123E-2</v>
      </c>
      <c r="Q23" s="8">
        <f>N23*P23</f>
        <v>111.95700850873266</v>
      </c>
      <c r="R23" s="8">
        <f>P23*O23</f>
        <v>2.3287057769816393</v>
      </c>
    </row>
    <row r="25" spans="9:18" x14ac:dyDescent="0.35">
      <c r="I25" s="11">
        <f>'Model parameters'!G10</f>
        <v>9.0909090909090912E-2</v>
      </c>
    </row>
    <row r="27" spans="9:18" x14ac:dyDescent="0.35">
      <c r="L27" s="11">
        <f>'Model parameters'!G11</f>
        <v>1.4778325123152709E-2</v>
      </c>
      <c r="N27" s="11">
        <f>'Model parameters'!G$15+'Model parameters'!G18</f>
        <v>2250</v>
      </c>
      <c r="O27" s="11">
        <f>'Model parameters'!G$22</f>
        <v>23</v>
      </c>
      <c r="P27" s="8">
        <f>I25*L27</f>
        <v>1.3434841021047917E-3</v>
      </c>
      <c r="Q27" s="8">
        <f>N27*P27</f>
        <v>3.0228392297357813</v>
      </c>
      <c r="R27" s="8">
        <f>P27*O27</f>
        <v>3.090013434841021E-2</v>
      </c>
    </row>
    <row r="29" spans="9:18" x14ac:dyDescent="0.35">
      <c r="I29" s="11">
        <f>1-'Model parameters'!G10</f>
        <v>0.90909090909090906</v>
      </c>
      <c r="N29" s="11">
        <f>'Model parameters'!G$16+'Model parameters'!G18</f>
        <v>2750</v>
      </c>
      <c r="O29" s="11">
        <f>'Model parameters'!G$23</f>
        <v>20</v>
      </c>
      <c r="P29" s="11">
        <f>I29</f>
        <v>0.90909090909090906</v>
      </c>
      <c r="Q29" s="8">
        <f>N29*P29</f>
        <v>2500</v>
      </c>
      <c r="R29" s="8">
        <f>P29*O29</f>
        <v>18.18181818181818</v>
      </c>
    </row>
    <row r="30" spans="9:18" x14ac:dyDescent="0.35">
      <c r="M30" s="10" t="s">
        <v>45</v>
      </c>
      <c r="Q30" s="9">
        <f>SUM(Q23:Q29)</f>
        <v>2614.9798477384684</v>
      </c>
      <c r="R30" s="9">
        <f>SUM(R23:R29)</f>
        <v>20.54142409314823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4B88C-80EF-4839-9919-737B46CA3660}">
  <sheetPr codeName="Sheet9">
    <tabColor theme="2" tint="-9.9978637043366805E-2"/>
  </sheetPr>
  <dimension ref="D1:I23"/>
  <sheetViews>
    <sheetView tabSelected="1" workbookViewId="0">
      <selection activeCell="H29" sqref="H29"/>
    </sheetView>
  </sheetViews>
  <sheetFormatPr defaultRowHeight="14.5" x14ac:dyDescent="0.35"/>
  <cols>
    <col min="4" max="4" width="29.90625" customWidth="1"/>
    <col min="5" max="5" width="16.08984375" customWidth="1"/>
  </cols>
  <sheetData>
    <row r="1" spans="4:9" ht="45.25" customHeight="1" x14ac:dyDescent="0.85">
      <c r="D1" s="31" t="s">
        <v>59</v>
      </c>
    </row>
    <row r="4" spans="4:9" x14ac:dyDescent="0.35">
      <c r="F4" s="27" t="s">
        <v>51</v>
      </c>
      <c r="G4" s="27"/>
      <c r="H4" s="27" t="s">
        <v>52</v>
      </c>
      <c r="I4" s="27"/>
    </row>
    <row r="5" spans="4:9" x14ac:dyDescent="0.35">
      <c r="D5" s="2" t="s">
        <v>17</v>
      </c>
      <c r="E5" s="2" t="s">
        <v>56</v>
      </c>
      <c r="F5" s="2" t="s">
        <v>57</v>
      </c>
      <c r="G5" s="2" t="s">
        <v>58</v>
      </c>
      <c r="H5" s="2" t="s">
        <v>57</v>
      </c>
      <c r="I5" s="2" t="s">
        <v>58</v>
      </c>
    </row>
    <row r="6" spans="4:9" x14ac:dyDescent="0.35">
      <c r="D6" t="s">
        <v>18</v>
      </c>
      <c r="E6" s="11" t="str">
        <f>IF('Model parameters'!P6&lt;&gt;"Fixed", "Yes", "No")</f>
        <v>Yes</v>
      </c>
      <c r="F6" s="28">
        <v>669.66139999999996</v>
      </c>
      <c r="G6" s="28">
        <v>4930.5717000000004</v>
      </c>
      <c r="H6" s="28">
        <v>274.51580000000001</v>
      </c>
      <c r="I6" s="28">
        <v>948.00869999999998</v>
      </c>
    </row>
    <row r="7" spans="4:9" x14ac:dyDescent="0.35">
      <c r="D7" t="s">
        <v>19</v>
      </c>
      <c r="E7" s="11" t="str">
        <f>IF('Model parameters'!P7&lt;&gt;"Fixed", "Yes", "No")</f>
        <v>Yes</v>
      </c>
      <c r="F7" s="28">
        <v>1139.3436999999999</v>
      </c>
      <c r="G7" s="28">
        <v>1109.2791999999999</v>
      </c>
      <c r="H7" s="28">
        <v>432.29469999999998</v>
      </c>
      <c r="I7" s="28">
        <v>423.01310000000001</v>
      </c>
    </row>
    <row r="8" spans="4:9" x14ac:dyDescent="0.35">
      <c r="D8" t="s">
        <v>20</v>
      </c>
      <c r="E8" s="11" t="str">
        <f>IF('Model parameters'!P8&lt;&gt;"Fixed", "Yes", "No")</f>
        <v>Yes</v>
      </c>
      <c r="F8" s="28">
        <v>-25077.802899999999</v>
      </c>
      <c r="G8" s="28">
        <v>307.65109999999999</v>
      </c>
      <c r="H8" s="28">
        <v>429.17099999999999</v>
      </c>
      <c r="I8" s="28">
        <v>429.17099999999999</v>
      </c>
    </row>
    <row r="9" spans="4:9" x14ac:dyDescent="0.35">
      <c r="D9" t="s">
        <v>21</v>
      </c>
      <c r="E9" s="11" t="str">
        <f>IF('Model parameters'!P9&lt;&gt;"Fixed", "Yes", "No")</f>
        <v>Yes</v>
      </c>
      <c r="F9" s="28">
        <v>1117.787</v>
      </c>
      <c r="G9" s="28">
        <v>1152.6375</v>
      </c>
      <c r="H9" s="28">
        <v>429.17099999999999</v>
      </c>
      <c r="I9" s="28">
        <v>429.17099999999999</v>
      </c>
    </row>
    <row r="10" spans="4:9" x14ac:dyDescent="0.35">
      <c r="D10" t="s">
        <v>22</v>
      </c>
      <c r="E10" s="11" t="str">
        <f>IF('Model parameters'!P10&lt;&gt;"Fixed", "Yes", "No")</f>
        <v>Yes</v>
      </c>
      <c r="F10" s="28">
        <v>1129.1687999999999</v>
      </c>
      <c r="G10" s="28">
        <v>1129.1687999999999</v>
      </c>
      <c r="H10" s="28">
        <v>1939.1976</v>
      </c>
      <c r="I10" s="28">
        <v>111.7469</v>
      </c>
    </row>
    <row r="11" spans="4:9" x14ac:dyDescent="0.35">
      <c r="D11" t="s">
        <v>23</v>
      </c>
      <c r="E11" s="11" t="str">
        <f>IF('Model parameters'!P11&lt;&gt;"Fixed", "Yes", "No")</f>
        <v>Yes</v>
      </c>
      <c r="F11" s="28">
        <v>1129.1687999999999</v>
      </c>
      <c r="G11" s="28">
        <v>1129.1687999999999</v>
      </c>
      <c r="H11" s="28">
        <v>422.62009999999998</v>
      </c>
      <c r="I11" s="28">
        <v>440.93810000000002</v>
      </c>
    </row>
    <row r="13" spans="4:9" x14ac:dyDescent="0.35">
      <c r="D13" s="2" t="s">
        <v>7</v>
      </c>
      <c r="E13" s="3"/>
      <c r="F13" s="3"/>
      <c r="G13" s="3"/>
      <c r="H13" s="3"/>
      <c r="I13" s="3"/>
    </row>
    <row r="14" spans="4:9" x14ac:dyDescent="0.35">
      <c r="D14" t="s">
        <v>12</v>
      </c>
      <c r="E14" s="11" t="str">
        <f>IF('Model parameters'!P14&lt;&gt;"Fixed", "Yes", "No")</f>
        <v>Yes</v>
      </c>
      <c r="F14" s="28">
        <v>1117.5422000000001</v>
      </c>
      <c r="G14" s="28">
        <v>1141.6684</v>
      </c>
      <c r="H14" s="28">
        <v>417.6053</v>
      </c>
      <c r="I14" s="28">
        <v>441.60500000000002</v>
      </c>
    </row>
    <row r="15" spans="4:9" x14ac:dyDescent="0.35">
      <c r="D15" t="s">
        <v>13</v>
      </c>
      <c r="E15" s="11" t="str">
        <f>IF('Model parameters'!P15&lt;&gt;"Fixed", "Yes", "No")</f>
        <v>Yes</v>
      </c>
      <c r="F15" s="28">
        <v>1129.1196</v>
      </c>
      <c r="G15" s="28">
        <v>1129.2217000000001</v>
      </c>
      <c r="H15" s="28">
        <v>428.87819999999999</v>
      </c>
      <c r="I15" s="28">
        <v>429.48579999999998</v>
      </c>
    </row>
    <row r="16" spans="4:9" x14ac:dyDescent="0.35">
      <c r="D16" t="s">
        <v>14</v>
      </c>
      <c r="E16" s="11" t="str">
        <f>IF('Model parameters'!P16&lt;&gt;"Fixed", "Yes", "No")</f>
        <v>Yes</v>
      </c>
      <c r="F16" s="28">
        <v>1184.4469999999999</v>
      </c>
      <c r="G16" s="28">
        <v>1065.4456</v>
      </c>
      <c r="H16" s="28">
        <v>484.73820000000001</v>
      </c>
      <c r="I16" s="28">
        <v>365.1146</v>
      </c>
    </row>
    <row r="17" spans="4:9" x14ac:dyDescent="0.35">
      <c r="D17" t="s">
        <v>15</v>
      </c>
      <c r="E17" s="11" t="str">
        <f>IF('Model parameters'!P17&lt;&gt;"Fixed", "Yes", "No")</f>
        <v>No</v>
      </c>
    </row>
    <row r="18" spans="4:9" x14ac:dyDescent="0.35">
      <c r="D18" t="s">
        <v>16</v>
      </c>
      <c r="E18" s="11" t="str">
        <f>IF('Model parameters'!P18&lt;&gt;"Fixed", "Yes", "No")</f>
        <v>No</v>
      </c>
    </row>
    <row r="20" spans="4:9" x14ac:dyDescent="0.35">
      <c r="D20" s="2" t="s">
        <v>8</v>
      </c>
      <c r="E20" s="3"/>
      <c r="F20" s="3"/>
      <c r="G20" s="3"/>
      <c r="H20" s="3"/>
      <c r="I20" s="3"/>
    </row>
    <row r="21" spans="4:9" x14ac:dyDescent="0.35">
      <c r="D21" t="s">
        <v>9</v>
      </c>
      <c r="E21" s="11" t="str">
        <f>IF('Model parameters'!P21&lt;&gt;"Fixed", "Yes", "No")</f>
        <v>Yes</v>
      </c>
      <c r="F21" s="28">
        <v>3250.7438000000002</v>
      </c>
      <c r="G21" s="28">
        <v>683.25030000000004</v>
      </c>
      <c r="H21" s="28">
        <v>1223.4894999999999</v>
      </c>
      <c r="I21" s="28">
        <v>260.22609999999997</v>
      </c>
    </row>
    <row r="22" spans="4:9" x14ac:dyDescent="0.35">
      <c r="D22" t="s">
        <v>11</v>
      </c>
      <c r="E22" s="11" t="str">
        <f>IF('Model parameters'!P22&lt;&gt;"Fixed", "Yes", "No")</f>
        <v>Yes</v>
      </c>
      <c r="F22" s="28">
        <v>1131.5124000000001</v>
      </c>
      <c r="G22" s="28">
        <v>1126.8349000000001</v>
      </c>
      <c r="H22" s="28">
        <v>434.52809999999999</v>
      </c>
      <c r="I22" s="28">
        <v>423.94439999999997</v>
      </c>
    </row>
    <row r="23" spans="4:9" x14ac:dyDescent="0.35">
      <c r="D23" t="s">
        <v>10</v>
      </c>
      <c r="E23" s="11" t="str">
        <f>IF('Model parameters'!P23&lt;&gt;"Fixed", "Yes", "No")</f>
        <v>Yes</v>
      </c>
      <c r="F23" s="28">
        <v>489.2312</v>
      </c>
      <c r="G23" s="28">
        <v>-3665.5677000000001</v>
      </c>
      <c r="H23" s="28">
        <v>185.39619999999999</v>
      </c>
      <c r="I23" s="28">
        <v>-1362.9421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RunDSA">
                <anchor moveWithCells="1" sizeWithCells="1">
                  <from>
                    <xdr:col>2</xdr:col>
                    <xdr:colOff>628650</xdr:colOff>
                    <xdr:row>1</xdr:row>
                    <xdr:rowOff>158750</xdr:rowOff>
                  </from>
                  <to>
                    <xdr:col>4</xdr:col>
                    <xdr:colOff>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2D27B-331B-4367-9513-AF0D761C3977}">
  <sheetPr codeName="Sheet6">
    <tabColor rgb="FFCCCC00"/>
  </sheetPr>
  <dimension ref="D1:K10"/>
  <sheetViews>
    <sheetView workbookViewId="0">
      <selection activeCell="H18" sqref="H18"/>
    </sheetView>
  </sheetViews>
  <sheetFormatPr defaultRowHeight="14.5" x14ac:dyDescent="0.35"/>
  <cols>
    <col min="4" max="4" width="17.54296875" customWidth="1"/>
    <col min="7" max="7" width="24.6328125" customWidth="1"/>
    <col min="8" max="8" width="18.08984375" customWidth="1"/>
    <col min="9" max="9" width="19.453125" customWidth="1"/>
    <col min="10" max="10" width="32.26953125" customWidth="1"/>
    <col min="11" max="11" width="15.453125" customWidth="1"/>
  </cols>
  <sheetData>
    <row r="1" spans="4:11" ht="45" customHeight="1" x14ac:dyDescent="0.85">
      <c r="D1" s="31" t="s">
        <v>59</v>
      </c>
    </row>
    <row r="4" spans="4:11" ht="15" thickBot="1" x14ac:dyDescent="0.4">
      <c r="D4" s="10" t="str">
        <f>_xlfn.CONCAT("Live ", analysis_type, " results")</f>
        <v>Live Deterministic results</v>
      </c>
    </row>
    <row r="5" spans="4:11" x14ac:dyDescent="0.35">
      <c r="D5" s="24"/>
      <c r="E5" s="14" t="s">
        <v>42</v>
      </c>
      <c r="F5" s="14" t="s">
        <v>8</v>
      </c>
      <c r="G5" s="14" t="str">
        <f>_xlfn.CONCAT("Net benefit (£", willingness_to_pay, "/QALY)")</f>
        <v>Net benefit (£20000/QALY)</v>
      </c>
      <c r="H5" s="14" t="s">
        <v>46</v>
      </c>
      <c r="I5" s="14" t="s">
        <v>47</v>
      </c>
      <c r="J5" s="14" t="str">
        <f>_xlfn.CONCAT("Incremental net benefit (£", willingness_to_pay, "/QALY)")</f>
        <v>Incremental net benefit (£20000/QALY)</v>
      </c>
      <c r="K5" s="15" t="s">
        <v>49</v>
      </c>
    </row>
    <row r="6" spans="4:11" x14ac:dyDescent="0.35">
      <c r="D6" s="16" t="s">
        <v>50</v>
      </c>
      <c r="E6" s="20">
        <f>total_costs_no_treatment</f>
        <v>2456.8817818389489</v>
      </c>
      <c r="F6" s="9">
        <f>total_qalys_no_treatment</f>
        <v>20.173043974871501</v>
      </c>
      <c r="G6" s="20">
        <f>F6*willingness_to_pay-E6</f>
        <v>401003.99771559105</v>
      </c>
      <c r="H6" s="9"/>
      <c r="I6" s="9"/>
      <c r="J6" s="9"/>
      <c r="K6" s="17"/>
    </row>
    <row r="7" spans="4:11" x14ac:dyDescent="0.35">
      <c r="D7" s="16" t="s">
        <v>51</v>
      </c>
      <c r="E7" s="20">
        <f>total_costs_cbt</f>
        <v>2702.5168872027389</v>
      </c>
      <c r="F7" s="9">
        <f>total_qalys_cbt</f>
        <v>20.390580179513279</v>
      </c>
      <c r="G7" s="20">
        <f>F7*willingness_to_pay-E7</f>
        <v>405109.08670306281</v>
      </c>
      <c r="H7" s="20">
        <f>E7-E6</f>
        <v>245.63510536378999</v>
      </c>
      <c r="I7" s="25">
        <f t="shared" ref="I7:J7" si="0">F7-F6</f>
        <v>0.21753620464177814</v>
      </c>
      <c r="J7" s="20">
        <f t="shared" si="0"/>
        <v>4105.0889874717686</v>
      </c>
      <c r="K7" s="22">
        <f>H7/I7</f>
        <v>1129.1688469433534</v>
      </c>
    </row>
    <row r="8" spans="4:11" ht="15" thickBot="1" x14ac:dyDescent="0.4">
      <c r="D8" s="18" t="s">
        <v>52</v>
      </c>
      <c r="E8" s="21">
        <f>total_costs_antidepressant</f>
        <v>2614.9798477384684</v>
      </c>
      <c r="F8" s="19">
        <f>total_qalys_antidepressant</f>
        <v>20.54142409314823</v>
      </c>
      <c r="G8" s="21">
        <f>F8*willingness_to_pay-E8</f>
        <v>408213.50201522611</v>
      </c>
      <c r="H8" s="21">
        <f>E8-E6</f>
        <v>158.0980658995195</v>
      </c>
      <c r="I8" s="26">
        <f t="shared" ref="I8:J8" si="1">F8-F6</f>
        <v>0.36838011827672901</v>
      </c>
      <c r="J8" s="21">
        <f t="shared" si="1"/>
        <v>7209.5042996350676</v>
      </c>
      <c r="K8" s="23">
        <f>H8/I8</f>
        <v>429.17100585964693</v>
      </c>
    </row>
    <row r="10" spans="4:11" x14ac:dyDescent="0.35">
      <c r="D10" s="10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79BF156F7436458B2E4AAA6D5C9C67" ma:contentTypeVersion="15" ma:contentTypeDescription="Create a new document." ma:contentTypeScope="" ma:versionID="3c8ddc1c325d4be823356aa88f165ec4">
  <xsd:schema xmlns:xsd="http://www.w3.org/2001/XMLSchema" xmlns:xs="http://www.w3.org/2001/XMLSchema" xmlns:p="http://schemas.microsoft.com/office/2006/metadata/properties" xmlns:ns2="8cbf9462-45ae-47f1-96f2-c7889104eb9e" xmlns:ns3="e160911a-7a49-41f4-8ab0-552a991ba164" targetNamespace="http://schemas.microsoft.com/office/2006/metadata/properties" ma:root="true" ma:fieldsID="2c828c363090b246407a620eee26a74c" ns2:_="" ns3:_="">
    <xsd:import namespace="8cbf9462-45ae-47f1-96f2-c7889104eb9e"/>
    <xsd:import namespace="e160911a-7a49-41f4-8ab0-552a991ba16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f9462-45ae-47f1-96f2-c7889104eb9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e647fc8b-d63d-48ee-9054-3c264dd38270}" ma:internalName="TaxCatchAll" ma:showField="CatchAllData" ma:web="8cbf9462-45ae-47f1-96f2-c7889104eb9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60911a-7a49-41f4-8ab0-552a991ba1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d084387-097e-4aef-8f33-0dee7b0eb5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160911a-7a49-41f4-8ab0-552a991ba164">
      <Terms xmlns="http://schemas.microsoft.com/office/infopath/2007/PartnerControls"/>
    </lcf76f155ced4ddcb4097134ff3c332f>
    <TaxCatchAll xmlns="8cbf9462-45ae-47f1-96f2-c7889104eb9e" xsi:nil="true"/>
  </documentManagement>
</p:properties>
</file>

<file path=customXml/itemProps1.xml><?xml version="1.0" encoding="utf-8"?>
<ds:datastoreItem xmlns:ds="http://schemas.openxmlformats.org/officeDocument/2006/customXml" ds:itemID="{80510173-B626-4D91-B76D-DBFCB3C928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98241E-BF78-4F0B-A546-632AF63FE4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f9462-45ae-47f1-96f2-c7889104eb9e"/>
    <ds:schemaRef ds:uri="e160911a-7a49-41f4-8ab0-552a991ba1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3F83C9-BCA8-46F2-BD55-40026317A1EA}">
  <ds:schemaRefs>
    <ds:schemaRef ds:uri="http://schemas.microsoft.com/office/2006/metadata/properties"/>
    <ds:schemaRef ds:uri="http://schemas.microsoft.com/office/infopath/2007/PartnerControls"/>
    <ds:schemaRef ds:uri="e160911a-7a49-41f4-8ab0-552a991ba164"/>
    <ds:schemaRef ds:uri="8cbf9462-45ae-47f1-96f2-c7889104eb9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Cover sheet</vt:lpstr>
      <vt:lpstr>Model overview</vt:lpstr>
      <vt:lpstr>Model settings</vt:lpstr>
      <vt:lpstr>Model parameters</vt:lpstr>
      <vt:lpstr>Model engine</vt:lpstr>
      <vt:lpstr>DSA</vt:lpstr>
      <vt:lpstr>Results</vt:lpstr>
      <vt:lpstr>analysis_type</vt:lpstr>
      <vt:lpstr>icer_antidepressant</vt:lpstr>
      <vt:lpstr>icer_cbt</vt:lpstr>
      <vt:lpstr>total_costs_antidepressant</vt:lpstr>
      <vt:lpstr>total_costs_cbt</vt:lpstr>
      <vt:lpstr>total_costs_no_treatment</vt:lpstr>
      <vt:lpstr>total_qalys_antidepressant</vt:lpstr>
      <vt:lpstr>total_qalys_cbt</vt:lpstr>
      <vt:lpstr>total_qalys_no_treatment</vt:lpstr>
      <vt:lpstr>willingness_to_pay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Qian Xin</cp:lastModifiedBy>
  <dcterms:created xsi:type="dcterms:W3CDTF">2022-10-18T08:26:33Z</dcterms:created>
  <dcterms:modified xsi:type="dcterms:W3CDTF">2023-04-22T15:04:00Z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0x0101003D79BF156F7436458B2E4AAA6D5C9C67</vt:lpwstr>
  </property>
</Properties>
</file>