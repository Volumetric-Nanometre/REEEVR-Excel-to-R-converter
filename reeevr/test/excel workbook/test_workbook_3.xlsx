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ht13428_bristol_ac_uk/Documents/MyFiles-Migrated/Documents/Projects/REEEVR/Code/"/>
    </mc:Choice>
  </mc:AlternateContent>
  <xr:revisionPtr revIDLastSave="101" documentId="8_{4BC460D5-CB50-46E8-A8EB-05125D8220AC}" xr6:coauthVersionLast="47" xr6:coauthVersionMax="47" xr10:uidLastSave="{84B5F7E7-A9DE-4590-93B6-2D500CEFAD43}"/>
  <bookViews>
    <workbookView xWindow="780" yWindow="780" windowWidth="21600" windowHeight="11385" xr2:uid="{C99AE1D4-E135-4766-A5A6-E676F3ADB78F}"/>
  </bookViews>
  <sheets>
    <sheet name="Frontend" sheetId="2" r:id="rId1"/>
    <sheet name="Input parameters" sheetId="3" r:id="rId2"/>
    <sheet name="Costing" sheetId="5" r:id="rId3"/>
    <sheet name="QALYs" sheetId="6" r:id="rId4"/>
    <sheet name="Engine" sheetId="4" r:id="rId5"/>
  </sheets>
  <definedNames>
    <definedName name="hidden_named_cell">#REF!</definedName>
    <definedName name="test_name">#REF!</definedName>
    <definedName name="willingness_to_pay">Frontend!$E$5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F5" i="4" s="1"/>
  <c r="E15" i="3"/>
  <c r="E8" i="3"/>
  <c r="E12" i="3"/>
  <c r="E6" i="4" l="1"/>
  <c r="E7" i="4" s="1"/>
  <c r="E5" i="4"/>
  <c r="F6" i="4"/>
  <c r="F7" i="4" s="1"/>
  <c r="G5" i="4"/>
  <c r="G6" i="4" l="1"/>
  <c r="E8" i="2" s="1"/>
  <c r="G7" i="4"/>
  <c r="E9" i="2" s="1"/>
</calcChain>
</file>

<file path=xl/sharedStrings.xml><?xml version="1.0" encoding="utf-8"?>
<sst xmlns="http://schemas.openxmlformats.org/spreadsheetml/2006/main" count="43" uniqueCount="43">
  <si>
    <t>Willingness-to-pay</t>
  </si>
  <si>
    <t>Total costs</t>
  </si>
  <si>
    <t>Total QALYs</t>
  </si>
  <si>
    <t>Aspirin</t>
  </si>
  <si>
    <t>Warfarin</t>
  </si>
  <si>
    <t>Probability stroke aspirin</t>
  </si>
  <si>
    <t>Probability stroke warfarin</t>
  </si>
  <si>
    <t>Probability bleed aspirin</t>
  </si>
  <si>
    <t>Probability bleed warfarin</t>
  </si>
  <si>
    <t>Cost course aspirin</t>
  </si>
  <si>
    <t>Cost course warfarin</t>
  </si>
  <si>
    <t>QALYS stroke</t>
  </si>
  <si>
    <t>QALYS bleed</t>
  </si>
  <si>
    <t>QALYS well</t>
  </si>
  <si>
    <t>Cost stroke</t>
  </si>
  <si>
    <t>Cost bleed</t>
  </si>
  <si>
    <t>ICER Warfarin vs aspirin</t>
  </si>
  <si>
    <t>INB Warfarin vs aspirin</t>
  </si>
  <si>
    <t>Inputs</t>
  </si>
  <si>
    <t>Outputs</t>
  </si>
  <si>
    <t>Net benefit</t>
  </si>
  <si>
    <t>Warfafrin vs aspirin</t>
  </si>
  <si>
    <t>Name</t>
  </si>
  <si>
    <t>Value</t>
  </si>
  <si>
    <t>Cost component</t>
  </si>
  <si>
    <t>Cost</t>
  </si>
  <si>
    <t>5 nights hospital</t>
  </si>
  <si>
    <t>5 nurse visits</t>
  </si>
  <si>
    <t>2 consultant visits</t>
  </si>
  <si>
    <t>3 GP visits</t>
  </si>
  <si>
    <t>occupational therapy</t>
  </si>
  <si>
    <t>counselling</t>
  </si>
  <si>
    <t>Cost MI</t>
  </si>
  <si>
    <t>QALYS MI</t>
  </si>
  <si>
    <t>Probability MI aspirin</t>
  </si>
  <si>
    <t>Probability MI warfarin</t>
  </si>
  <si>
    <t>Include MI?</t>
  </si>
  <si>
    <t>Yes</t>
  </si>
  <si>
    <t>Base case includes MI but a sensitivity analysis is to set MI probabilities to zero</t>
  </si>
  <si>
    <t>Notes</t>
  </si>
  <si>
    <t>QALYs on stroke</t>
  </si>
  <si>
    <t>We found twenty publications giving different QALYs on stroke for UK patients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</si>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</sst>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4" xfId="0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804E-22D6-4B49-9ECE-43FA48D02555}">
  <dimension ref="D3:G9"/>
  <sheetViews>
    <sheetView tabSelected="1" workbookViewId="0">
      <selection activeCell="G9" sqref="G9"/>
    </sheetView>
  </sheetViews>
  <sheetFormatPr defaultRowHeight="15" x14ac:dyDescent="0.25"/>
  <cols>
    <col min="4" max="4" width="21.28515625" customWidth="1"/>
  </cols>
  <sheetData>
    <row r="3" spans="4:7" ht="15.75" thickBot="1" x14ac:dyDescent="0.3"/>
    <row r="4" spans="4:7" x14ac:dyDescent="0.25">
      <c r="D4" s="1" t="s">
        <v>18</v>
      </c>
      <c r="E4" s="2"/>
      <c r="G4" t="s">
        <v>39</v>
      </c>
    </row>
    <row r="5" spans="4:7" x14ac:dyDescent="0.25">
      <c r="D5" s="3" t="s">
        <v>0</v>
      </c>
      <c r="E5" s="4">
        <v>20000</v>
      </c>
    </row>
    <row r="6" spans="4:7" x14ac:dyDescent="0.25">
      <c r="D6" s="3" t="s">
        <v>36</v>
      </c>
      <c r="E6" s="11" t="s">
        <v>37</v>
      </c>
      <c r="G6" s="12" t="s">
        <v>38</v>
      </c>
    </row>
    <row r="7" spans="4:7" x14ac:dyDescent="0.25">
      <c r="D7" s="5" t="s">
        <v>19</v>
      </c>
      <c r="E7" s="4"/>
    </row>
    <row r="8" spans="4:7" x14ac:dyDescent="0.25">
      <c r="D8" s="3" t="s">
        <v>16</v>
      </c>
      <c r="E8" s="4">
        <f>Engine!G5/Engine!G6</f>
        <v>2731.8321678321686</v>
      </c>
    </row>
    <row r="9" spans="4:7" ht="15.75" thickBot="1" x14ac:dyDescent="0.3">
      <c r="D9" s="6" t="s">
        <v>17</v>
      </c>
      <c r="E9" s="7">
        <f>Engine!G7</f>
        <v>12346.739999999991</v>
      </c>
    </row>
  </sheetData>
  <dataValidations count="1">
    <dataValidation type="list" allowBlank="1" showInputMessage="1" showErrorMessage="1" sqref="E6" xr:uid="{6D403B8E-6658-4460-BB35-6289703DE205}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939F-EFB4-428C-8923-D0C47347DCCA}">
  <dimension ref="D3:E18"/>
  <sheetViews>
    <sheetView topLeftCell="A2" workbookViewId="0">
      <selection activeCell="E10" sqref="E10"/>
    </sheetView>
  </sheetViews>
  <sheetFormatPr defaultRowHeight="15" x14ac:dyDescent="0.25"/>
  <cols>
    <col min="4" max="4" width="27.28515625" customWidth="1"/>
  </cols>
  <sheetData>
    <row r="3" spans="4:5" x14ac:dyDescent="0.25">
      <c r="D3" s="8" t="s">
        <v>22</v>
      </c>
      <c r="E3" s="8" t="s">
        <v>23</v>
      </c>
    </row>
    <row r="4" spans="4:5" x14ac:dyDescent="0.25">
      <c r="D4" t="s">
        <v>5</v>
      </c>
      <c r="E4">
        <v>0.1</v>
      </c>
    </row>
    <row r="5" spans="4:5" x14ac:dyDescent="0.25">
      <c r="D5" t="s">
        <v>6</v>
      </c>
      <c r="E5">
        <v>2.5000000000000001E-2</v>
      </c>
    </row>
    <row r="6" spans="4:5" x14ac:dyDescent="0.25">
      <c r="D6" t="s">
        <v>7</v>
      </c>
      <c r="E6">
        <v>2.5000000000000001E-2</v>
      </c>
    </row>
    <row r="7" spans="4:5" x14ac:dyDescent="0.25">
      <c r="D7" t="s">
        <v>8</v>
      </c>
      <c r="E7">
        <v>0.03</v>
      </c>
    </row>
    <row r="8" spans="4:5" x14ac:dyDescent="0.25">
      <c r="D8" t="s">
        <v>34</v>
      </c>
      <c r="E8">
        <f>IF(Frontend!E6="Yes", 0.05, 0)</f>
        <v>0.05</v>
      </c>
    </row>
    <row r="9" spans="4:5" x14ac:dyDescent="0.25">
      <c r="D9" t="s">
        <v>35</v>
      </c>
      <c r="E9">
        <f>IF(Frontend!E6="Yes", 0.01, 0)</f>
        <v>0.01</v>
      </c>
    </row>
    <row r="10" spans="4:5" x14ac:dyDescent="0.25">
      <c r="D10" t="s">
        <v>9</v>
      </c>
      <c r="E10">
        <v>10</v>
      </c>
    </row>
    <row r="11" spans="4:5" x14ac:dyDescent="0.25">
      <c r="D11" t="s">
        <v>10</v>
      </c>
      <c r="E11">
        <v>500</v>
      </c>
    </row>
    <row r="12" spans="4:5" x14ac:dyDescent="0.25">
      <c r="D12" t="s">
        <v>14</v>
      </c>
      <c r="E12">
        <f>SUM(Costing!E4:E9)</f>
        <v>5850</v>
      </c>
    </row>
    <row r="13" spans="4:5" x14ac:dyDescent="0.25">
      <c r="D13" t="s">
        <v>15</v>
      </c>
      <c r="E13">
        <v>400</v>
      </c>
    </row>
    <row r="14" spans="4:5" x14ac:dyDescent="0.25">
      <c r="D14" t="s">
        <v>32</v>
      </c>
      <c r="E14">
        <v>2000</v>
      </c>
    </row>
    <row r="15" spans="4:5" x14ac:dyDescent="0.25">
      <c r="D15" t="s">
        <v>11</v>
      </c>
      <c r="E15">
        <f>AVERAGE(QALYs!D4:D23)</f>
        <v>14.2</v>
      </c>
    </row>
    <row r="16" spans="4:5" x14ac:dyDescent="0.25">
      <c r="D16" t="s">
        <v>12</v>
      </c>
      <c r="E16">
        <v>12</v>
      </c>
    </row>
    <row r="17" spans="4:5" x14ac:dyDescent="0.25">
      <c r="D17" t="s">
        <v>13</v>
      </c>
      <c r="E17">
        <v>20</v>
      </c>
    </row>
    <row r="18" spans="4:5" x14ac:dyDescent="0.25">
      <c r="D18" t="s">
        <v>33</v>
      </c>
      <c r="E18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6A41-E1A6-4DAE-8C44-72D71F51C3E9}">
  <dimension ref="D3:E9"/>
  <sheetViews>
    <sheetView workbookViewId="0">
      <selection activeCell="H11" sqref="H11"/>
    </sheetView>
  </sheetViews>
  <sheetFormatPr defaultRowHeight="15" x14ac:dyDescent="0.25"/>
  <cols>
    <col min="4" max="4" width="22" customWidth="1"/>
  </cols>
  <sheetData>
    <row r="3" spans="4:5" x14ac:dyDescent="0.25">
      <c r="D3" s="8" t="s">
        <v>24</v>
      </c>
      <c r="E3" s="8" t="s">
        <v>25</v>
      </c>
    </row>
    <row r="4" spans="4:5" x14ac:dyDescent="0.25">
      <c r="D4" t="s">
        <v>26</v>
      </c>
      <c r="E4">
        <v>5000</v>
      </c>
    </row>
    <row r="5" spans="4:5" x14ac:dyDescent="0.25">
      <c r="D5" t="s">
        <v>28</v>
      </c>
      <c r="E5">
        <v>400</v>
      </c>
    </row>
    <row r="6" spans="4:5" x14ac:dyDescent="0.25">
      <c r="D6" t="s">
        <v>27</v>
      </c>
      <c r="E6">
        <v>100</v>
      </c>
    </row>
    <row r="7" spans="4:5" x14ac:dyDescent="0.25">
      <c r="D7" t="s">
        <v>29</v>
      </c>
      <c r="E7">
        <v>150</v>
      </c>
    </row>
    <row r="8" spans="4:5" x14ac:dyDescent="0.25">
      <c r="D8" t="s">
        <v>30</v>
      </c>
      <c r="E8">
        <v>100</v>
      </c>
    </row>
    <row r="9" spans="4:5" x14ac:dyDescent="0.25">
      <c r="D9" t="s">
        <v>31</v>
      </c>
      <c r="E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5165-B322-49ED-B2C3-B80FB49449C3}">
  <dimension ref="C2:D23"/>
  <sheetViews>
    <sheetView workbookViewId="0">
      <selection activeCell="D24" sqref="D24"/>
    </sheetView>
  </sheetViews>
  <sheetFormatPr defaultRowHeight="15" x14ac:dyDescent="0.25"/>
  <cols>
    <col min="4" max="4" width="17.42578125" customWidth="1"/>
  </cols>
  <sheetData>
    <row r="2" spans="3:4" x14ac:dyDescent="0.25">
      <c r="C2" s="12" t="s">
        <v>41</v>
      </c>
    </row>
    <row r="3" spans="3:4" x14ac:dyDescent="0.25">
      <c r="C3" t="s">
        <v>42</v>
      </c>
      <c r="D3" t="s">
        <v>40</v>
      </c>
    </row>
    <row r="4" spans="3:4" x14ac:dyDescent="0.25">
      <c r="C4">
        <v>1</v>
      </c>
      <c r="D4">
        <v>14</v>
      </c>
    </row>
    <row r="5" spans="3:4" x14ac:dyDescent="0.25">
      <c r="C5">
        <v>2</v>
      </c>
      <c r="D5">
        <v>15</v>
      </c>
    </row>
    <row r="6" spans="3:4" x14ac:dyDescent="0.25">
      <c r="C6">
        <v>3</v>
      </c>
      <c r="D6">
        <v>12</v>
      </c>
    </row>
    <row r="7" spans="3:4" x14ac:dyDescent="0.25">
      <c r="C7">
        <v>4</v>
      </c>
      <c r="D7">
        <v>16</v>
      </c>
    </row>
    <row r="8" spans="3:4" x14ac:dyDescent="0.25">
      <c r="C8">
        <v>5</v>
      </c>
      <c r="D8">
        <v>14</v>
      </c>
    </row>
    <row r="9" spans="3:4" x14ac:dyDescent="0.25">
      <c r="C9">
        <v>6</v>
      </c>
      <c r="D9">
        <v>14</v>
      </c>
    </row>
    <row r="10" spans="3:4" x14ac:dyDescent="0.25">
      <c r="C10">
        <v>7</v>
      </c>
      <c r="D10">
        <v>15</v>
      </c>
    </row>
    <row r="11" spans="3:4" x14ac:dyDescent="0.25">
      <c r="C11">
        <v>8</v>
      </c>
      <c r="D11">
        <v>13</v>
      </c>
    </row>
    <row r="12" spans="3:4" x14ac:dyDescent="0.25">
      <c r="C12">
        <v>9</v>
      </c>
      <c r="D12">
        <v>12</v>
      </c>
    </row>
    <row r="13" spans="3:4" x14ac:dyDescent="0.25">
      <c r="C13">
        <v>10</v>
      </c>
      <c r="D13">
        <v>16</v>
      </c>
    </row>
    <row r="14" spans="3:4" x14ac:dyDescent="0.25">
      <c r="C14">
        <v>11</v>
      </c>
      <c r="D14">
        <v>16</v>
      </c>
    </row>
    <row r="15" spans="3:4" x14ac:dyDescent="0.25">
      <c r="C15">
        <v>12</v>
      </c>
      <c r="D15">
        <v>10</v>
      </c>
    </row>
    <row r="16" spans="3:4" x14ac:dyDescent="0.25">
      <c r="C16">
        <v>13</v>
      </c>
      <c r="D16">
        <v>14</v>
      </c>
    </row>
    <row r="17" spans="3:4" x14ac:dyDescent="0.25">
      <c r="C17">
        <v>14</v>
      </c>
      <c r="D17">
        <v>15</v>
      </c>
    </row>
    <row r="18" spans="3:4" x14ac:dyDescent="0.25">
      <c r="C18">
        <v>15</v>
      </c>
      <c r="D18">
        <v>14</v>
      </c>
    </row>
    <row r="19" spans="3:4" x14ac:dyDescent="0.25">
      <c r="C19">
        <v>16</v>
      </c>
      <c r="D19">
        <v>13</v>
      </c>
    </row>
    <row r="20" spans="3:4" x14ac:dyDescent="0.25">
      <c r="C20">
        <v>17</v>
      </c>
      <c r="D20">
        <v>17</v>
      </c>
    </row>
    <row r="21" spans="3:4" x14ac:dyDescent="0.25">
      <c r="C21">
        <v>18</v>
      </c>
      <c r="D21">
        <v>12</v>
      </c>
    </row>
    <row r="22" spans="3:4" x14ac:dyDescent="0.25">
      <c r="C22">
        <v>19</v>
      </c>
      <c r="D22">
        <v>18</v>
      </c>
    </row>
    <row r="23" spans="3:4" x14ac:dyDescent="0.25">
      <c r="C23">
        <v>20</v>
      </c>
      <c r="D2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4593-535F-49C0-B800-F35A89012A6D}">
  <dimension ref="D4:G7"/>
  <sheetViews>
    <sheetView workbookViewId="0">
      <selection activeCell="D8" sqref="D8"/>
    </sheetView>
  </sheetViews>
  <sheetFormatPr defaultRowHeight="15" x14ac:dyDescent="0.25"/>
  <cols>
    <col min="4" max="4" width="14.140625" customWidth="1"/>
    <col min="7" max="7" width="18.28515625" customWidth="1"/>
  </cols>
  <sheetData>
    <row r="4" spans="4:7" x14ac:dyDescent="0.25">
      <c r="D4" s="8"/>
      <c r="E4" s="8" t="s">
        <v>3</v>
      </c>
      <c r="F4" s="8" t="s">
        <v>4</v>
      </c>
      <c r="G4" s="8" t="s">
        <v>21</v>
      </c>
    </row>
    <row r="5" spans="4:7" x14ac:dyDescent="0.25">
      <c r="D5" s="9" t="s">
        <v>1</v>
      </c>
      <c r="E5">
        <f>'Input parameters'!E10+'Input parameters'!E6*'Input parameters'!E13+'Input parameters'!E4*'Input parameters'!E12+'Input parameters'!E8*'Input parameters'!E14</f>
        <v>705</v>
      </c>
      <c r="F5">
        <f>'Input parameters'!E11+'Input parameters'!E7*'Input parameters'!E13+'Input parameters'!E5*'Input parameters'!E12+'Input parameters'!E9+'Input parameters'!E14</f>
        <v>2658.26</v>
      </c>
      <c r="G5">
        <f>F5-E5</f>
        <v>1953.2600000000002</v>
      </c>
    </row>
    <row r="6" spans="4:7" x14ac:dyDescent="0.25">
      <c r="D6" s="10" t="s">
        <v>2</v>
      </c>
      <c r="E6">
        <f>'Input parameters'!E6*'Input parameters'!E16+'Input parameters'!E4*'Input parameters'!E15+(1-'Input parameters'!E6-'Input parameters'!E4-'Input parameters'!E8)*'Input parameters'!E17+'Input parameters'!E8*'Input parameters'!E18</f>
        <v>18.82</v>
      </c>
      <c r="F6">
        <f>'Input parameters'!E7*'Input parameters'!E16+'Input parameters'!E5*'Input parameters'!E15+(1-'Input parameters'!E7-'Input parameters'!E5-'Input parameters'!E9)*'Input parameters'!E17+'Input parameters'!E9*'Input parameters'!E18</f>
        <v>19.535</v>
      </c>
      <c r="G6">
        <f>F6-E6</f>
        <v>0.71499999999999986</v>
      </c>
    </row>
    <row r="7" spans="4:7" x14ac:dyDescent="0.25">
      <c r="D7" s="10" t="s">
        <v>20</v>
      </c>
      <c r="E7">
        <f>E6*willingness_to_pay-E5</f>
        <v>375695</v>
      </c>
      <c r="F7">
        <f>F6*willingness_to_pay-F5</f>
        <v>388041.74</v>
      </c>
      <c r="G7">
        <f>F7-E7</f>
        <v>12346.739999999991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Frontend</vt:lpstr>
      <vt:lpstr>Input parameters</vt:lpstr>
      <vt:lpstr>Costing</vt:lpstr>
      <vt:lpstr>QALYs</vt:lpstr>
      <vt:lpstr>Engine</vt:lpstr>
      <vt:lpstr>willingness_to_pay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Thom</dc:creator>
  <cp:lastModifiedBy>Howard Thom</cp:lastModifiedBy>
  <dcterms:created xsi:type="dcterms:W3CDTF">2023-01-03T09:33:38Z</dcterms:created>
  <dcterms:modified xsi:type="dcterms:W3CDTF">2023-03-17T10:54:06Z</dcterms:modified>
</cp:coreProperties>
</file>