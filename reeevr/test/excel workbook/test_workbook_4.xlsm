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Bristol/REEEVR Efficient EVPPI tool/Code/"/>
    </mc:Choice>
  </mc:AlternateContent>
  <xr:revisionPtr revIDLastSave="20160" documentId="8_{D960561D-12F3-4054-9D58-93964EA21FF2}" xr6:coauthVersionLast="47" xr6:coauthVersionMax="47" xr10:uidLastSave="{7B3DFE1E-0707-42E5-AB6D-0C7C55662F7B}"/>
  <bookViews>
    <workbookView xWindow="-96" yWindow="-96" windowWidth="23232" windowHeight="12432" xr2:uid="{C99AE1D4-E135-4766-A5A6-E676F3ADB78F}"/>
  </bookViews>
  <sheets>
    <sheet name="Frontend" sheetId="2" r:id="rId1"/>
    <sheet name="Input parameters" sheetId="3" r:id="rId2"/>
    <sheet name="Costing" sheetId="5" r:id="rId3"/>
    <sheet name="QALYs" sheetId="6" r:id="rId4"/>
    <sheet name="Engine" sheetId="4" r:id="rId5"/>
    <sheet name="PSA" sheetId="7" r:id="rId6"/>
  </sheets>
  <definedNames>
    <definedName name="analysis_type">Frontend!$E$6</definedName>
    <definedName name="average_costs_aspirin">Engine!$E$11</definedName>
    <definedName name="average_costs_warfarin">Engine!$F$11</definedName>
    <definedName name="average_incremental_costs">Engine!$G$11</definedName>
    <definedName name="average_incremental_net_benefit">Engine!$G$13</definedName>
    <definedName name="average_incremental_qalys">Engine!$G$12</definedName>
    <definedName name="average_net_benefit_aspirin">Engine!$E$13</definedName>
    <definedName name="average_net_benefit_warfarin">Engine!$F$13</definedName>
    <definedName name="average_qalys_aspirin">Engine!$E$12</definedName>
    <definedName name="average_qalys_warfarin">Engine!$F$12</definedName>
    <definedName name="hidden_named_cell">#REF!</definedName>
    <definedName name="last_psa_run_samples">PSA!$G$3</definedName>
    <definedName name="n_samples">PSA!$G$2</definedName>
    <definedName name="net_benefit_aspirin">Engine!$E$7</definedName>
    <definedName name="net_benefit_warfarin">Engine!$F$7</definedName>
    <definedName name="test_name">#REF!</definedName>
    <definedName name="total_costs_aspirin">Engine!$E$5</definedName>
    <definedName name="total_costs_warfarin">Engine!$F$5</definedName>
    <definedName name="total_qalys_aspirin">Engine!$E$6</definedName>
    <definedName name="total_qalys_warfarin">Engine!$F$6</definedName>
    <definedName name="willingness_to_pay">Frontend!$E$5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3" l="1"/>
  <c r="F11" i="3"/>
  <c r="F12" i="3"/>
  <c r="F13" i="3"/>
  <c r="G13" i="3" s="1"/>
  <c r="F14" i="3"/>
  <c r="G14" i="3" s="1"/>
  <c r="F15" i="3"/>
  <c r="F16" i="3"/>
  <c r="F17" i="3"/>
  <c r="F18" i="3"/>
  <c r="I15" i="3"/>
  <c r="H15" i="3"/>
  <c r="H12" i="3"/>
  <c r="F5" i="3"/>
  <c r="F6" i="3"/>
  <c r="F7" i="3"/>
  <c r="F8" i="3"/>
  <c r="F9" i="3"/>
  <c r="F4" i="3"/>
  <c r="G16" i="3"/>
  <c r="E16" i="3" s="1"/>
  <c r="G17" i="3"/>
  <c r="E17" i="3" s="1"/>
  <c r="G18" i="3"/>
  <c r="I9" i="3"/>
  <c r="H9" i="3"/>
  <c r="H8" i="3"/>
  <c r="I8" i="3"/>
  <c r="H5" i="3"/>
  <c r="I5" i="3"/>
  <c r="H6" i="3"/>
  <c r="I6" i="3"/>
  <c r="H7" i="3"/>
  <c r="I7" i="3"/>
  <c r="G5" i="3"/>
  <c r="E5" i="3" s="1"/>
  <c r="G6" i="3"/>
  <c r="E6" i="3" s="1"/>
  <c r="G7" i="3"/>
  <c r="E7" i="3" s="1"/>
  <c r="I4" i="3"/>
  <c r="H4" i="3"/>
  <c r="G4" i="3"/>
  <c r="E4" i="3" s="1"/>
  <c r="E10" i="3"/>
  <c r="E11" i="3"/>
  <c r="E13" i="3"/>
  <c r="E14" i="3"/>
  <c r="G10" i="3"/>
  <c r="G11" i="3"/>
  <c r="E18" i="3" l="1"/>
  <c r="G15" i="3"/>
  <c r="E15" i="3" s="1"/>
  <c r="E8" i="3" l="1"/>
  <c r="G8" i="3"/>
  <c r="E9" i="3"/>
  <c r="F6" i="4" s="1"/>
  <c r="G9" i="3"/>
  <c r="E12" i="3"/>
  <c r="G12" i="3"/>
  <c r="E6" i="4"/>
  <c r="G11" i="4" l="1"/>
  <c r="F5" i="4"/>
  <c r="G12" i="4"/>
  <c r="E5" i="4"/>
  <c r="E7" i="4" s="1"/>
  <c r="G6" i="4"/>
  <c r="G13" i="4" l="1"/>
  <c r="G5" i="4"/>
  <c r="E9" i="2" s="1"/>
  <c r="F7" i="4"/>
  <c r="G7" i="4" s="1"/>
  <c r="E10" i="2" s="1"/>
</calcChain>
</file>

<file path=xl/sharedStrings.xml><?xml version="1.0" encoding="utf-8"?>
<sst xmlns="http://schemas.openxmlformats.org/spreadsheetml/2006/main" count="88" uniqueCount="69">
  <si>
    <t>Willingness-to-pay</t>
  </si>
  <si>
    <t>Total costs</t>
  </si>
  <si>
    <t>Total QALYs</t>
  </si>
  <si>
    <t>Aspirin</t>
  </si>
  <si>
    <t>Warfarin</t>
  </si>
  <si>
    <t>Probability stroke aspirin</t>
  </si>
  <si>
    <t>Probability stroke warfarin</t>
  </si>
  <si>
    <t>Probability bleed aspirin</t>
  </si>
  <si>
    <t>Probability bleed warfarin</t>
  </si>
  <si>
    <t>Cost course aspirin</t>
  </si>
  <si>
    <t>Cost course warfarin</t>
  </si>
  <si>
    <t>QALYS stroke</t>
  </si>
  <si>
    <t>QALYS bleed</t>
  </si>
  <si>
    <t>QALYS well</t>
  </si>
  <si>
    <t>Cost stroke</t>
  </si>
  <si>
    <t>Cost bleed</t>
  </si>
  <si>
    <t>ICER Warfarin vs aspirin</t>
  </si>
  <si>
    <t>INB Warfarin vs aspirin</t>
  </si>
  <si>
    <t>Inputs</t>
  </si>
  <si>
    <t>Outputs</t>
  </si>
  <si>
    <t>Net benefit</t>
  </si>
  <si>
    <t>Name</t>
  </si>
  <si>
    <t>Cost component</t>
  </si>
  <si>
    <t>Cost</t>
  </si>
  <si>
    <t>5 nights hospital</t>
  </si>
  <si>
    <t>5 nurse visits</t>
  </si>
  <si>
    <t>2 consultant visits</t>
  </si>
  <si>
    <t>3 GP visits</t>
  </si>
  <si>
    <t>occupational therapy</t>
  </si>
  <si>
    <t>counselling</t>
  </si>
  <si>
    <t>Cost MI</t>
  </si>
  <si>
    <t>QALYS MI</t>
  </si>
  <si>
    <t>Probability MI aspirin</t>
  </si>
  <si>
    <t>Probability MI warfarin</t>
  </si>
  <si>
    <t>Include MI?</t>
  </si>
  <si>
    <t>Yes</t>
  </si>
  <si>
    <t>Base case includes MI but a sensitivity analysis is to set MI probabilities to zero</t>
  </si>
  <si>
    <t>Notes</t>
  </si>
  <si>
    <t>QALYs on stroke</t>
  </si>
  <si>
    <t>We found twenty publications giving different QALYs on stroke for UK patients</t>
  </si>
  <si>
    <t>Study</t>
  </si>
  <si>
    <t>Deterministic Value</t>
  </si>
  <si>
    <t>Probabilistic Value</t>
  </si>
  <si>
    <t>Live Value</t>
  </si>
  <si>
    <t>Warfarin vs aspirin</t>
  </si>
  <si>
    <t>Probabilistic results</t>
  </si>
  <si>
    <t>n</t>
  </si>
  <si>
    <t>Total costs Asprin</t>
  </si>
  <si>
    <t>Total QALYs Aspirin</t>
  </si>
  <si>
    <t>Total costs Warfarin</t>
  </si>
  <si>
    <t>Total QALYs Warfarin</t>
  </si>
  <si>
    <t>Incremental costs</t>
  </si>
  <si>
    <t>Incremental QALYs</t>
  </si>
  <si>
    <t>Net benefit Aspirin</t>
  </si>
  <si>
    <t>Net benefit Warfarin</t>
  </si>
  <si>
    <t>Incremental net benefit</t>
  </si>
  <si>
    <t>Analysis type</t>
  </si>
  <si>
    <t>Mean</t>
  </si>
  <si>
    <t>SE</t>
  </si>
  <si>
    <t>Alpha</t>
  </si>
  <si>
    <t>Beta</t>
  </si>
  <si>
    <t>Distribution</t>
  </si>
  <si>
    <t>Normal</t>
  </si>
  <si>
    <t>Fixed</t>
  </si>
  <si>
    <t>Probabilistic</t>
  </si>
  <si>
    <t>n samples</t>
  </si>
  <si>
    <t>Live results</t>
  </si>
  <si>
    <t>Averages over 1000 samples calculated by VBA sub run_psa</t>
  </si>
  <si>
    <t>Last n samples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</si>
</sst>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0" fillId="0" borderId="3" xfId="0" applyBorder="1" applyAlignment="1">
      <alignment horizontal="right"/>
    </xf>
    <xf numFmtId="0" fontId="2" fillId="0" borderId="0" xfId="0" applyFont="1"/>
    <xf numFmtId="0" fontId="0" fillId="0" borderId="10" xfId="0" applyBorder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11" xfId="0" applyBorder="1"/>
    <xf numFmtId="0" fontId="0" fillId="0" borderId="13" xfId="0" applyBorder="1"/>
    <xf numFmtId="0" fontId="1" fillId="0" borderId="12" xfId="0" applyFont="1" applyBorder="1"/>
    <xf numFmtId="0" fontId="4" fillId="0" borderId="0" xfId="0" applyFont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10</xdr:row>
          <xdr:rowOff>175260</xdr:rowOff>
        </xdr:from>
        <xdr:to>
          <xdr:col>3</xdr:col>
          <xdr:colOff>1531620</xdr:colOff>
          <xdr:row>14</xdr:row>
          <xdr:rowOff>11430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1</xdr:row>
          <xdr:rowOff>3810</xdr:rowOff>
        </xdr:from>
        <xdr:to>
          <xdr:col>3</xdr:col>
          <xdr:colOff>1306830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804E-22D6-4B49-9ECE-43FA48D02555}">
  <sheetPr codeName="Sheet1"/>
  <dimension ref="D3:G10"/>
  <sheetViews>
    <sheetView tabSelected="1" workbookViewId="0">
      <selection activeCell="B13" sqref="B13"/>
    </sheetView>
  </sheetViews>
  <sheetFormatPr defaultRowHeight="14.4" x14ac:dyDescent="0.55000000000000004"/>
  <cols>
    <col min="4" max="4" width="21.26171875" customWidth="1"/>
    <col min="5" max="5" width="13.20703125" customWidth="1"/>
  </cols>
  <sheetData>
    <row r="3" spans="4:7" ht="14.7" thickBot="1" x14ac:dyDescent="0.6"/>
    <row r="4" spans="4:7" x14ac:dyDescent="0.55000000000000004">
      <c r="D4" s="1" t="s">
        <v>18</v>
      </c>
      <c r="E4" s="17"/>
      <c r="G4" t="s">
        <v>37</v>
      </c>
    </row>
    <row r="5" spans="4:7" x14ac:dyDescent="0.55000000000000004">
      <c r="D5" s="2" t="s">
        <v>0</v>
      </c>
      <c r="E5" s="3">
        <v>20000</v>
      </c>
    </row>
    <row r="6" spans="4:7" x14ac:dyDescent="0.55000000000000004">
      <c r="D6" s="2" t="s">
        <v>56</v>
      </c>
      <c r="E6" s="10" t="s">
        <v>64</v>
      </c>
    </row>
    <row r="7" spans="4:7" x14ac:dyDescent="0.55000000000000004">
      <c r="D7" s="2" t="s">
        <v>34</v>
      </c>
      <c r="E7" s="10" t="s">
        <v>35</v>
      </c>
      <c r="G7" s="11" t="s">
        <v>36</v>
      </c>
    </row>
    <row r="8" spans="4:7" x14ac:dyDescent="0.55000000000000004">
      <c r="D8" s="4" t="s">
        <v>19</v>
      </c>
      <c r="E8" s="12"/>
    </row>
    <row r="9" spans="4:7" x14ac:dyDescent="0.55000000000000004">
      <c r="D9" s="2" t="s">
        <v>16</v>
      </c>
      <c r="E9" s="3">
        <f>IF(analysis_type="Deterministic", Engine!G5/Engine!G6, average_incremental_costs/average_incremental_qalys)</f>
        <v>-1414.2507084550923</v>
      </c>
    </row>
    <row r="10" spans="4:7" ht="14.7" thickBot="1" x14ac:dyDescent="0.6">
      <c r="D10" s="5" t="s">
        <v>17</v>
      </c>
      <c r="E10" s="6">
        <f>IF(analysis_type = "Deterministic", Engine!G7, average_incremental_net_benefit)</f>
        <v>-31115.375915052544</v>
      </c>
    </row>
  </sheetData>
  <dataValidations count="2">
    <dataValidation type="list" allowBlank="1" showInputMessage="1" showErrorMessage="1" sqref="E7" xr:uid="{6D403B8E-6658-4460-BB35-6289703DE205}">
      <formula1>"Yes, No"</formula1>
    </dataValidation>
    <dataValidation type="list" allowBlank="1" showInputMessage="1" showErrorMessage="1" sqref="E6" xr:uid="{C85A5DCB-33C6-4D4A-84D8-AB9C76D3794A}">
      <formula1>"Deterministic, Probabilistic"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RunPSA">
                <anchor moveWithCells="1" sizeWithCells="1">
                  <from>
                    <xdr:col>2</xdr:col>
                    <xdr:colOff>628650</xdr:colOff>
                    <xdr:row>10</xdr:row>
                    <xdr:rowOff>175260</xdr:rowOff>
                  </from>
                  <to>
                    <xdr:col>3</xdr:col>
                    <xdr:colOff>1531620</xdr:colOff>
                    <xdr:row>14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939F-EFB4-428C-8923-D0C47347DCCA}">
  <sheetPr codeName="Sheet2"/>
  <dimension ref="D3:L18"/>
  <sheetViews>
    <sheetView topLeftCell="A2" workbookViewId="0">
      <selection activeCell="G16" sqref="G16"/>
    </sheetView>
  </sheetViews>
  <sheetFormatPr defaultRowHeight="14.4" x14ac:dyDescent="0.55000000000000004"/>
  <cols>
    <col min="4" max="4" width="27.26171875" customWidth="1"/>
    <col min="5" max="5" width="10.7890625" customWidth="1"/>
    <col min="6" max="6" width="17.62890625" customWidth="1"/>
    <col min="7" max="7" width="18.41796875" customWidth="1"/>
  </cols>
  <sheetData>
    <row r="3" spans="4:12" x14ac:dyDescent="0.55000000000000004">
      <c r="D3" s="7" t="s">
        <v>21</v>
      </c>
      <c r="E3" s="7" t="s">
        <v>43</v>
      </c>
      <c r="F3" s="7" t="s">
        <v>41</v>
      </c>
      <c r="G3" s="7" t="s">
        <v>42</v>
      </c>
      <c r="H3" s="7" t="s">
        <v>57</v>
      </c>
      <c r="I3" s="7" t="s">
        <v>58</v>
      </c>
      <c r="J3" s="7" t="s">
        <v>59</v>
      </c>
      <c r="K3" s="7" t="s">
        <v>60</v>
      </c>
      <c r="L3" s="7" t="s">
        <v>61</v>
      </c>
    </row>
    <row r="4" spans="4:12" x14ac:dyDescent="0.55000000000000004">
      <c r="D4" t="s">
        <v>5</v>
      </c>
      <c r="E4">
        <f t="shared" ref="E4:E18" ca="1" si="0">IF(analysis_type="Deterministic", F4, G4)</f>
        <v>0.12252492847757912</v>
      </c>
      <c r="F4" s="14">
        <f>H4</f>
        <v>0.1</v>
      </c>
      <c r="G4">
        <f ca="1">_xlfn.BETA.INV(RAND(), J4, K4)</f>
        <v>0.12252492847757912</v>
      </c>
      <c r="H4" s="14">
        <f>J4/(J4+K4)</f>
        <v>0.1</v>
      </c>
      <c r="I4">
        <f>SQRT(J4*K4/((J4+K4)*(J4+K4)*(J4+K4+1)))</f>
        <v>2.9851115706299676E-2</v>
      </c>
      <c r="J4">
        <v>10</v>
      </c>
      <c r="K4">
        <v>90</v>
      </c>
      <c r="L4" t="s">
        <v>60</v>
      </c>
    </row>
    <row r="5" spans="4:12" x14ac:dyDescent="0.55000000000000004">
      <c r="D5" t="s">
        <v>6</v>
      </c>
      <c r="E5">
        <f t="shared" ca="1" si="0"/>
        <v>3.3957902379291305E-2</v>
      </c>
      <c r="F5" s="14">
        <f t="shared" ref="F5:F18" si="1">H5</f>
        <v>2.5000000000000001E-2</v>
      </c>
      <c r="G5">
        <f t="shared" ref="G5:G7" ca="1" si="2">_xlfn.BETA.INV(RAND(), J5, K5)</f>
        <v>3.3957902379291305E-2</v>
      </c>
      <c r="H5" s="14">
        <f t="shared" ref="H5:H8" si="3">J5/(J5+K5)</f>
        <v>2.5000000000000001E-2</v>
      </c>
      <c r="I5">
        <f t="shared" ref="I5:I8" si="4">SQRT(J5*K5/((J5+K5)*(J5+K5)*(J5+K5+1)))</f>
        <v>1.7347216662217772E-2</v>
      </c>
      <c r="J5">
        <v>2</v>
      </c>
      <c r="K5">
        <v>78</v>
      </c>
      <c r="L5" t="s">
        <v>60</v>
      </c>
    </row>
    <row r="6" spans="4:12" x14ac:dyDescent="0.55000000000000004">
      <c r="D6" t="s">
        <v>7</v>
      </c>
      <c r="E6">
        <f t="shared" ca="1" si="0"/>
        <v>3.4696110774790956E-2</v>
      </c>
      <c r="F6" s="14">
        <f t="shared" si="1"/>
        <v>2.5000000000000001E-2</v>
      </c>
      <c r="G6">
        <f t="shared" ca="1" si="2"/>
        <v>3.4696110774790956E-2</v>
      </c>
      <c r="H6" s="14">
        <f t="shared" si="3"/>
        <v>2.5000000000000001E-2</v>
      </c>
      <c r="I6">
        <f t="shared" si="4"/>
        <v>1.230436977370033E-2</v>
      </c>
      <c r="J6">
        <v>4</v>
      </c>
      <c r="K6">
        <v>156</v>
      </c>
      <c r="L6" t="s">
        <v>60</v>
      </c>
    </row>
    <row r="7" spans="4:12" x14ac:dyDescent="0.55000000000000004">
      <c r="D7" t="s">
        <v>8</v>
      </c>
      <c r="E7" s="15">
        <f t="shared" ca="1" si="0"/>
        <v>0.33283700450742137</v>
      </c>
      <c r="F7" s="14">
        <f t="shared" si="1"/>
        <v>0.3</v>
      </c>
      <c r="G7">
        <f t="shared" ca="1" si="2"/>
        <v>0.33283700450742137</v>
      </c>
      <c r="H7" s="14">
        <f t="shared" si="3"/>
        <v>0.3</v>
      </c>
      <c r="I7">
        <f t="shared" si="4"/>
        <v>4.5598332434334476E-2</v>
      </c>
      <c r="J7">
        <v>30</v>
      </c>
      <c r="K7">
        <v>70</v>
      </c>
      <c r="L7" t="s">
        <v>60</v>
      </c>
    </row>
    <row r="8" spans="4:12" x14ac:dyDescent="0.55000000000000004">
      <c r="D8" t="s">
        <v>32</v>
      </c>
      <c r="E8" s="15">
        <f t="shared" si="0"/>
        <v>0.05</v>
      </c>
      <c r="F8" s="14">
        <f t="shared" si="1"/>
        <v>0.05</v>
      </c>
      <c r="G8">
        <f t="shared" ref="G8:G14" si="5">F8</f>
        <v>0.05</v>
      </c>
      <c r="H8" s="14">
        <f t="shared" si="3"/>
        <v>0.05</v>
      </c>
      <c r="I8">
        <f t="shared" si="4"/>
        <v>2.4216105241892629E-2</v>
      </c>
      <c r="J8">
        <v>4</v>
      </c>
      <c r="K8">
        <v>76</v>
      </c>
      <c r="L8" t="s">
        <v>60</v>
      </c>
    </row>
    <row r="9" spans="4:12" x14ac:dyDescent="0.55000000000000004">
      <c r="D9" t="s">
        <v>33</v>
      </c>
      <c r="E9">
        <f t="shared" si="0"/>
        <v>0.01</v>
      </c>
      <c r="F9" s="14">
        <f t="shared" si="1"/>
        <v>0.01</v>
      </c>
      <c r="G9">
        <f t="shared" si="5"/>
        <v>0.01</v>
      </c>
      <c r="H9" s="14">
        <f t="shared" ref="H9" si="6">J9/(J9+K9)</f>
        <v>0.01</v>
      </c>
      <c r="I9">
        <f t="shared" ref="I9" si="7">SQRT(J9*K9/((J9+K9)*(J9+K9)*(J9+K9+1)))</f>
        <v>9.9004950371280945E-3</v>
      </c>
      <c r="J9">
        <v>1</v>
      </c>
      <c r="K9">
        <v>99</v>
      </c>
      <c r="L9" t="s">
        <v>60</v>
      </c>
    </row>
    <row r="10" spans="4:12" x14ac:dyDescent="0.55000000000000004">
      <c r="D10" t="s">
        <v>9</v>
      </c>
      <c r="E10">
        <f t="shared" si="0"/>
        <v>10</v>
      </c>
      <c r="F10" s="14">
        <f t="shared" si="1"/>
        <v>10</v>
      </c>
      <c r="G10">
        <f t="shared" si="5"/>
        <v>10</v>
      </c>
      <c r="H10">
        <v>10</v>
      </c>
      <c r="L10" t="s">
        <v>63</v>
      </c>
    </row>
    <row r="11" spans="4:12" x14ac:dyDescent="0.55000000000000004">
      <c r="D11" t="s">
        <v>10</v>
      </c>
      <c r="E11">
        <f t="shared" si="0"/>
        <v>500</v>
      </c>
      <c r="F11" s="14">
        <f t="shared" si="1"/>
        <v>500</v>
      </c>
      <c r="G11">
        <f t="shared" si="5"/>
        <v>500</v>
      </c>
      <c r="H11">
        <v>500</v>
      </c>
      <c r="L11" t="s">
        <v>63</v>
      </c>
    </row>
    <row r="12" spans="4:12" x14ac:dyDescent="0.55000000000000004">
      <c r="D12" t="s">
        <v>14</v>
      </c>
      <c r="E12">
        <f t="shared" si="0"/>
        <v>5850</v>
      </c>
      <c r="F12" s="14">
        <f t="shared" si="1"/>
        <v>5850</v>
      </c>
      <c r="G12">
        <f t="shared" si="5"/>
        <v>5850</v>
      </c>
      <c r="H12">
        <f>SUM(Costing!E4:E9)</f>
        <v>5850</v>
      </c>
      <c r="L12" t="s">
        <v>63</v>
      </c>
    </row>
    <row r="13" spans="4:12" x14ac:dyDescent="0.55000000000000004">
      <c r="D13" t="s">
        <v>15</v>
      </c>
      <c r="E13">
        <f t="shared" si="0"/>
        <v>400</v>
      </c>
      <c r="F13" s="14">
        <f t="shared" si="1"/>
        <v>400</v>
      </c>
      <c r="G13">
        <f t="shared" si="5"/>
        <v>400</v>
      </c>
      <c r="H13">
        <v>400</v>
      </c>
      <c r="L13" t="s">
        <v>63</v>
      </c>
    </row>
    <row r="14" spans="4:12" x14ac:dyDescent="0.55000000000000004">
      <c r="D14" t="s">
        <v>30</v>
      </c>
      <c r="E14">
        <f t="shared" si="0"/>
        <v>2000</v>
      </c>
      <c r="F14" s="14">
        <f t="shared" si="1"/>
        <v>2000</v>
      </c>
      <c r="G14">
        <f t="shared" si="5"/>
        <v>2000</v>
      </c>
      <c r="H14">
        <v>2000</v>
      </c>
      <c r="L14" t="s">
        <v>63</v>
      </c>
    </row>
    <row r="15" spans="4:12" x14ac:dyDescent="0.55000000000000004">
      <c r="D15" t="s">
        <v>11</v>
      </c>
      <c r="E15">
        <f t="shared" ca="1" si="0"/>
        <v>13.866099750585407</v>
      </c>
      <c r="F15" s="14">
        <f t="shared" si="1"/>
        <v>14.2</v>
      </c>
      <c r="G15" s="16">
        <f ca="1">_xlfn.NORM.INV(RAND(), H15, I15)</f>
        <v>13.866099750585407</v>
      </c>
      <c r="H15" s="13">
        <f>AVERAGE(QALYs!D4:D23)</f>
        <v>14.2</v>
      </c>
      <c r="I15">
        <f>_xlfn.STDEV.S(QALYs!D4:D23)/SQRT(20)</f>
        <v>0.42673793264472548</v>
      </c>
      <c r="L15" t="s">
        <v>62</v>
      </c>
    </row>
    <row r="16" spans="4:12" x14ac:dyDescent="0.55000000000000004">
      <c r="D16" t="s">
        <v>12</v>
      </c>
      <c r="E16">
        <f t="shared" ca="1" si="0"/>
        <v>12.681567956877332</v>
      </c>
      <c r="F16" s="14">
        <f t="shared" si="1"/>
        <v>12</v>
      </c>
      <c r="G16" s="16">
        <f t="shared" ref="G16:G18" ca="1" si="8">_xlfn.NORM.INV(RAND(), H16, I16)</f>
        <v>12.681567956877332</v>
      </c>
      <c r="H16" s="13">
        <v>12</v>
      </c>
      <c r="I16">
        <v>1</v>
      </c>
      <c r="L16" t="s">
        <v>62</v>
      </c>
    </row>
    <row r="17" spans="4:12" x14ac:dyDescent="0.55000000000000004">
      <c r="D17" t="s">
        <v>13</v>
      </c>
      <c r="E17">
        <f t="shared" ca="1" si="0"/>
        <v>21.456602460099091</v>
      </c>
      <c r="F17" s="14">
        <f t="shared" si="1"/>
        <v>20</v>
      </c>
      <c r="G17" s="16">
        <f t="shared" ca="1" si="8"/>
        <v>21.456602460099091</v>
      </c>
      <c r="H17" s="13">
        <v>20</v>
      </c>
      <c r="I17">
        <v>2</v>
      </c>
      <c r="L17" t="s">
        <v>62</v>
      </c>
    </row>
    <row r="18" spans="4:12" x14ac:dyDescent="0.55000000000000004">
      <c r="D18" t="s">
        <v>31</v>
      </c>
      <c r="E18">
        <f t="shared" ca="1" si="0"/>
        <v>11.388176571729376</v>
      </c>
      <c r="F18" s="14">
        <f t="shared" si="1"/>
        <v>12</v>
      </c>
      <c r="G18" s="16">
        <f t="shared" ca="1" si="8"/>
        <v>11.388176571729376</v>
      </c>
      <c r="H18" s="13">
        <v>12</v>
      </c>
      <c r="I18">
        <v>1</v>
      </c>
      <c r="L18" t="s">
        <v>62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6A41-E1A6-4DAE-8C44-72D71F51C3E9}">
  <sheetPr codeName="Sheet3"/>
  <dimension ref="D3:E9"/>
  <sheetViews>
    <sheetView workbookViewId="0">
      <selection activeCell="H11" sqref="H11"/>
    </sheetView>
  </sheetViews>
  <sheetFormatPr defaultRowHeight="14.4" x14ac:dyDescent="0.55000000000000004"/>
  <cols>
    <col min="4" max="4" width="22" customWidth="1"/>
  </cols>
  <sheetData>
    <row r="3" spans="4:5" x14ac:dyDescent="0.55000000000000004">
      <c r="D3" s="7" t="s">
        <v>22</v>
      </c>
      <c r="E3" s="7" t="s">
        <v>23</v>
      </c>
    </row>
    <row r="4" spans="4:5" x14ac:dyDescent="0.55000000000000004">
      <c r="D4" t="s">
        <v>24</v>
      </c>
      <c r="E4">
        <v>5000</v>
      </c>
    </row>
    <row r="5" spans="4:5" x14ac:dyDescent="0.55000000000000004">
      <c r="D5" t="s">
        <v>26</v>
      </c>
      <c r="E5">
        <v>400</v>
      </c>
    </row>
    <row r="6" spans="4:5" x14ac:dyDescent="0.55000000000000004">
      <c r="D6" t="s">
        <v>25</v>
      </c>
      <c r="E6">
        <v>100</v>
      </c>
    </row>
    <row r="7" spans="4:5" x14ac:dyDescent="0.55000000000000004">
      <c r="D7" t="s">
        <v>27</v>
      </c>
      <c r="E7">
        <v>150</v>
      </c>
    </row>
    <row r="8" spans="4:5" x14ac:dyDescent="0.55000000000000004">
      <c r="D8" t="s">
        <v>28</v>
      </c>
      <c r="E8">
        <v>100</v>
      </c>
    </row>
    <row r="9" spans="4:5" x14ac:dyDescent="0.55000000000000004">
      <c r="D9" t="s">
        <v>29</v>
      </c>
      <c r="E9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45165-B322-49ED-B2C3-B80FB49449C3}">
  <sheetPr codeName="Sheet4"/>
  <dimension ref="C2:D23"/>
  <sheetViews>
    <sheetView workbookViewId="0">
      <selection activeCell="D24" sqref="D24"/>
    </sheetView>
  </sheetViews>
  <sheetFormatPr defaultRowHeight="14.4" x14ac:dyDescent="0.55000000000000004"/>
  <cols>
    <col min="4" max="4" width="17.41796875" customWidth="1"/>
  </cols>
  <sheetData>
    <row r="2" spans="3:4" x14ac:dyDescent="0.55000000000000004">
      <c r="C2" s="11" t="s">
        <v>39</v>
      </c>
    </row>
    <row r="3" spans="3:4" x14ac:dyDescent="0.55000000000000004">
      <c r="C3" t="s">
        <v>40</v>
      </c>
      <c r="D3" t="s">
        <v>38</v>
      </c>
    </row>
    <row r="4" spans="3:4" x14ac:dyDescent="0.55000000000000004">
      <c r="C4">
        <v>1</v>
      </c>
      <c r="D4">
        <v>14</v>
      </c>
    </row>
    <row r="5" spans="3:4" x14ac:dyDescent="0.55000000000000004">
      <c r="C5">
        <v>2</v>
      </c>
      <c r="D5">
        <v>15</v>
      </c>
    </row>
    <row r="6" spans="3:4" x14ac:dyDescent="0.55000000000000004">
      <c r="C6">
        <v>3</v>
      </c>
      <c r="D6">
        <v>12</v>
      </c>
    </row>
    <row r="7" spans="3:4" x14ac:dyDescent="0.55000000000000004">
      <c r="C7">
        <v>4</v>
      </c>
      <c r="D7">
        <v>16</v>
      </c>
    </row>
    <row r="8" spans="3:4" x14ac:dyDescent="0.55000000000000004">
      <c r="C8">
        <v>5</v>
      </c>
      <c r="D8">
        <v>14</v>
      </c>
    </row>
    <row r="9" spans="3:4" x14ac:dyDescent="0.55000000000000004">
      <c r="C9">
        <v>6</v>
      </c>
      <c r="D9">
        <v>14</v>
      </c>
    </row>
    <row r="10" spans="3:4" x14ac:dyDescent="0.55000000000000004">
      <c r="C10">
        <v>7</v>
      </c>
      <c r="D10">
        <v>15</v>
      </c>
    </row>
    <row r="11" spans="3:4" x14ac:dyDescent="0.55000000000000004">
      <c r="C11">
        <v>8</v>
      </c>
      <c r="D11">
        <v>13</v>
      </c>
    </row>
    <row r="12" spans="3:4" x14ac:dyDescent="0.55000000000000004">
      <c r="C12">
        <v>9</v>
      </c>
      <c r="D12">
        <v>12</v>
      </c>
    </row>
    <row r="13" spans="3:4" x14ac:dyDescent="0.55000000000000004">
      <c r="C13">
        <v>10</v>
      </c>
      <c r="D13">
        <v>16</v>
      </c>
    </row>
    <row r="14" spans="3:4" x14ac:dyDescent="0.55000000000000004">
      <c r="C14">
        <v>11</v>
      </c>
      <c r="D14">
        <v>16</v>
      </c>
    </row>
    <row r="15" spans="3:4" x14ac:dyDescent="0.55000000000000004">
      <c r="C15">
        <v>12</v>
      </c>
      <c r="D15">
        <v>10</v>
      </c>
    </row>
    <row r="16" spans="3:4" x14ac:dyDescent="0.55000000000000004">
      <c r="C16">
        <v>13</v>
      </c>
      <c r="D16">
        <v>14</v>
      </c>
    </row>
    <row r="17" spans="3:4" x14ac:dyDescent="0.55000000000000004">
      <c r="C17">
        <v>14</v>
      </c>
      <c r="D17">
        <v>15</v>
      </c>
    </row>
    <row r="18" spans="3:4" x14ac:dyDescent="0.55000000000000004">
      <c r="C18">
        <v>15</v>
      </c>
      <c r="D18">
        <v>14</v>
      </c>
    </row>
    <row r="19" spans="3:4" x14ac:dyDescent="0.55000000000000004">
      <c r="C19">
        <v>16</v>
      </c>
      <c r="D19">
        <v>13</v>
      </c>
    </row>
    <row r="20" spans="3:4" x14ac:dyDescent="0.55000000000000004">
      <c r="C20">
        <v>17</v>
      </c>
      <c r="D20">
        <v>17</v>
      </c>
    </row>
    <row r="21" spans="3:4" x14ac:dyDescent="0.55000000000000004">
      <c r="C21">
        <v>18</v>
      </c>
      <c r="D21">
        <v>12</v>
      </c>
    </row>
    <row r="22" spans="3:4" x14ac:dyDescent="0.55000000000000004">
      <c r="C22">
        <v>19</v>
      </c>
      <c r="D22">
        <v>18</v>
      </c>
    </row>
    <row r="23" spans="3:4" x14ac:dyDescent="0.55000000000000004">
      <c r="C23">
        <v>20</v>
      </c>
      <c r="D23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4593-535F-49C0-B800-F35A89012A6D}">
  <sheetPr codeName="Sheet5"/>
  <dimension ref="D3:G13"/>
  <sheetViews>
    <sheetView workbookViewId="0">
      <selection activeCell="F20" sqref="F20"/>
    </sheetView>
  </sheetViews>
  <sheetFormatPr defaultRowHeight="14.4" x14ac:dyDescent="0.55000000000000004"/>
  <cols>
    <col min="4" max="4" width="18.05078125" customWidth="1"/>
    <col min="7" max="7" width="18.26171875" customWidth="1"/>
  </cols>
  <sheetData>
    <row r="3" spans="4:7" x14ac:dyDescent="0.55000000000000004">
      <c r="D3" s="20" t="s">
        <v>66</v>
      </c>
    </row>
    <row r="4" spans="4:7" x14ac:dyDescent="0.55000000000000004">
      <c r="D4" s="7"/>
      <c r="E4" s="7" t="s">
        <v>3</v>
      </c>
      <c r="F4" s="7" t="s">
        <v>4</v>
      </c>
      <c r="G4" s="7" t="s">
        <v>44</v>
      </c>
    </row>
    <row r="5" spans="4:7" x14ac:dyDescent="0.55000000000000004">
      <c r="D5" s="8" t="s">
        <v>1</v>
      </c>
      <c r="E5">
        <f ca="1">'Input parameters'!E10+'Input parameters'!E6*'Input parameters'!E13+'Input parameters'!E4*'Input parameters'!E12+'Input parameters'!E8*'Input parameters'!E14</f>
        <v>840.6492759037543</v>
      </c>
      <c r="F5">
        <f ca="1">'Input parameters'!E11+'Input parameters'!E7*'Input parameters'!E13+'Input parameters'!E5*'Input parameters'!E12+'Input parameters'!E9+'Input parameters'!E14</f>
        <v>2831.7985307218228</v>
      </c>
      <c r="G5">
        <f ca="1">F5-E5</f>
        <v>1991.1492548180686</v>
      </c>
    </row>
    <row r="6" spans="4:7" x14ac:dyDescent="0.55000000000000004">
      <c r="D6" s="9" t="s">
        <v>2</v>
      </c>
      <c r="E6">
        <f ca="1">'Input parameters'!E6*'Input parameters'!E16+'Input parameters'!E4*'Input parameters'!E15+(1-'Input parameters'!E6-'Input parameters'!E4-'Input parameters'!E8)*'Input parameters'!E17+'Input parameters'!E8*'Input parameters'!E18</f>
        <v>19.718695794912176</v>
      </c>
      <c r="F6">
        <f ca="1">'Input parameters'!E7*'Input parameters'!E16+'Input parameters'!E5*'Input parameters'!E15+(1-'Input parameters'!E7-'Input parameters'!E5-'Input parameters'!E9)*'Input parameters'!E17+'Input parameters'!E9*'Input parameters'!E18</f>
        <v>18.177504452694386</v>
      </c>
      <c r="G6">
        <f ca="1">F6-E6</f>
        <v>-1.5411913422177896</v>
      </c>
    </row>
    <row r="7" spans="4:7" x14ac:dyDescent="0.55000000000000004">
      <c r="D7" s="9" t="s">
        <v>20</v>
      </c>
      <c r="E7">
        <f ca="1">E6*willingness_to_pay-E5</f>
        <v>393533.26662233972</v>
      </c>
      <c r="F7">
        <f ca="1">F6*willingness_to_pay-F5</f>
        <v>360718.2905231659</v>
      </c>
      <c r="G7">
        <f ca="1">F7-E7</f>
        <v>-32814.976099173829</v>
      </c>
    </row>
    <row r="9" spans="4:7" x14ac:dyDescent="0.55000000000000004">
      <c r="D9" s="20" t="s">
        <v>45</v>
      </c>
      <c r="E9" s="11" t="s">
        <v>67</v>
      </c>
    </row>
    <row r="10" spans="4:7" x14ac:dyDescent="0.55000000000000004">
      <c r="D10" s="7"/>
      <c r="E10" s="7" t="s">
        <v>3</v>
      </c>
      <c r="F10" s="7" t="s">
        <v>4</v>
      </c>
      <c r="G10" s="7" t="s">
        <v>44</v>
      </c>
    </row>
    <row r="11" spans="4:7" x14ac:dyDescent="0.55000000000000004">
      <c r="D11" s="8" t="s">
        <v>1</v>
      </c>
      <c r="E11">
        <v>712.50508825895872</v>
      </c>
      <c r="F11">
        <v>2767.4423835590078</v>
      </c>
      <c r="G11">
        <f>F11-E11</f>
        <v>2054.9372953000493</v>
      </c>
    </row>
    <row r="12" spans="4:7" x14ac:dyDescent="0.55000000000000004">
      <c r="D12" s="9" t="s">
        <v>2</v>
      </c>
      <c r="E12">
        <v>18.807098669884525</v>
      </c>
      <c r="F12">
        <v>17.35407673889689</v>
      </c>
      <c r="G12">
        <f>F12-E12</f>
        <v>-1.4530219309876351</v>
      </c>
    </row>
    <row r="13" spans="4:7" x14ac:dyDescent="0.55000000000000004">
      <c r="D13" s="9" t="s">
        <v>20</v>
      </c>
      <c r="E13">
        <v>375429.4683094311</v>
      </c>
      <c r="F13">
        <v>344314.09239437856</v>
      </c>
      <c r="G13">
        <f>F13-E13</f>
        <v>-31115.375915052544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FCE4-6B11-42E2-A425-369BBDAE828B}">
  <sheetPr codeName="Sheet6"/>
  <dimension ref="D1:M1005"/>
  <sheetViews>
    <sheetView topLeftCell="C1" workbookViewId="0">
      <selection activeCell="F6" sqref="F6"/>
    </sheetView>
  </sheetViews>
  <sheetFormatPr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15625" customWidth="1"/>
    <col min="8" max="9" width="19.83984375" customWidth="1"/>
    <col min="10" max="10" width="17.83984375" customWidth="1"/>
    <col min="11" max="11" width="18.15625" customWidth="1"/>
    <col min="12" max="12" width="20.41796875" customWidth="1"/>
  </cols>
  <sheetData>
    <row r="1" spans="4:13" ht="14.7" thickBot="1" x14ac:dyDescent="0.6"/>
    <row r="2" spans="4:13" ht="14.7" thickBot="1" x14ac:dyDescent="0.6">
      <c r="F2" s="19" t="s">
        <v>65</v>
      </c>
      <c r="G2" s="18">
        <v>1000</v>
      </c>
      <c r="H2" s="11"/>
    </row>
    <row r="3" spans="4:13" ht="14.7" thickBot="1" x14ac:dyDescent="0.6">
      <c r="F3" s="21" t="s">
        <v>68</v>
      </c>
      <c r="G3" s="18">
        <v>1000</v>
      </c>
    </row>
    <row r="5" spans="4:13" x14ac:dyDescent="0.55000000000000004">
      <c r="D5" s="7" t="s">
        <v>46</v>
      </c>
      <c r="E5" s="7" t="s">
        <v>47</v>
      </c>
      <c r="F5" s="7" t="s">
        <v>48</v>
      </c>
      <c r="G5" s="7" t="s">
        <v>53</v>
      </c>
      <c r="H5" s="7" t="s">
        <v>49</v>
      </c>
      <c r="I5" s="7" t="s">
        <v>50</v>
      </c>
      <c r="J5" s="7" t="s">
        <v>54</v>
      </c>
      <c r="K5" s="7" t="s">
        <v>51</v>
      </c>
      <c r="L5" s="7" t="s">
        <v>52</v>
      </c>
      <c r="M5" s="7" t="s">
        <v>55</v>
      </c>
    </row>
    <row r="6" spans="4:13" x14ac:dyDescent="0.55000000000000004">
      <c r="D6">
        <v>1</v>
      </c>
      <c r="E6">
        <v>798.76458037495047</v>
      </c>
      <c r="F6">
        <v>18.052206706795246</v>
      </c>
      <c r="G6">
        <v>360245.36955553002</v>
      </c>
      <c r="H6">
        <v>2888.1409910839016</v>
      </c>
      <c r="I6">
        <v>16.258767981538181</v>
      </c>
      <c r="J6">
        <v>322287.21863967972</v>
      </c>
      <c r="K6">
        <v>2089.376410708951</v>
      </c>
      <c r="L6">
        <v>-1.7934387252570652</v>
      </c>
      <c r="M6">
        <v>-37958.150915850303</v>
      </c>
    </row>
    <row r="7" spans="4:13" x14ac:dyDescent="0.55000000000000004">
      <c r="D7">
        <v>2</v>
      </c>
      <c r="E7">
        <v>896.5293687738897</v>
      </c>
      <c r="F7">
        <v>18.542867240022765</v>
      </c>
      <c r="G7">
        <v>369960.8154316814</v>
      </c>
      <c r="H7">
        <v>2622.6845406953971</v>
      </c>
      <c r="I7">
        <v>17.606052664851347</v>
      </c>
      <c r="J7">
        <v>349498.36875633156</v>
      </c>
      <c r="K7">
        <v>1726.1551719215074</v>
      </c>
      <c r="L7">
        <v>-0.93681457517141808</v>
      </c>
      <c r="M7">
        <v>-20462.446675349842</v>
      </c>
    </row>
    <row r="8" spans="4:13" x14ac:dyDescent="0.55000000000000004">
      <c r="D8">
        <v>3</v>
      </c>
      <c r="E8">
        <v>659.49223721805924</v>
      </c>
      <c r="F8">
        <v>20.061915249423343</v>
      </c>
      <c r="G8">
        <v>400578.81275124877</v>
      </c>
      <c r="H8">
        <v>2754.7981874294137</v>
      </c>
      <c r="I8">
        <v>18.559415289371717</v>
      </c>
      <c r="J8">
        <v>368433.5076000049</v>
      </c>
      <c r="K8">
        <v>2095.3059502113547</v>
      </c>
      <c r="L8">
        <v>-1.502499960051626</v>
      </c>
      <c r="M8">
        <v>-32145.305151243869</v>
      </c>
    </row>
    <row r="9" spans="4:13" x14ac:dyDescent="0.55000000000000004">
      <c r="D9">
        <v>4</v>
      </c>
      <c r="E9">
        <v>618.55890809857112</v>
      </c>
      <c r="F9">
        <v>18.154023569725393</v>
      </c>
      <c r="G9">
        <v>362461.9124864093</v>
      </c>
      <c r="H9">
        <v>2919.0261439704318</v>
      </c>
      <c r="I9">
        <v>16.868084661832352</v>
      </c>
      <c r="J9">
        <v>334442.66709267662</v>
      </c>
      <c r="K9">
        <v>2300.4672358718608</v>
      </c>
      <c r="L9">
        <v>-1.2859389078930406</v>
      </c>
      <c r="M9">
        <v>-28019.245393732679</v>
      </c>
    </row>
    <row r="10" spans="4:13" x14ac:dyDescent="0.55000000000000004">
      <c r="D10">
        <v>5</v>
      </c>
      <c r="E10">
        <v>1104.0757023880835</v>
      </c>
      <c r="F10">
        <v>20.454210180299683</v>
      </c>
      <c r="G10">
        <v>407980.12790360558</v>
      </c>
      <c r="H10">
        <v>2814.1203002460993</v>
      </c>
      <c r="I10">
        <v>18.710380122035431</v>
      </c>
      <c r="J10">
        <v>371393.4821404625</v>
      </c>
      <c r="K10">
        <v>1710.0445978580158</v>
      </c>
      <c r="L10">
        <v>-1.7438300582642512</v>
      </c>
      <c r="M10">
        <v>-36586.645763143082</v>
      </c>
    </row>
    <row r="11" spans="4:13" x14ac:dyDescent="0.55000000000000004">
      <c r="D11">
        <v>6</v>
      </c>
      <c r="E11">
        <v>859.80755621638536</v>
      </c>
      <c r="F11">
        <v>19.021373002849348</v>
      </c>
      <c r="G11">
        <v>379567.65250077058</v>
      </c>
      <c r="H11">
        <v>2696.5923985472955</v>
      </c>
      <c r="I11">
        <v>17.779792712914837</v>
      </c>
      <c r="J11">
        <v>352899.26185974944</v>
      </c>
      <c r="K11">
        <v>1836.7848423309101</v>
      </c>
      <c r="L11">
        <v>-1.241580289934511</v>
      </c>
      <c r="M11">
        <v>-26668.390641021135</v>
      </c>
    </row>
    <row r="12" spans="4:13" x14ac:dyDescent="0.55000000000000004">
      <c r="D12">
        <v>7</v>
      </c>
      <c r="E12">
        <v>715.17465602071752</v>
      </c>
      <c r="F12">
        <v>19.209337087326588</v>
      </c>
      <c r="G12">
        <v>383471.56709051103</v>
      </c>
      <c r="H12">
        <v>2762.7213755452904</v>
      </c>
      <c r="I12">
        <v>16.659907497451272</v>
      </c>
      <c r="J12">
        <v>330435.42857348011</v>
      </c>
      <c r="K12">
        <v>2047.5467195245728</v>
      </c>
      <c r="L12">
        <v>-2.5494295898753165</v>
      </c>
      <c r="M12">
        <v>-53036.138517030922</v>
      </c>
    </row>
    <row r="13" spans="4:13" x14ac:dyDescent="0.55000000000000004">
      <c r="D13">
        <v>8</v>
      </c>
      <c r="E13">
        <v>656.22620800780749</v>
      </c>
      <c r="F13">
        <v>19.018689470536206</v>
      </c>
      <c r="G13">
        <v>379717.56320271629</v>
      </c>
      <c r="H13">
        <v>2888.4451122273986</v>
      </c>
      <c r="I13">
        <v>17.284440567559106</v>
      </c>
      <c r="J13">
        <v>342800.36623895471</v>
      </c>
      <c r="K13">
        <v>2232.218904219591</v>
      </c>
      <c r="L13">
        <v>-1.7342489029771002</v>
      </c>
      <c r="M13">
        <v>-36917.196963761584</v>
      </c>
    </row>
    <row r="14" spans="4:13" x14ac:dyDescent="0.55000000000000004">
      <c r="D14">
        <v>9</v>
      </c>
      <c r="E14">
        <v>602.63729463301593</v>
      </c>
      <c r="F14">
        <v>20.473689242630467</v>
      </c>
      <c r="G14">
        <v>408871.14755797631</v>
      </c>
      <c r="H14">
        <v>2792.2828944587095</v>
      </c>
      <c r="I14">
        <v>18.947172361148564</v>
      </c>
      <c r="J14">
        <v>376151.16432851256</v>
      </c>
      <c r="K14">
        <v>2189.6455998256934</v>
      </c>
      <c r="L14">
        <v>-1.5265168814819035</v>
      </c>
      <c r="M14">
        <v>-32719.983229463745</v>
      </c>
    </row>
    <row r="15" spans="4:13" x14ac:dyDescent="0.55000000000000004">
      <c r="D15">
        <v>10</v>
      </c>
      <c r="E15">
        <v>845.34136697710142</v>
      </c>
      <c r="F15">
        <v>18.202189310014504</v>
      </c>
      <c r="G15">
        <v>363198.444833313</v>
      </c>
      <c r="H15">
        <v>2689.8741206039376</v>
      </c>
      <c r="I15">
        <v>16.863014471362295</v>
      </c>
      <c r="J15">
        <v>334570.41530664195</v>
      </c>
      <c r="K15">
        <v>1844.5327536268362</v>
      </c>
      <c r="L15">
        <v>-1.3391748386522089</v>
      </c>
      <c r="M15">
        <v>-28628.029526671045</v>
      </c>
    </row>
    <row r="16" spans="4:13" x14ac:dyDescent="0.55000000000000004">
      <c r="D16">
        <v>11</v>
      </c>
      <c r="E16">
        <v>506.56216573693877</v>
      </c>
      <c r="F16">
        <v>18.981833836506716</v>
      </c>
      <c r="G16">
        <v>379130.11456439743</v>
      </c>
      <c r="H16">
        <v>2852.7157396343227</v>
      </c>
      <c r="I16">
        <v>16.776871076285598</v>
      </c>
      <c r="J16">
        <v>332684.70578607765</v>
      </c>
      <c r="K16">
        <v>2346.1535738973839</v>
      </c>
      <c r="L16">
        <v>-2.2049627602211181</v>
      </c>
      <c r="M16">
        <v>-46445.408778319776</v>
      </c>
    </row>
    <row r="17" spans="4:13" x14ac:dyDescent="0.55000000000000004">
      <c r="D17">
        <v>12</v>
      </c>
      <c r="E17">
        <v>851.58828672976847</v>
      </c>
      <c r="F17">
        <v>17.584094556967873</v>
      </c>
      <c r="G17">
        <v>350830.3028526277</v>
      </c>
      <c r="H17">
        <v>2679.5875128584439</v>
      </c>
      <c r="I17">
        <v>15.977359906766516</v>
      </c>
      <c r="J17">
        <v>316867.6106224719</v>
      </c>
      <c r="K17">
        <v>1827.9992261286754</v>
      </c>
      <c r="L17">
        <v>-1.6067346502013571</v>
      </c>
      <c r="M17">
        <v>-33962.692230155808</v>
      </c>
    </row>
    <row r="18" spans="4:13" x14ac:dyDescent="0.55000000000000004">
      <c r="D18">
        <v>13</v>
      </c>
      <c r="E18">
        <v>903.88177786109395</v>
      </c>
      <c r="F18">
        <v>21.17454379013401</v>
      </c>
      <c r="G18">
        <v>422586.99402481911</v>
      </c>
      <c r="H18">
        <v>2699.9880202796112</v>
      </c>
      <c r="I18">
        <v>20.111414807502136</v>
      </c>
      <c r="J18">
        <v>399528.30812976311</v>
      </c>
      <c r="K18">
        <v>1796.1062424185172</v>
      </c>
      <c r="L18">
        <v>-1.0631289826318735</v>
      </c>
      <c r="M18">
        <v>-23058.685895055998</v>
      </c>
    </row>
    <row r="19" spans="4:13" x14ac:dyDescent="0.55000000000000004">
      <c r="D19">
        <v>14</v>
      </c>
      <c r="E19">
        <v>1006.7390907833393</v>
      </c>
      <c r="F19">
        <v>19.421798092984439</v>
      </c>
      <c r="G19">
        <v>387429.22276890546</v>
      </c>
      <c r="H19">
        <v>2790.6813811370357</v>
      </c>
      <c r="I19">
        <v>17.496548444108928</v>
      </c>
      <c r="J19">
        <v>347140.28750104149</v>
      </c>
      <c r="K19">
        <v>1783.9422903536965</v>
      </c>
      <c r="L19">
        <v>-1.9252496488755106</v>
      </c>
      <c r="M19">
        <v>-40288.93526786397</v>
      </c>
    </row>
    <row r="20" spans="4:13" x14ac:dyDescent="0.55000000000000004">
      <c r="D20">
        <v>15</v>
      </c>
      <c r="E20">
        <v>932.59339147186733</v>
      </c>
      <c r="F20">
        <v>18.082929109131108</v>
      </c>
      <c r="G20">
        <v>360725.98879115027</v>
      </c>
      <c r="H20">
        <v>2763.0829885288504</v>
      </c>
      <c r="I20">
        <v>17.353421717156728</v>
      </c>
      <c r="J20">
        <v>344305.35135460575</v>
      </c>
      <c r="K20">
        <v>1830.489597056983</v>
      </c>
      <c r="L20">
        <v>-0.72950739197437997</v>
      </c>
      <c r="M20">
        <v>-16420.637436544523</v>
      </c>
    </row>
    <row r="21" spans="4:13" x14ac:dyDescent="0.55000000000000004">
      <c r="D21">
        <v>16</v>
      </c>
      <c r="E21">
        <v>660.01249374281576</v>
      </c>
      <c r="F21">
        <v>18.965437455706841</v>
      </c>
      <c r="G21">
        <v>378648.73662039399</v>
      </c>
      <c r="H21">
        <v>2741.3682898424772</v>
      </c>
      <c r="I21">
        <v>17.191572198657738</v>
      </c>
      <c r="J21">
        <v>341090.07568331226</v>
      </c>
      <c r="K21">
        <v>2081.3557960996613</v>
      </c>
      <c r="L21">
        <v>-1.7738652570491027</v>
      </c>
      <c r="M21">
        <v>-37558.660937081731</v>
      </c>
    </row>
    <row r="22" spans="4:13" x14ac:dyDescent="0.55000000000000004">
      <c r="D22">
        <v>17</v>
      </c>
      <c r="E22">
        <v>525.20388022457723</v>
      </c>
      <c r="F22">
        <v>20.104466620220723</v>
      </c>
      <c r="G22">
        <v>401564.12852418993</v>
      </c>
      <c r="H22">
        <v>2764.3581393603467</v>
      </c>
      <c r="I22">
        <v>18.352151851660881</v>
      </c>
      <c r="J22">
        <v>364278.67889385729</v>
      </c>
      <c r="K22">
        <v>2239.1542591357693</v>
      </c>
      <c r="L22">
        <v>-1.7523147685598417</v>
      </c>
      <c r="M22">
        <v>-37285.449630332645</v>
      </c>
    </row>
    <row r="23" spans="4:13" x14ac:dyDescent="0.55000000000000004">
      <c r="D23">
        <v>18</v>
      </c>
      <c r="E23">
        <v>501.95151496952934</v>
      </c>
      <c r="F23">
        <v>18.456239445812376</v>
      </c>
      <c r="G23">
        <v>368622.83740127797</v>
      </c>
      <c r="H23">
        <v>2634.2469391293134</v>
      </c>
      <c r="I23">
        <v>17.177974492300976</v>
      </c>
      <c r="J23">
        <v>340925.24290689023</v>
      </c>
      <c r="K23">
        <v>2132.295424159784</v>
      </c>
      <c r="L23">
        <v>-1.2782649535113997</v>
      </c>
      <c r="M23">
        <v>-27697.59449438774</v>
      </c>
    </row>
    <row r="24" spans="4:13" x14ac:dyDescent="0.55000000000000004">
      <c r="D24">
        <v>19</v>
      </c>
      <c r="E24">
        <v>837.60953415486438</v>
      </c>
      <c r="F24">
        <v>20.406541739299318</v>
      </c>
      <c r="G24">
        <v>407293.22525183146</v>
      </c>
      <c r="H24">
        <v>2846.8657365840736</v>
      </c>
      <c r="I24">
        <v>19.398123656225774</v>
      </c>
      <c r="J24">
        <v>385115.60738793144</v>
      </c>
      <c r="K24">
        <v>2009.2562024292092</v>
      </c>
      <c r="L24">
        <v>-1.0084180830735434</v>
      </c>
      <c r="M24">
        <v>-22177.617863900028</v>
      </c>
    </row>
    <row r="25" spans="4:13" x14ac:dyDescent="0.55000000000000004">
      <c r="D25">
        <v>20</v>
      </c>
      <c r="E25">
        <v>749.79862859267723</v>
      </c>
      <c r="F25">
        <v>17.308229785748338</v>
      </c>
      <c r="G25">
        <v>345414.79708637408</v>
      </c>
      <c r="H25">
        <v>2702.4949355065337</v>
      </c>
      <c r="I25">
        <v>16.470683196199484</v>
      </c>
      <c r="J25">
        <v>326711.16898848314</v>
      </c>
      <c r="K25">
        <v>1952.6963069138565</v>
      </c>
      <c r="L25">
        <v>-0.83754658954885386</v>
      </c>
      <c r="M25">
        <v>-18703.628097890934</v>
      </c>
    </row>
    <row r="26" spans="4:13" x14ac:dyDescent="0.55000000000000004">
      <c r="D26">
        <v>21</v>
      </c>
      <c r="E26">
        <v>523.49585547542506</v>
      </c>
      <c r="F26">
        <v>18.708229078246948</v>
      </c>
      <c r="G26">
        <v>373641.08570946351</v>
      </c>
      <c r="H26">
        <v>2685.0599634845071</v>
      </c>
      <c r="I26">
        <v>16.961166073371686</v>
      </c>
      <c r="J26">
        <v>336538.26150394918</v>
      </c>
      <c r="K26">
        <v>2161.5641080090818</v>
      </c>
      <c r="L26">
        <v>-1.7470630048752618</v>
      </c>
      <c r="M26">
        <v>-37102.824205514335</v>
      </c>
    </row>
    <row r="27" spans="4:13" x14ac:dyDescent="0.55000000000000004">
      <c r="D27">
        <v>22</v>
      </c>
      <c r="E27">
        <v>442.05382059627237</v>
      </c>
      <c r="F27">
        <v>17.657993741606038</v>
      </c>
      <c r="G27">
        <v>352717.82101152453</v>
      </c>
      <c r="H27">
        <v>2800.5845525916993</v>
      </c>
      <c r="I27">
        <v>16.387249551286864</v>
      </c>
      <c r="J27">
        <v>324944.40647314553</v>
      </c>
      <c r="K27">
        <v>2358.5307319954268</v>
      </c>
      <c r="L27">
        <v>-1.2707441903191743</v>
      </c>
      <c r="M27">
        <v>-27773.414538379002</v>
      </c>
    </row>
    <row r="28" spans="4:13" x14ac:dyDescent="0.55000000000000004">
      <c r="D28">
        <v>23</v>
      </c>
      <c r="E28">
        <v>701.5709570230872</v>
      </c>
      <c r="F28">
        <v>15.345294835015455</v>
      </c>
      <c r="G28">
        <v>306204.32574328606</v>
      </c>
      <c r="H28">
        <v>2665.035125155307</v>
      </c>
      <c r="I28">
        <v>14.689838348681752</v>
      </c>
      <c r="J28">
        <v>291131.73184847977</v>
      </c>
      <c r="K28">
        <v>1963.4641681322198</v>
      </c>
      <c r="L28">
        <v>-0.65545648633370313</v>
      </c>
      <c r="M28">
        <v>-15072.593894806283</v>
      </c>
    </row>
    <row r="29" spans="4:13" x14ac:dyDescent="0.55000000000000004">
      <c r="D29">
        <v>24</v>
      </c>
      <c r="E29">
        <v>704.48093785462515</v>
      </c>
      <c r="F29">
        <v>20.136476105990457</v>
      </c>
      <c r="G29">
        <v>402025.04118195456</v>
      </c>
      <c r="H29">
        <v>2692.8894804429192</v>
      </c>
      <c r="I29">
        <v>18.523598208534469</v>
      </c>
      <c r="J29">
        <v>367779.07469024649</v>
      </c>
      <c r="K29">
        <v>1988.408542588294</v>
      </c>
      <c r="L29">
        <v>-1.6128778974559879</v>
      </c>
      <c r="M29">
        <v>-34245.966491708066</v>
      </c>
    </row>
    <row r="30" spans="4:13" x14ac:dyDescent="0.55000000000000004">
      <c r="D30">
        <v>25</v>
      </c>
      <c r="E30">
        <v>653.87691207564887</v>
      </c>
      <c r="F30">
        <v>17.356178655371561</v>
      </c>
      <c r="G30">
        <v>346469.69619535556</v>
      </c>
      <c r="H30">
        <v>2829.6780754240499</v>
      </c>
      <c r="I30">
        <v>16.333614748828303</v>
      </c>
      <c r="J30">
        <v>323842.616901142</v>
      </c>
      <c r="K30">
        <v>2175.8011633484011</v>
      </c>
      <c r="L30">
        <v>-1.0225639065432581</v>
      </c>
      <c r="M30">
        <v>-22627.079294213559</v>
      </c>
    </row>
    <row r="31" spans="4:13" x14ac:dyDescent="0.55000000000000004">
      <c r="D31">
        <v>26</v>
      </c>
      <c r="E31">
        <v>765.57860835494796</v>
      </c>
      <c r="F31">
        <v>20.537312775305281</v>
      </c>
      <c r="G31">
        <v>409980.67689775064</v>
      </c>
      <c r="H31">
        <v>2690.7793878758548</v>
      </c>
      <c r="I31">
        <v>19.516560769647686</v>
      </c>
      <c r="J31">
        <v>387640.43600507785</v>
      </c>
      <c r="K31">
        <v>1925.200779520907</v>
      </c>
      <c r="L31">
        <v>-1.0207520056575952</v>
      </c>
      <c r="M31">
        <v>-22340.240892672795</v>
      </c>
    </row>
    <row r="32" spans="4:13" x14ac:dyDescent="0.55000000000000004">
      <c r="D32">
        <v>27</v>
      </c>
      <c r="E32">
        <v>829.91298274407552</v>
      </c>
      <c r="F32">
        <v>19.753692442828218</v>
      </c>
      <c r="G32">
        <v>394243.93587382033</v>
      </c>
      <c r="H32">
        <v>2798.2534993640825</v>
      </c>
      <c r="I32">
        <v>18.042914466155004</v>
      </c>
      <c r="J32">
        <v>358060.03582373599</v>
      </c>
      <c r="K32">
        <v>1968.3405166200068</v>
      </c>
      <c r="L32">
        <v>-1.7107779766732136</v>
      </c>
      <c r="M32">
        <v>-36183.900050084339</v>
      </c>
    </row>
    <row r="33" spans="4:13" x14ac:dyDescent="0.55000000000000004">
      <c r="D33">
        <v>28</v>
      </c>
      <c r="E33">
        <v>581.71261402856953</v>
      </c>
      <c r="F33">
        <v>18.799411435648924</v>
      </c>
      <c r="G33">
        <v>375406.51609894988</v>
      </c>
      <c r="H33">
        <v>2751.5894361648884</v>
      </c>
      <c r="I33">
        <v>18.179431609079611</v>
      </c>
      <c r="J33">
        <v>360837.04274542734</v>
      </c>
      <c r="K33">
        <v>2169.8768221363189</v>
      </c>
      <c r="L33">
        <v>-0.61997982656931327</v>
      </c>
      <c r="M33">
        <v>-14569.473353522539</v>
      </c>
    </row>
    <row r="34" spans="4:13" x14ac:dyDescent="0.55000000000000004">
      <c r="D34">
        <v>29</v>
      </c>
      <c r="E34">
        <v>930.06273323557161</v>
      </c>
      <c r="F34">
        <v>15.154085320192291</v>
      </c>
      <c r="G34">
        <v>302151.64367061021</v>
      </c>
      <c r="H34">
        <v>2753.691393492114</v>
      </c>
      <c r="I34">
        <v>15.148025719242993</v>
      </c>
      <c r="J34">
        <v>300206.82299136778</v>
      </c>
      <c r="K34">
        <v>1823.6286602565424</v>
      </c>
      <c r="L34">
        <v>-6.0596009492979164E-3</v>
      </c>
      <c r="M34">
        <v>-1944.8206792424317</v>
      </c>
    </row>
    <row r="35" spans="4:13" x14ac:dyDescent="0.55000000000000004">
      <c r="D35">
        <v>30</v>
      </c>
      <c r="E35">
        <v>891.09481077891724</v>
      </c>
      <c r="F35">
        <v>17.659868365683888</v>
      </c>
      <c r="G35">
        <v>352306.27250289882</v>
      </c>
      <c r="H35">
        <v>2710.9341996590329</v>
      </c>
      <c r="I35">
        <v>17.208143801651261</v>
      </c>
      <c r="J35">
        <v>341451.94183336617</v>
      </c>
      <c r="K35">
        <v>1819.8393888801156</v>
      </c>
      <c r="L35">
        <v>-0.45172456403262728</v>
      </c>
      <c r="M35">
        <v>-10854.330669532646</v>
      </c>
    </row>
    <row r="36" spans="4:13" x14ac:dyDescent="0.55000000000000004">
      <c r="D36">
        <v>31</v>
      </c>
      <c r="E36">
        <v>610.61592830210384</v>
      </c>
      <c r="F36">
        <v>15.74119506815066</v>
      </c>
      <c r="G36">
        <v>314213.28543471108</v>
      </c>
      <c r="H36">
        <v>2646.5962775696885</v>
      </c>
      <c r="I36">
        <v>15.120214029735934</v>
      </c>
      <c r="J36">
        <v>299757.68431714893</v>
      </c>
      <c r="K36">
        <v>2035.9803492675846</v>
      </c>
      <c r="L36">
        <v>-0.62098103841472607</v>
      </c>
      <c r="M36">
        <v>-14455.601117562153</v>
      </c>
    </row>
    <row r="37" spans="4:13" x14ac:dyDescent="0.55000000000000004">
      <c r="D37">
        <v>32</v>
      </c>
      <c r="E37">
        <v>653.31810657618746</v>
      </c>
      <c r="F37">
        <v>18.826904366929615</v>
      </c>
      <c r="G37">
        <v>375884.76923201611</v>
      </c>
      <c r="H37">
        <v>2806.0828551841814</v>
      </c>
      <c r="I37">
        <v>16.753749126148197</v>
      </c>
      <c r="J37">
        <v>332268.8996677798</v>
      </c>
      <c r="K37">
        <v>2152.7647486079941</v>
      </c>
      <c r="L37">
        <v>-2.0731552407814178</v>
      </c>
      <c r="M37">
        <v>-43615.869564236316</v>
      </c>
    </row>
    <row r="38" spans="4:13" x14ac:dyDescent="0.55000000000000004">
      <c r="D38">
        <v>33</v>
      </c>
      <c r="E38">
        <v>693.33465774738806</v>
      </c>
      <c r="F38">
        <v>19.967083327738603</v>
      </c>
      <c r="G38">
        <v>398648.33189702465</v>
      </c>
      <c r="H38">
        <v>2726.1042676045863</v>
      </c>
      <c r="I38">
        <v>18.136333821526989</v>
      </c>
      <c r="J38">
        <v>360000.57216293522</v>
      </c>
      <c r="K38">
        <v>2032.7696098571982</v>
      </c>
      <c r="L38">
        <v>-1.8307495062116139</v>
      </c>
      <c r="M38">
        <v>-38647.759734089428</v>
      </c>
    </row>
    <row r="39" spans="4:13" x14ac:dyDescent="0.55000000000000004">
      <c r="D39">
        <v>34</v>
      </c>
      <c r="E39">
        <v>904.24409936403651</v>
      </c>
      <c r="F39">
        <v>20.400495845378927</v>
      </c>
      <c r="G39">
        <v>407105.6728082145</v>
      </c>
      <c r="H39">
        <v>2723.5546043379572</v>
      </c>
      <c r="I39">
        <v>19.496939361682792</v>
      </c>
      <c r="J39">
        <v>387215.23262931785</v>
      </c>
      <c r="K39">
        <v>1819.3105049739206</v>
      </c>
      <c r="L39">
        <v>-0.90355648369613561</v>
      </c>
      <c r="M39">
        <v>-19890.44017889665</v>
      </c>
    </row>
    <row r="40" spans="4:13" x14ac:dyDescent="0.55000000000000004">
      <c r="D40">
        <v>35</v>
      </c>
      <c r="E40">
        <v>1098.6554981924592</v>
      </c>
      <c r="F40">
        <v>15.808916033073611</v>
      </c>
      <c r="G40">
        <v>315079.66516327974</v>
      </c>
      <c r="H40">
        <v>2828.1664904354752</v>
      </c>
      <c r="I40">
        <v>15.141621783048175</v>
      </c>
      <c r="J40">
        <v>300004.26917052799</v>
      </c>
      <c r="K40">
        <v>1729.5109922430161</v>
      </c>
      <c r="L40">
        <v>-0.66729425002543685</v>
      </c>
      <c r="M40">
        <v>-15075.395992751757</v>
      </c>
    </row>
    <row r="41" spans="4:13" x14ac:dyDescent="0.55000000000000004">
      <c r="D41">
        <v>36</v>
      </c>
      <c r="E41">
        <v>1148.0764955223146</v>
      </c>
      <c r="F41">
        <v>18.40010983827791</v>
      </c>
      <c r="G41">
        <v>366854.12027003587</v>
      </c>
      <c r="H41">
        <v>2725.4431612447434</v>
      </c>
      <c r="I41">
        <v>17.478206303832319</v>
      </c>
      <c r="J41">
        <v>346838.68291540165</v>
      </c>
      <c r="K41">
        <v>1577.3666657224287</v>
      </c>
      <c r="L41">
        <v>-0.92190353444559037</v>
      </c>
      <c r="M41">
        <v>-20015.437354634225</v>
      </c>
    </row>
    <row r="42" spans="4:13" x14ac:dyDescent="0.55000000000000004">
      <c r="D42">
        <v>37</v>
      </c>
      <c r="E42">
        <v>575.82001236965198</v>
      </c>
      <c r="F42">
        <v>19.475593385228727</v>
      </c>
      <c r="G42">
        <v>388936.04769220488</v>
      </c>
      <c r="H42">
        <v>2992.7623755985196</v>
      </c>
      <c r="I42">
        <v>17.328976769464184</v>
      </c>
      <c r="J42">
        <v>343586.77301368513</v>
      </c>
      <c r="K42">
        <v>2416.9423632288676</v>
      </c>
      <c r="L42">
        <v>-2.1466166157645432</v>
      </c>
      <c r="M42">
        <v>-45349.274678519752</v>
      </c>
    </row>
    <row r="43" spans="4:13" x14ac:dyDescent="0.55000000000000004">
      <c r="D43">
        <v>38</v>
      </c>
      <c r="E43">
        <v>658.61972949444316</v>
      </c>
      <c r="F43">
        <v>16.886608455539729</v>
      </c>
      <c r="G43">
        <v>337073.54938130017</v>
      </c>
      <c r="H43">
        <v>2686.5090200365248</v>
      </c>
      <c r="I43">
        <v>15.786188328042003</v>
      </c>
      <c r="J43">
        <v>313037.25754080352</v>
      </c>
      <c r="K43">
        <v>2027.8892905420817</v>
      </c>
      <c r="L43">
        <v>-1.1004201274977259</v>
      </c>
      <c r="M43">
        <v>-24036.291840496648</v>
      </c>
    </row>
    <row r="44" spans="4:13" x14ac:dyDescent="0.55000000000000004">
      <c r="D44">
        <v>39</v>
      </c>
      <c r="E44">
        <v>918.28826290060408</v>
      </c>
      <c r="F44">
        <v>18.973212850471732</v>
      </c>
      <c r="G44">
        <v>378545.96874653402</v>
      </c>
      <c r="H44">
        <v>2652.3447544262954</v>
      </c>
      <c r="I44">
        <v>17.783031636238512</v>
      </c>
      <c r="J44">
        <v>353008.28797034395</v>
      </c>
      <c r="K44">
        <v>1734.0564915256914</v>
      </c>
      <c r="L44">
        <v>-1.1901812142332204</v>
      </c>
      <c r="M44">
        <v>-25537.680776190071</v>
      </c>
    </row>
    <row r="45" spans="4:13" x14ac:dyDescent="0.55000000000000004">
      <c r="D45">
        <v>40</v>
      </c>
      <c r="E45">
        <v>621.68044694029004</v>
      </c>
      <c r="F45">
        <v>15.096265563450713</v>
      </c>
      <c r="G45">
        <v>301303.63082207396</v>
      </c>
      <c r="H45">
        <v>2844.9716613841365</v>
      </c>
      <c r="I45">
        <v>14.258973911399476</v>
      </c>
      <c r="J45">
        <v>282334.50656660536</v>
      </c>
      <c r="K45">
        <v>2223.2912144438465</v>
      </c>
      <c r="L45">
        <v>-0.83729165205123657</v>
      </c>
      <c r="M45">
        <v>-18969.124255468603</v>
      </c>
    </row>
    <row r="46" spans="4:13" x14ac:dyDescent="0.55000000000000004">
      <c r="D46">
        <v>41</v>
      </c>
      <c r="E46">
        <v>1159.9571348015443</v>
      </c>
      <c r="F46">
        <v>15.996394463004258</v>
      </c>
      <c r="G46">
        <v>318767.93212528358</v>
      </c>
      <c r="H46">
        <v>2783.8409531809443</v>
      </c>
      <c r="I46">
        <v>15.677747862152641</v>
      </c>
      <c r="J46">
        <v>310771.11628987192</v>
      </c>
      <c r="K46">
        <v>1623.8838183794001</v>
      </c>
      <c r="L46">
        <v>-0.31864660085161667</v>
      </c>
      <c r="M46">
        <v>-7996.8158354116604</v>
      </c>
    </row>
    <row r="47" spans="4:13" x14ac:dyDescent="0.55000000000000004">
      <c r="D47">
        <v>42</v>
      </c>
      <c r="E47">
        <v>670.80622087179836</v>
      </c>
      <c r="F47">
        <v>18.955817368995177</v>
      </c>
      <c r="G47">
        <v>378445.54115903174</v>
      </c>
      <c r="H47">
        <v>2840.5777784503262</v>
      </c>
      <c r="I47">
        <v>16.740166351240983</v>
      </c>
      <c r="J47">
        <v>331962.74924636935</v>
      </c>
      <c r="K47">
        <v>2169.7715575785278</v>
      </c>
      <c r="L47">
        <v>-2.2156510177541939</v>
      </c>
      <c r="M47">
        <v>-46482.791912662389</v>
      </c>
    </row>
    <row r="48" spans="4:13" x14ac:dyDescent="0.55000000000000004">
      <c r="D48">
        <v>43</v>
      </c>
      <c r="E48">
        <v>826.61721095092628</v>
      </c>
      <c r="F48">
        <v>15.422982953365818</v>
      </c>
      <c r="G48">
        <v>307633.04185636539</v>
      </c>
      <c r="H48">
        <v>2827.9972579339192</v>
      </c>
      <c r="I48">
        <v>15.074160272274669</v>
      </c>
      <c r="J48">
        <v>298655.2081875595</v>
      </c>
      <c r="K48">
        <v>2001.380046982993</v>
      </c>
      <c r="L48">
        <v>-0.34882268109114811</v>
      </c>
      <c r="M48">
        <v>-8977.8336688058916</v>
      </c>
    </row>
    <row r="49" spans="4:13" x14ac:dyDescent="0.55000000000000004">
      <c r="D49">
        <v>44</v>
      </c>
      <c r="E49">
        <v>686.49883445600949</v>
      </c>
      <c r="F49">
        <v>18.064756676115422</v>
      </c>
      <c r="G49">
        <v>360608.63468785241</v>
      </c>
      <c r="H49">
        <v>3017.4024202812343</v>
      </c>
      <c r="I49">
        <v>15.00118713071806</v>
      </c>
      <c r="J49">
        <v>297006.34019407997</v>
      </c>
      <c r="K49">
        <v>2330.9035858252246</v>
      </c>
      <c r="L49">
        <v>-3.0635695453973621</v>
      </c>
      <c r="M49">
        <v>-63602.294493772439</v>
      </c>
    </row>
    <row r="50" spans="4:13" x14ac:dyDescent="0.55000000000000004">
      <c r="D50">
        <v>45</v>
      </c>
      <c r="E50">
        <v>828.91328887071938</v>
      </c>
      <c r="F50">
        <v>20.715104780838757</v>
      </c>
      <c r="G50">
        <v>413473.18232790445</v>
      </c>
      <c r="H50">
        <v>2732.7268586718014</v>
      </c>
      <c r="I50">
        <v>18.544256486615467</v>
      </c>
      <c r="J50">
        <v>368152.4028736375</v>
      </c>
      <c r="K50">
        <v>1903.8135698010819</v>
      </c>
      <c r="L50">
        <v>-2.1708482942232905</v>
      </c>
      <c r="M50">
        <v>-45320.779454266944</v>
      </c>
    </row>
    <row r="51" spans="4:13" x14ac:dyDescent="0.55000000000000004">
      <c r="D51">
        <v>46</v>
      </c>
      <c r="E51">
        <v>737.29954411775009</v>
      </c>
      <c r="F51">
        <v>20.191504533741004</v>
      </c>
      <c r="G51">
        <v>403092.7911307023</v>
      </c>
      <c r="H51">
        <v>2705.1287856053195</v>
      </c>
      <c r="I51">
        <v>18.821032467096494</v>
      </c>
      <c r="J51">
        <v>373715.52055632457</v>
      </c>
      <c r="K51">
        <v>1967.8292414875696</v>
      </c>
      <c r="L51">
        <v>-1.3704720666445098</v>
      </c>
      <c r="M51">
        <v>-29377.270574377733</v>
      </c>
    </row>
    <row r="52" spans="4:13" x14ac:dyDescent="0.55000000000000004">
      <c r="D52">
        <v>47</v>
      </c>
      <c r="E52">
        <v>540.17115083043291</v>
      </c>
      <c r="F52">
        <v>16.157753860331788</v>
      </c>
      <c r="G52">
        <v>322614.90605580527</v>
      </c>
      <c r="H52">
        <v>2716.3492242228958</v>
      </c>
      <c r="I52">
        <v>15.381233723360527</v>
      </c>
      <c r="J52">
        <v>304908.32524298766</v>
      </c>
      <c r="K52">
        <v>2176.1780733924629</v>
      </c>
      <c r="L52">
        <v>-0.77652013697126065</v>
      </c>
      <c r="M52">
        <v>-17706.580812817614</v>
      </c>
    </row>
    <row r="53" spans="4:13" x14ac:dyDescent="0.55000000000000004">
      <c r="D53">
        <v>48</v>
      </c>
      <c r="E53">
        <v>789.02761048372486</v>
      </c>
      <c r="F53">
        <v>20.06524506904228</v>
      </c>
      <c r="G53">
        <v>400515.87377036188</v>
      </c>
      <c r="H53">
        <v>2839.6076103206251</v>
      </c>
      <c r="I53">
        <v>17.315538908582454</v>
      </c>
      <c r="J53">
        <v>343471.17056132847</v>
      </c>
      <c r="K53">
        <v>2050.5799998369002</v>
      </c>
      <c r="L53">
        <v>-2.7497061604598265</v>
      </c>
      <c r="M53">
        <v>-57044.703209033411</v>
      </c>
    </row>
    <row r="54" spans="4:13" x14ac:dyDescent="0.55000000000000004">
      <c r="D54">
        <v>49</v>
      </c>
      <c r="E54">
        <v>516.21330435495395</v>
      </c>
      <c r="F54">
        <v>19.35513911837004</v>
      </c>
      <c r="G54">
        <v>386586.5690630459</v>
      </c>
      <c r="H54">
        <v>3050.9524820445786</v>
      </c>
      <c r="I54">
        <v>16.24040464636504</v>
      </c>
      <c r="J54">
        <v>321757.1404452562</v>
      </c>
      <c r="K54">
        <v>2534.7391776896247</v>
      </c>
      <c r="L54">
        <v>-3.1147344720050008</v>
      </c>
      <c r="M54">
        <v>-64829.428617789701</v>
      </c>
    </row>
    <row r="55" spans="4:13" x14ac:dyDescent="0.55000000000000004">
      <c r="D55">
        <v>50</v>
      </c>
      <c r="E55">
        <v>892.36856136765493</v>
      </c>
      <c r="F55">
        <v>21.365333378412416</v>
      </c>
      <c r="G55">
        <v>426414.29900688061</v>
      </c>
      <c r="H55">
        <v>2634.9019884512618</v>
      </c>
      <c r="I55">
        <v>20.869044966524449</v>
      </c>
      <c r="J55">
        <v>414745.99734203774</v>
      </c>
      <c r="K55">
        <v>1742.533427083607</v>
      </c>
      <c r="L55">
        <v>-0.49628841188796713</v>
      </c>
      <c r="M55">
        <v>-11668.301664842875</v>
      </c>
    </row>
    <row r="56" spans="4:13" x14ac:dyDescent="0.55000000000000004">
      <c r="D56">
        <v>51</v>
      </c>
      <c r="E56">
        <v>911.7404813193765</v>
      </c>
      <c r="F56">
        <v>19.034616529002633</v>
      </c>
      <c r="G56">
        <v>379780.59009873332</v>
      </c>
      <c r="H56">
        <v>2749.8602894295068</v>
      </c>
      <c r="I56">
        <v>18.185808067021085</v>
      </c>
      <c r="J56">
        <v>360966.30105099222</v>
      </c>
      <c r="K56">
        <v>1838.1198081101302</v>
      </c>
      <c r="L56">
        <v>-0.84880846198154813</v>
      </c>
      <c r="M56">
        <v>-18814.289047741098</v>
      </c>
    </row>
    <row r="57" spans="4:13" x14ac:dyDescent="0.55000000000000004">
      <c r="D57">
        <v>52</v>
      </c>
      <c r="E57">
        <v>461.46388391357203</v>
      </c>
      <c r="F57">
        <v>20.862237345571611</v>
      </c>
      <c r="G57">
        <v>416783.28302751866</v>
      </c>
      <c r="H57">
        <v>2679.036354790886</v>
      </c>
      <c r="I57">
        <v>19.624022416020253</v>
      </c>
      <c r="J57">
        <v>389801.41196561413</v>
      </c>
      <c r="K57">
        <v>2217.5724708773141</v>
      </c>
      <c r="L57">
        <v>-1.2382149295513578</v>
      </c>
      <c r="M57">
        <v>-26981.871061904531</v>
      </c>
    </row>
    <row r="58" spans="4:13" x14ac:dyDescent="0.55000000000000004">
      <c r="D58">
        <v>53</v>
      </c>
      <c r="E58">
        <v>799.46182971042367</v>
      </c>
      <c r="F58">
        <v>18.299275741566326</v>
      </c>
      <c r="G58">
        <v>365186.05300161615</v>
      </c>
      <c r="H58">
        <v>2871.3379808571535</v>
      </c>
      <c r="I58">
        <v>17.125892106902054</v>
      </c>
      <c r="J58">
        <v>339646.50415718392</v>
      </c>
      <c r="K58">
        <v>2071.8761511467301</v>
      </c>
      <c r="L58">
        <v>-1.1733836346642725</v>
      </c>
      <c r="M58">
        <v>-25539.548844432225</v>
      </c>
    </row>
    <row r="59" spans="4:13" x14ac:dyDescent="0.55000000000000004">
      <c r="D59">
        <v>54</v>
      </c>
      <c r="E59">
        <v>788.96968143159631</v>
      </c>
      <c r="F59">
        <v>21.445906714596497</v>
      </c>
      <c r="G59">
        <v>428129.16461049835</v>
      </c>
      <c r="H59">
        <v>2895.3510507589126</v>
      </c>
      <c r="I59">
        <v>19.453589508306166</v>
      </c>
      <c r="J59">
        <v>386176.4391153644</v>
      </c>
      <c r="K59">
        <v>2106.3813693273164</v>
      </c>
      <c r="L59">
        <v>-1.9923172062903305</v>
      </c>
      <c r="M59">
        <v>-41952.725495133956</v>
      </c>
    </row>
    <row r="60" spans="4:13" x14ac:dyDescent="0.55000000000000004">
      <c r="D60">
        <v>55</v>
      </c>
      <c r="E60">
        <v>672.67984407275708</v>
      </c>
      <c r="F60">
        <v>22.184154590357199</v>
      </c>
      <c r="G60">
        <v>443010.41196307127</v>
      </c>
      <c r="H60">
        <v>2798.4222090363364</v>
      </c>
      <c r="I60">
        <v>19.420088271827378</v>
      </c>
      <c r="J60">
        <v>385603.34322751121</v>
      </c>
      <c r="K60">
        <v>2125.7423649635793</v>
      </c>
      <c r="L60">
        <v>-2.7640663185298209</v>
      </c>
      <c r="M60">
        <v>-57407.068735560053</v>
      </c>
    </row>
    <row r="61" spans="4:13" x14ac:dyDescent="0.55000000000000004">
      <c r="D61">
        <v>56</v>
      </c>
      <c r="E61">
        <v>588.10483722112417</v>
      </c>
      <c r="F61">
        <v>18.895171296307513</v>
      </c>
      <c r="G61">
        <v>377315.32108892914</v>
      </c>
      <c r="H61">
        <v>2683.0143694882313</v>
      </c>
      <c r="I61">
        <v>17.383875284973453</v>
      </c>
      <c r="J61">
        <v>344994.49132998084</v>
      </c>
      <c r="K61">
        <v>2094.9095322671074</v>
      </c>
      <c r="L61">
        <v>-1.5112960113340606</v>
      </c>
      <c r="M61">
        <v>-32320.829758948297</v>
      </c>
    </row>
    <row r="62" spans="4:13" x14ac:dyDescent="0.55000000000000004">
      <c r="D62">
        <v>57</v>
      </c>
      <c r="E62">
        <v>480.73208272812053</v>
      </c>
      <c r="F62">
        <v>16.676182859680413</v>
      </c>
      <c r="G62">
        <v>333042.92511088011</v>
      </c>
      <c r="H62">
        <v>2820.8692140456501</v>
      </c>
      <c r="I62">
        <v>15.468769568424515</v>
      </c>
      <c r="J62">
        <v>306554.52215444465</v>
      </c>
      <c r="K62">
        <v>2340.1371313175296</v>
      </c>
      <c r="L62">
        <v>-1.2074132912558984</v>
      </c>
      <c r="M62">
        <v>-26488.402956435457</v>
      </c>
    </row>
    <row r="63" spans="4:13" x14ac:dyDescent="0.55000000000000004">
      <c r="D63">
        <v>58</v>
      </c>
      <c r="E63">
        <v>474.77303191675986</v>
      </c>
      <c r="F63">
        <v>19.617382635590825</v>
      </c>
      <c r="G63">
        <v>391872.87967989972</v>
      </c>
      <c r="H63">
        <v>2676.7377934051738</v>
      </c>
      <c r="I63">
        <v>17.546786399326752</v>
      </c>
      <c r="J63">
        <v>348258.99019312987</v>
      </c>
      <c r="K63">
        <v>2201.9647614884138</v>
      </c>
      <c r="L63">
        <v>-2.0705962362640733</v>
      </c>
      <c r="M63">
        <v>-43613.889486769855</v>
      </c>
    </row>
    <row r="64" spans="4:13" x14ac:dyDescent="0.55000000000000004">
      <c r="D64">
        <v>59</v>
      </c>
      <c r="E64">
        <v>484.62197339548766</v>
      </c>
      <c r="F64">
        <v>16.12825868080467</v>
      </c>
      <c r="G64">
        <v>322080.55164269794</v>
      </c>
      <c r="H64">
        <v>2672.8562999001451</v>
      </c>
      <c r="I64">
        <v>15.151138597538992</v>
      </c>
      <c r="J64">
        <v>300349.91565087967</v>
      </c>
      <c r="K64">
        <v>2188.2343265046575</v>
      </c>
      <c r="L64">
        <v>-0.97712008326567812</v>
      </c>
      <c r="M64">
        <v>-21730.635991818272</v>
      </c>
    </row>
    <row r="65" spans="4:13" x14ac:dyDescent="0.55000000000000004">
      <c r="D65">
        <v>60</v>
      </c>
      <c r="E65">
        <v>834.16412319931908</v>
      </c>
      <c r="F65">
        <v>20.200111178674828</v>
      </c>
      <c r="G65">
        <v>403168.05945029727</v>
      </c>
      <c r="H65">
        <v>2839.1687127077303</v>
      </c>
      <c r="I65">
        <v>18.472542223462543</v>
      </c>
      <c r="J65">
        <v>366611.67575654318</v>
      </c>
      <c r="K65">
        <v>2005.0045895084113</v>
      </c>
      <c r="L65">
        <v>-1.7275689552122842</v>
      </c>
      <c r="M65">
        <v>-36556.383693754091</v>
      </c>
    </row>
    <row r="66" spans="4:13" x14ac:dyDescent="0.55000000000000004">
      <c r="D66">
        <v>61</v>
      </c>
      <c r="E66">
        <v>750.55468917732424</v>
      </c>
      <c r="F66">
        <v>19.810476954492735</v>
      </c>
      <c r="G66">
        <v>395458.98440067738</v>
      </c>
      <c r="H66">
        <v>2735.7409277730826</v>
      </c>
      <c r="I66">
        <v>16.894083300304764</v>
      </c>
      <c r="J66">
        <v>335145.92507832224</v>
      </c>
      <c r="K66">
        <v>1985.1862385957584</v>
      </c>
      <c r="L66">
        <v>-2.9163936541879707</v>
      </c>
      <c r="M66">
        <v>-60313.05932235514</v>
      </c>
    </row>
    <row r="67" spans="4:13" x14ac:dyDescent="0.55000000000000004">
      <c r="D67">
        <v>62</v>
      </c>
      <c r="E67">
        <v>1051.7997700347246</v>
      </c>
      <c r="F67">
        <v>18.682221908883008</v>
      </c>
      <c r="G67">
        <v>372592.63840762543</v>
      </c>
      <c r="H67">
        <v>2727.2318314731019</v>
      </c>
      <c r="I67">
        <v>17.880192393239685</v>
      </c>
      <c r="J67">
        <v>354876.61603332061</v>
      </c>
      <c r="K67">
        <v>1675.4320614383773</v>
      </c>
      <c r="L67">
        <v>-0.80202951564332281</v>
      </c>
      <c r="M67">
        <v>-17716.022374304826</v>
      </c>
    </row>
    <row r="68" spans="4:13" x14ac:dyDescent="0.55000000000000004">
      <c r="D68">
        <v>63</v>
      </c>
      <c r="E68">
        <v>702.05747915957045</v>
      </c>
      <c r="F68">
        <v>17.221158551007491</v>
      </c>
      <c r="G68">
        <v>343721.11354099028</v>
      </c>
      <c r="H68">
        <v>2726.3065577173484</v>
      </c>
      <c r="I68">
        <v>16.207218357910868</v>
      </c>
      <c r="J68">
        <v>321418.06060050003</v>
      </c>
      <c r="K68">
        <v>2024.2490785577779</v>
      </c>
      <c r="L68">
        <v>-1.013940193096623</v>
      </c>
      <c r="M68">
        <v>-22303.052940490248</v>
      </c>
    </row>
    <row r="69" spans="4:13" x14ac:dyDescent="0.55000000000000004">
      <c r="D69">
        <v>64</v>
      </c>
      <c r="E69">
        <v>659.73056787761095</v>
      </c>
      <c r="F69">
        <v>20.397434876998329</v>
      </c>
      <c r="G69">
        <v>407288.96697208897</v>
      </c>
      <c r="H69">
        <v>2830.7850162356262</v>
      </c>
      <c r="I69">
        <v>18.16919651644125</v>
      </c>
      <c r="J69">
        <v>360553.14531258942</v>
      </c>
      <c r="K69">
        <v>2171.0544483580152</v>
      </c>
      <c r="L69">
        <v>-2.2282383605570786</v>
      </c>
      <c r="M69">
        <v>-46735.821659499547</v>
      </c>
    </row>
    <row r="70" spans="4:13" x14ac:dyDescent="0.55000000000000004">
      <c r="D70">
        <v>65</v>
      </c>
      <c r="E70">
        <v>695.45332007010961</v>
      </c>
      <c r="F70">
        <v>19.259744858553354</v>
      </c>
      <c r="G70">
        <v>384499.44385099696</v>
      </c>
      <c r="H70">
        <v>2725.3659836818215</v>
      </c>
      <c r="I70">
        <v>17.601465107638226</v>
      </c>
      <c r="J70">
        <v>349303.93616908271</v>
      </c>
      <c r="K70">
        <v>2029.9126636117119</v>
      </c>
      <c r="L70">
        <v>-1.6582797509151277</v>
      </c>
      <c r="M70">
        <v>-35195.507681914256</v>
      </c>
    </row>
    <row r="71" spans="4:13" x14ac:dyDescent="0.55000000000000004">
      <c r="D71">
        <v>66</v>
      </c>
      <c r="E71">
        <v>656.766491951783</v>
      </c>
      <c r="F71">
        <v>18.558335312706063</v>
      </c>
      <c r="G71">
        <v>370509.9397621695</v>
      </c>
      <c r="H71">
        <v>2688.0044928315101</v>
      </c>
      <c r="I71">
        <v>17.293086266866073</v>
      </c>
      <c r="J71">
        <v>343173.72084448993</v>
      </c>
      <c r="K71">
        <v>2031.2380008797272</v>
      </c>
      <c r="L71">
        <v>-1.2652490458399903</v>
      </c>
      <c r="M71">
        <v>-27336.218917679565</v>
      </c>
    </row>
    <row r="72" spans="4:13" x14ac:dyDescent="0.55000000000000004">
      <c r="D72">
        <v>67</v>
      </c>
      <c r="E72">
        <v>851.04576197516735</v>
      </c>
      <c r="F72">
        <v>19.188591100379981</v>
      </c>
      <c r="G72">
        <v>382920.77624562447</v>
      </c>
      <c r="H72">
        <v>2671.5631449396219</v>
      </c>
      <c r="I72">
        <v>17.621518032803824</v>
      </c>
      <c r="J72">
        <v>349758.79751113686</v>
      </c>
      <c r="K72">
        <v>1820.5173829644546</v>
      </c>
      <c r="L72">
        <v>-1.5670730675761568</v>
      </c>
      <c r="M72">
        <v>-33161.978734487609</v>
      </c>
    </row>
    <row r="73" spans="4:13" x14ac:dyDescent="0.55000000000000004">
      <c r="D73">
        <v>68</v>
      </c>
      <c r="E73">
        <v>714.22356283341344</v>
      </c>
      <c r="F73">
        <v>19.85719782646056</v>
      </c>
      <c r="G73">
        <v>396429.73296637781</v>
      </c>
      <c r="H73">
        <v>2707.8995600853959</v>
      </c>
      <c r="I73">
        <v>18.190393040677396</v>
      </c>
      <c r="J73">
        <v>361099.96125346253</v>
      </c>
      <c r="K73">
        <v>1993.6759972519826</v>
      </c>
      <c r="L73">
        <v>-1.6668047857831638</v>
      </c>
      <c r="M73">
        <v>-35329.771712915273</v>
      </c>
    </row>
    <row r="74" spans="4:13" x14ac:dyDescent="0.55000000000000004">
      <c r="D74">
        <v>69</v>
      </c>
      <c r="E74">
        <v>811.38459668035421</v>
      </c>
      <c r="F74">
        <v>21.323731821625657</v>
      </c>
      <c r="G74">
        <v>425663.25183583278</v>
      </c>
      <c r="H74">
        <v>2613.6510722832477</v>
      </c>
      <c r="I74">
        <v>21.214764584053761</v>
      </c>
      <c r="J74">
        <v>421681.64060879196</v>
      </c>
      <c r="K74">
        <v>1802.2664756028935</v>
      </c>
      <c r="L74">
        <v>-0.10896723757189619</v>
      </c>
      <c r="M74">
        <v>-3981.6112270408194</v>
      </c>
    </row>
    <row r="75" spans="4:13" x14ac:dyDescent="0.55000000000000004">
      <c r="D75">
        <v>70</v>
      </c>
      <c r="E75">
        <v>645.38921357404411</v>
      </c>
      <c r="F75">
        <v>18.133656801725483</v>
      </c>
      <c r="G75">
        <v>362027.74682093557</v>
      </c>
      <c r="H75">
        <v>2793.6061547265781</v>
      </c>
      <c r="I75">
        <v>16.633244922912912</v>
      </c>
      <c r="J75">
        <v>329871.29230353166</v>
      </c>
      <c r="K75">
        <v>2148.2169411525338</v>
      </c>
      <c r="L75">
        <v>-1.5004118788125709</v>
      </c>
      <c r="M75">
        <v>-32156.454517403909</v>
      </c>
    </row>
    <row r="76" spans="4:13" x14ac:dyDescent="0.55000000000000004">
      <c r="D76">
        <v>71</v>
      </c>
      <c r="E76">
        <v>805.33344587389581</v>
      </c>
      <c r="F76">
        <v>18.214477546062543</v>
      </c>
      <c r="G76">
        <v>363484.21747537702</v>
      </c>
      <c r="H76">
        <v>2640.0202517119078</v>
      </c>
      <c r="I76">
        <v>17.452571681969356</v>
      </c>
      <c r="J76">
        <v>346411.41338767525</v>
      </c>
      <c r="K76">
        <v>1834.6868058380119</v>
      </c>
      <c r="L76">
        <v>-0.76190586409318684</v>
      </c>
      <c r="M76">
        <v>-17072.804087701777</v>
      </c>
    </row>
    <row r="77" spans="4:13" x14ac:dyDescent="0.55000000000000004">
      <c r="D77">
        <v>72</v>
      </c>
      <c r="E77">
        <v>571.4845822070472</v>
      </c>
      <c r="F77">
        <v>18.310236442148323</v>
      </c>
      <c r="G77">
        <v>365633.24426075938</v>
      </c>
      <c r="H77">
        <v>2676.2573586459412</v>
      </c>
      <c r="I77">
        <v>16.543317544544884</v>
      </c>
      <c r="J77">
        <v>328190.09353225172</v>
      </c>
      <c r="K77">
        <v>2104.7727764388937</v>
      </c>
      <c r="L77">
        <v>-1.7669188976034391</v>
      </c>
      <c r="M77">
        <v>-37443.150728507666</v>
      </c>
    </row>
    <row r="78" spans="4:13" x14ac:dyDescent="0.55000000000000004">
      <c r="D78">
        <v>73</v>
      </c>
      <c r="E78">
        <v>957.37933719327441</v>
      </c>
      <c r="F78">
        <v>15.401836825579462</v>
      </c>
      <c r="G78">
        <v>307079.35717439599</v>
      </c>
      <c r="H78">
        <v>2884.4317000097662</v>
      </c>
      <c r="I78">
        <v>14.019671581663095</v>
      </c>
      <c r="J78">
        <v>277508.99993325211</v>
      </c>
      <c r="K78">
        <v>1927.052362816492</v>
      </c>
      <c r="L78">
        <v>-1.3821652439163667</v>
      </c>
      <c r="M78">
        <v>-29570.35724114388</v>
      </c>
    </row>
    <row r="79" spans="4:13" x14ac:dyDescent="0.55000000000000004">
      <c r="D79">
        <v>74</v>
      </c>
      <c r="E79">
        <v>771.28987814708341</v>
      </c>
      <c r="F79">
        <v>19.725409472898562</v>
      </c>
      <c r="G79">
        <v>393736.89957982418</v>
      </c>
      <c r="H79">
        <v>2771.8996720589771</v>
      </c>
      <c r="I79">
        <v>17.991482343022877</v>
      </c>
      <c r="J79">
        <v>357057.74718839856</v>
      </c>
      <c r="K79">
        <v>2000.6097939118936</v>
      </c>
      <c r="L79">
        <v>-1.7339271298756849</v>
      </c>
      <c r="M79">
        <v>-36679.152391425625</v>
      </c>
    </row>
    <row r="80" spans="4:13" x14ac:dyDescent="0.55000000000000004">
      <c r="D80">
        <v>75</v>
      </c>
      <c r="E80">
        <v>977.1990941653255</v>
      </c>
      <c r="F80">
        <v>19.456933276926982</v>
      </c>
      <c r="G80">
        <v>388161.46644437429</v>
      </c>
      <c r="H80">
        <v>2814.5207153131978</v>
      </c>
      <c r="I80">
        <v>17.748653020588158</v>
      </c>
      <c r="J80">
        <v>352158.53969644994</v>
      </c>
      <c r="K80">
        <v>1837.3216211478723</v>
      </c>
      <c r="L80">
        <v>-1.7082802563388242</v>
      </c>
      <c r="M80">
        <v>-36002.926747924357</v>
      </c>
    </row>
    <row r="81" spans="4:13" x14ac:dyDescent="0.55000000000000004">
      <c r="D81">
        <v>76</v>
      </c>
      <c r="E81">
        <v>942.33045029111008</v>
      </c>
      <c r="F81">
        <v>18.735175666151036</v>
      </c>
      <c r="G81">
        <v>373761.18287272961</v>
      </c>
      <c r="H81">
        <v>2752.3506360650181</v>
      </c>
      <c r="I81">
        <v>17.2756481775833</v>
      </c>
      <c r="J81">
        <v>342760.612915601</v>
      </c>
      <c r="K81">
        <v>1810.020185773908</v>
      </c>
      <c r="L81">
        <v>-1.459527488567737</v>
      </c>
      <c r="M81">
        <v>-31000.56995712861</v>
      </c>
    </row>
    <row r="82" spans="4:13" x14ac:dyDescent="0.55000000000000004">
      <c r="D82">
        <v>77</v>
      </c>
      <c r="E82">
        <v>740.94417730442512</v>
      </c>
      <c r="F82">
        <v>18.645519023343709</v>
      </c>
      <c r="G82">
        <v>372169.43628956971</v>
      </c>
      <c r="H82">
        <v>2894.515301552251</v>
      </c>
      <c r="I82">
        <v>16.668061636503939</v>
      </c>
      <c r="J82">
        <v>330466.71742852655</v>
      </c>
      <c r="K82">
        <v>2153.571124247826</v>
      </c>
      <c r="L82">
        <v>-1.9774573868397702</v>
      </c>
      <c r="M82">
        <v>-41702.718861043162</v>
      </c>
    </row>
    <row r="83" spans="4:13" x14ac:dyDescent="0.55000000000000004">
      <c r="D83">
        <v>78</v>
      </c>
      <c r="E83">
        <v>1048.1873440942422</v>
      </c>
      <c r="F83">
        <v>15.466066550604531</v>
      </c>
      <c r="G83">
        <v>308273.1436679964</v>
      </c>
      <c r="H83">
        <v>2642.8711871291393</v>
      </c>
      <c r="I83">
        <v>14.384120838557235</v>
      </c>
      <c r="J83">
        <v>285039.54558401561</v>
      </c>
      <c r="K83">
        <v>1594.6838430348971</v>
      </c>
      <c r="L83">
        <v>-1.0819457120472951</v>
      </c>
      <c r="M83">
        <v>-23233.598083980789</v>
      </c>
    </row>
    <row r="84" spans="4:13" x14ac:dyDescent="0.55000000000000004">
      <c r="D84">
        <v>79</v>
      </c>
      <c r="E84">
        <v>414.60248079287118</v>
      </c>
      <c r="F84">
        <v>20.215436322395085</v>
      </c>
      <c r="G84">
        <v>403894.12396710884</v>
      </c>
      <c r="H84">
        <v>2634.5032422286904</v>
      </c>
      <c r="I84">
        <v>18.286142448793793</v>
      </c>
      <c r="J84">
        <v>363088.34573364718</v>
      </c>
      <c r="K84">
        <v>2219.9007614358193</v>
      </c>
      <c r="L84">
        <v>-1.9292938736012921</v>
      </c>
      <c r="M84">
        <v>-40805.778233461664</v>
      </c>
    </row>
    <row r="85" spans="4:13" x14ac:dyDescent="0.55000000000000004">
      <c r="D85">
        <v>80</v>
      </c>
      <c r="E85">
        <v>623.93662656755316</v>
      </c>
      <c r="F85">
        <v>19.917278984605449</v>
      </c>
      <c r="G85">
        <v>397721.6430655414</v>
      </c>
      <c r="H85">
        <v>2747.591549122064</v>
      </c>
      <c r="I85">
        <v>18.721927475539022</v>
      </c>
      <c r="J85">
        <v>371690.95796165837</v>
      </c>
      <c r="K85">
        <v>2123.6549225545109</v>
      </c>
      <c r="L85">
        <v>-1.1953515090664268</v>
      </c>
      <c r="M85">
        <v>-26030.685103883035</v>
      </c>
    </row>
    <row r="86" spans="4:13" x14ac:dyDescent="0.55000000000000004">
      <c r="D86">
        <v>81</v>
      </c>
      <c r="E86">
        <v>603.3167510736381</v>
      </c>
      <c r="F86">
        <v>19.934268997749051</v>
      </c>
      <c r="G86">
        <v>398082.0632039074</v>
      </c>
      <c r="H86">
        <v>2780.729861056785</v>
      </c>
      <c r="I86">
        <v>18.264396900554367</v>
      </c>
      <c r="J86">
        <v>362507.20815003058</v>
      </c>
      <c r="K86">
        <v>2177.413109983147</v>
      </c>
      <c r="L86">
        <v>-1.6698720971946841</v>
      </c>
      <c r="M86">
        <v>-35574.855053876818</v>
      </c>
    </row>
    <row r="87" spans="4:13" x14ac:dyDescent="0.55000000000000004">
      <c r="D87">
        <v>82</v>
      </c>
      <c r="E87">
        <v>810.90847623599848</v>
      </c>
      <c r="F87">
        <v>18.659517941619445</v>
      </c>
      <c r="G87">
        <v>372379.4503561529</v>
      </c>
      <c r="H87">
        <v>2811.9863469481716</v>
      </c>
      <c r="I87">
        <v>17.617838771556436</v>
      </c>
      <c r="J87">
        <v>349544.78908418049</v>
      </c>
      <c r="K87">
        <v>2001.0778707121731</v>
      </c>
      <c r="L87">
        <v>-1.0416791700630093</v>
      </c>
      <c r="M87">
        <v>-22834.661271972407</v>
      </c>
    </row>
    <row r="88" spans="4:13" x14ac:dyDescent="0.55000000000000004">
      <c r="D88">
        <v>83</v>
      </c>
      <c r="E88">
        <v>486.48642153209073</v>
      </c>
      <c r="F88">
        <v>16.434021531386946</v>
      </c>
      <c r="G88">
        <v>328193.94420620683</v>
      </c>
      <c r="H88">
        <v>2708.0953832190226</v>
      </c>
      <c r="I88">
        <v>15.787802733615665</v>
      </c>
      <c r="J88">
        <v>313047.95928909432</v>
      </c>
      <c r="K88">
        <v>2221.6089616869317</v>
      </c>
      <c r="L88">
        <v>-0.64621879777128122</v>
      </c>
      <c r="M88">
        <v>-15145.98491711251</v>
      </c>
    </row>
    <row r="89" spans="4:13" x14ac:dyDescent="0.55000000000000004">
      <c r="D89">
        <v>84</v>
      </c>
      <c r="E89">
        <v>579.85505878449476</v>
      </c>
      <c r="F89">
        <v>21.155946498781855</v>
      </c>
      <c r="G89">
        <v>422539.07491685264</v>
      </c>
      <c r="H89">
        <v>2945.9969126643136</v>
      </c>
      <c r="I89">
        <v>18.690169347040758</v>
      </c>
      <c r="J89">
        <v>370857.39002815081</v>
      </c>
      <c r="K89">
        <v>2366.1418538798189</v>
      </c>
      <c r="L89">
        <v>-2.4657771517410971</v>
      </c>
      <c r="M89">
        <v>-51681.684888701828</v>
      </c>
    </row>
    <row r="90" spans="4:13" x14ac:dyDescent="0.55000000000000004">
      <c r="D90">
        <v>85</v>
      </c>
      <c r="E90">
        <v>493.51489303869442</v>
      </c>
      <c r="F90">
        <v>17.570342924189983</v>
      </c>
      <c r="G90">
        <v>350913.34359076095</v>
      </c>
      <c r="H90">
        <v>2758.2007495699731</v>
      </c>
      <c r="I90">
        <v>16.261769392728876</v>
      </c>
      <c r="J90">
        <v>322477.18710500753</v>
      </c>
      <c r="K90">
        <v>2264.6858565312787</v>
      </c>
      <c r="L90">
        <v>-1.3085735314611071</v>
      </c>
      <c r="M90">
        <v>-28436.156485753425</v>
      </c>
    </row>
    <row r="91" spans="4:13" x14ac:dyDescent="0.55000000000000004">
      <c r="D91">
        <v>86</v>
      </c>
      <c r="E91">
        <v>699.70069985011139</v>
      </c>
      <c r="F91">
        <v>18.802702957665513</v>
      </c>
      <c r="G91">
        <v>375354.35845346015</v>
      </c>
      <c r="H91">
        <v>2945.9328949175119</v>
      </c>
      <c r="I91">
        <v>17.417347226520864</v>
      </c>
      <c r="J91">
        <v>345401.01163549977</v>
      </c>
      <c r="K91">
        <v>2246.2321950674004</v>
      </c>
      <c r="L91">
        <v>-1.3853557311446494</v>
      </c>
      <c r="M91">
        <v>-29953.346817960381</v>
      </c>
    </row>
    <row r="92" spans="4:13" x14ac:dyDescent="0.55000000000000004">
      <c r="D92">
        <v>87</v>
      </c>
      <c r="E92">
        <v>825.43149851526584</v>
      </c>
      <c r="F92">
        <v>21.41150436164876</v>
      </c>
      <c r="G92">
        <v>427404.65573445993</v>
      </c>
      <c r="H92">
        <v>2673.9790236610529</v>
      </c>
      <c r="I92">
        <v>19.597102107205188</v>
      </c>
      <c r="J92">
        <v>389268.06312044273</v>
      </c>
      <c r="K92">
        <v>1848.5475251457869</v>
      </c>
      <c r="L92">
        <v>-1.8144022544435714</v>
      </c>
      <c r="M92">
        <v>-38136.592614017194</v>
      </c>
    </row>
    <row r="93" spans="4:13" x14ac:dyDescent="0.55000000000000004">
      <c r="D93">
        <v>88</v>
      </c>
      <c r="E93">
        <v>870.83378165360932</v>
      </c>
      <c r="F93">
        <v>19.618533260104549</v>
      </c>
      <c r="G93">
        <v>391499.83142043737</v>
      </c>
      <c r="H93">
        <v>2859.1082914296244</v>
      </c>
      <c r="I93">
        <v>17.190914756232448</v>
      </c>
      <c r="J93">
        <v>340959.18683321931</v>
      </c>
      <c r="K93">
        <v>1988.2745097760151</v>
      </c>
      <c r="L93">
        <v>-2.4276185038721003</v>
      </c>
      <c r="M93">
        <v>-50540.644587218063</v>
      </c>
    </row>
    <row r="94" spans="4:13" x14ac:dyDescent="0.55000000000000004">
      <c r="D94">
        <v>89</v>
      </c>
      <c r="E94">
        <v>895.22515628777535</v>
      </c>
      <c r="F94">
        <v>19.776583979030129</v>
      </c>
      <c r="G94">
        <v>394636.45442431478</v>
      </c>
      <c r="H94">
        <v>2940.2182019010743</v>
      </c>
      <c r="I94">
        <v>17.934124235353103</v>
      </c>
      <c r="J94">
        <v>355742.26650516101</v>
      </c>
      <c r="K94">
        <v>2044.9930456132988</v>
      </c>
      <c r="L94">
        <v>-1.8424597436770256</v>
      </c>
      <c r="M94">
        <v>-38894.187919153774</v>
      </c>
    </row>
    <row r="95" spans="4:13" x14ac:dyDescent="0.55000000000000004">
      <c r="D95">
        <v>90</v>
      </c>
      <c r="E95">
        <v>559.42560173184677</v>
      </c>
      <c r="F95">
        <v>18.726001597724718</v>
      </c>
      <c r="G95">
        <v>373960.60635276249</v>
      </c>
      <c r="H95">
        <v>2691.1559370695409</v>
      </c>
      <c r="I95">
        <v>17.716648235932226</v>
      </c>
      <c r="J95">
        <v>351641.80878157495</v>
      </c>
      <c r="K95">
        <v>2131.7303353376942</v>
      </c>
      <c r="L95">
        <v>-1.0093533617924919</v>
      </c>
      <c r="M95">
        <v>-22318.797571187548</v>
      </c>
    </row>
    <row r="96" spans="4:13" x14ac:dyDescent="0.55000000000000004">
      <c r="D96">
        <v>91</v>
      </c>
      <c r="E96">
        <v>1012.3214282071858</v>
      </c>
      <c r="F96">
        <v>20.320718238281891</v>
      </c>
      <c r="G96">
        <v>405402.04333743069</v>
      </c>
      <c r="H96">
        <v>2656.4638925639547</v>
      </c>
      <c r="I96">
        <v>19.062451219625938</v>
      </c>
      <c r="J96">
        <v>378592.56049995479</v>
      </c>
      <c r="K96">
        <v>1644.1424643567689</v>
      </c>
      <c r="L96">
        <v>-1.2582670186559533</v>
      </c>
      <c r="M96">
        <v>-26809.482837475894</v>
      </c>
    </row>
    <row r="97" spans="4:13" x14ac:dyDescent="0.55000000000000004">
      <c r="D97">
        <v>92</v>
      </c>
      <c r="E97">
        <v>920.01282374166033</v>
      </c>
      <c r="F97">
        <v>17.947657060476931</v>
      </c>
      <c r="G97">
        <v>358033.12838579697</v>
      </c>
      <c r="H97">
        <v>2691.6331162273209</v>
      </c>
      <c r="I97">
        <v>16.805940028981382</v>
      </c>
      <c r="J97">
        <v>333427.16746340028</v>
      </c>
      <c r="K97">
        <v>1771.6202924856607</v>
      </c>
      <c r="L97">
        <v>-1.1417170314955492</v>
      </c>
      <c r="M97">
        <v>-24605.960922396684</v>
      </c>
    </row>
    <row r="98" spans="4:13" x14ac:dyDescent="0.55000000000000004">
      <c r="D98">
        <v>93</v>
      </c>
      <c r="E98">
        <v>749.55367954939027</v>
      </c>
      <c r="F98">
        <v>17.120394787769577</v>
      </c>
      <c r="G98">
        <v>341658.34207584214</v>
      </c>
      <c r="H98">
        <v>2881.7298836901255</v>
      </c>
      <c r="I98">
        <v>15.296313523418345</v>
      </c>
      <c r="J98">
        <v>303044.54058467678</v>
      </c>
      <c r="K98">
        <v>2132.1762041407351</v>
      </c>
      <c r="L98">
        <v>-1.8240812643512321</v>
      </c>
      <c r="M98">
        <v>-38613.801491165359</v>
      </c>
    </row>
    <row r="99" spans="4:13" x14ac:dyDescent="0.55000000000000004">
      <c r="D99">
        <v>94</v>
      </c>
      <c r="E99">
        <v>862.33455628660136</v>
      </c>
      <c r="F99">
        <v>18.983985640504105</v>
      </c>
      <c r="G99">
        <v>378817.37825379556</v>
      </c>
      <c r="H99">
        <v>2844.0349366193441</v>
      </c>
      <c r="I99">
        <v>17.46135753004506</v>
      </c>
      <c r="J99">
        <v>346383.11566428188</v>
      </c>
      <c r="K99">
        <v>1981.7003803327427</v>
      </c>
      <c r="L99">
        <v>-1.5226281104590456</v>
      </c>
      <c r="M99">
        <v>-32434.262589513673</v>
      </c>
    </row>
    <row r="100" spans="4:13" x14ac:dyDescent="0.55000000000000004">
      <c r="D100">
        <v>95</v>
      </c>
      <c r="E100">
        <v>664.38543870756632</v>
      </c>
      <c r="F100">
        <v>18.898270323384633</v>
      </c>
      <c r="G100">
        <v>377301.02102898509</v>
      </c>
      <c r="H100">
        <v>2699.0577423170353</v>
      </c>
      <c r="I100">
        <v>17.633024018195993</v>
      </c>
      <c r="J100">
        <v>349961.42262160283</v>
      </c>
      <c r="K100">
        <v>2034.6723036094691</v>
      </c>
      <c r="L100">
        <v>-1.26524630518864</v>
      </c>
      <c r="M100">
        <v>-27339.598407382262</v>
      </c>
    </row>
    <row r="101" spans="4:13" x14ac:dyDescent="0.55000000000000004">
      <c r="D101">
        <v>96</v>
      </c>
      <c r="E101">
        <v>1043.0093997994773</v>
      </c>
      <c r="F101">
        <v>17.722522091173389</v>
      </c>
      <c r="G101">
        <v>353407.43242366833</v>
      </c>
      <c r="H101">
        <v>2833.3411351246859</v>
      </c>
      <c r="I101">
        <v>16.565311183614998</v>
      </c>
      <c r="J101">
        <v>328472.88253717526</v>
      </c>
      <c r="K101">
        <v>1790.3317353252087</v>
      </c>
      <c r="L101">
        <v>-1.1572109075583903</v>
      </c>
      <c r="M101">
        <v>-24934.549886493071</v>
      </c>
    </row>
    <row r="102" spans="4:13" x14ac:dyDescent="0.55000000000000004">
      <c r="D102">
        <v>97</v>
      </c>
      <c r="E102">
        <v>514.60400684002911</v>
      </c>
      <c r="F102">
        <v>18.489554004115636</v>
      </c>
      <c r="G102">
        <v>369276.47607547266</v>
      </c>
      <c r="H102">
        <v>2808.1006555980057</v>
      </c>
      <c r="I102">
        <v>16.823353516513805</v>
      </c>
      <c r="J102">
        <v>333658.96967467811</v>
      </c>
      <c r="K102">
        <v>2293.4966487579768</v>
      </c>
      <c r="L102">
        <v>-1.6662004876018308</v>
      </c>
      <c r="M102">
        <v>-35617.506400794548</v>
      </c>
    </row>
    <row r="103" spans="4:13" x14ac:dyDescent="0.55000000000000004">
      <c r="D103">
        <v>98</v>
      </c>
      <c r="E103">
        <v>622.21008927148387</v>
      </c>
      <c r="F103">
        <v>17.654143837974765</v>
      </c>
      <c r="G103">
        <v>352460.66667022381</v>
      </c>
      <c r="H103">
        <v>2800.2729819213073</v>
      </c>
      <c r="I103">
        <v>16.283636263722045</v>
      </c>
      <c r="J103">
        <v>322872.45229251956</v>
      </c>
      <c r="K103">
        <v>2178.0628926498234</v>
      </c>
      <c r="L103">
        <v>-1.37050757425272</v>
      </c>
      <c r="M103">
        <v>-29588.214377704251</v>
      </c>
    </row>
    <row r="104" spans="4:13" x14ac:dyDescent="0.55000000000000004">
      <c r="D104">
        <v>99</v>
      </c>
      <c r="E104">
        <v>598.5486753427225</v>
      </c>
      <c r="F104">
        <v>19.266462277498409</v>
      </c>
      <c r="G104">
        <v>384730.69687462546</v>
      </c>
      <c r="H104">
        <v>2648.0997173748046</v>
      </c>
      <c r="I104">
        <v>18.380681138060289</v>
      </c>
      <c r="J104">
        <v>364965.52304383094</v>
      </c>
      <c r="K104">
        <v>2049.551042032082</v>
      </c>
      <c r="L104">
        <v>-0.88578113943811942</v>
      </c>
      <c r="M104">
        <v>-19765.17383079452</v>
      </c>
    </row>
    <row r="105" spans="4:13" x14ac:dyDescent="0.55000000000000004">
      <c r="D105">
        <v>100</v>
      </c>
      <c r="E105">
        <v>427.39424484664573</v>
      </c>
      <c r="F105">
        <v>19.91048329389735</v>
      </c>
      <c r="G105">
        <v>397782.27163310035</v>
      </c>
      <c r="H105">
        <v>2776.8047282084485</v>
      </c>
      <c r="I105">
        <v>18.779435544378931</v>
      </c>
      <c r="J105">
        <v>372811.90615937015</v>
      </c>
      <c r="K105">
        <v>2349.410483361803</v>
      </c>
      <c r="L105">
        <v>-1.1310477495184195</v>
      </c>
      <c r="M105">
        <v>-24970.365473730199</v>
      </c>
    </row>
    <row r="106" spans="4:13" x14ac:dyDescent="0.55000000000000004">
      <c r="D106">
        <v>101</v>
      </c>
      <c r="E106">
        <v>606.21893611111966</v>
      </c>
      <c r="F106">
        <v>15.781354357456044</v>
      </c>
      <c r="G106">
        <v>315020.86821300973</v>
      </c>
      <c r="H106">
        <v>2727.7273734075638</v>
      </c>
      <c r="I106">
        <v>15.159388707284915</v>
      </c>
      <c r="J106">
        <v>300460.04677229072</v>
      </c>
      <c r="K106">
        <v>2121.5084372964443</v>
      </c>
      <c r="L106">
        <v>-0.62196565017112881</v>
      </c>
      <c r="M106">
        <v>-14560.82144071901</v>
      </c>
    </row>
    <row r="107" spans="4:13" x14ac:dyDescent="0.55000000000000004">
      <c r="D107">
        <v>102</v>
      </c>
      <c r="E107">
        <v>686.62680147469314</v>
      </c>
      <c r="F107">
        <v>22.580514865422632</v>
      </c>
      <c r="G107">
        <v>450923.67050697794</v>
      </c>
      <c r="H107">
        <v>2838.6101613820379</v>
      </c>
      <c r="I107">
        <v>18.704275250467148</v>
      </c>
      <c r="J107">
        <v>371246.89484796091</v>
      </c>
      <c r="K107">
        <v>2151.9833599073445</v>
      </c>
      <c r="L107">
        <v>-3.8762396149554839</v>
      </c>
      <c r="M107">
        <v>-79676.775659017032</v>
      </c>
    </row>
    <row r="108" spans="4:13" x14ac:dyDescent="0.55000000000000004">
      <c r="D108">
        <v>103</v>
      </c>
      <c r="E108">
        <v>692.94413615748851</v>
      </c>
      <c r="F108">
        <v>17.713743060313817</v>
      </c>
      <c r="G108">
        <v>353581.91707011883</v>
      </c>
      <c r="H108">
        <v>2790.9595472663955</v>
      </c>
      <c r="I108">
        <v>16.653411074954775</v>
      </c>
      <c r="J108">
        <v>330277.26195182907</v>
      </c>
      <c r="K108">
        <v>2098.0154111089068</v>
      </c>
      <c r="L108">
        <v>-1.0603319853590421</v>
      </c>
      <c r="M108">
        <v>-23304.655118289753</v>
      </c>
    </row>
    <row r="109" spans="4:13" x14ac:dyDescent="0.55000000000000004">
      <c r="D109">
        <v>104</v>
      </c>
      <c r="E109">
        <v>722.77399190886581</v>
      </c>
      <c r="F109">
        <v>18.394234948246531</v>
      </c>
      <c r="G109">
        <v>367161.92497302173</v>
      </c>
      <c r="H109">
        <v>2763.9777341514473</v>
      </c>
      <c r="I109">
        <v>17.44410379005242</v>
      </c>
      <c r="J109">
        <v>346118.09806689696</v>
      </c>
      <c r="K109">
        <v>2041.2037422425815</v>
      </c>
      <c r="L109">
        <v>-0.95013115819411098</v>
      </c>
      <c r="M109">
        <v>-21043.82690612477</v>
      </c>
    </row>
    <row r="110" spans="4:13" x14ac:dyDescent="0.55000000000000004">
      <c r="D110">
        <v>105</v>
      </c>
      <c r="E110">
        <v>1069.1642758359972</v>
      </c>
      <c r="F110">
        <v>18.337634622680859</v>
      </c>
      <c r="G110">
        <v>365683.52817778115</v>
      </c>
      <c r="H110">
        <v>2748.2483606026126</v>
      </c>
      <c r="I110">
        <v>16.949343043698093</v>
      </c>
      <c r="J110">
        <v>336238.61251335929</v>
      </c>
      <c r="K110">
        <v>1679.0840847666154</v>
      </c>
      <c r="L110">
        <v>-1.3882915789827663</v>
      </c>
      <c r="M110">
        <v>-29444.91566442186</v>
      </c>
    </row>
    <row r="111" spans="4:13" x14ac:dyDescent="0.55000000000000004">
      <c r="D111">
        <v>106</v>
      </c>
      <c r="E111">
        <v>637.72915997744587</v>
      </c>
      <c r="F111">
        <v>19.55895979502942</v>
      </c>
      <c r="G111">
        <v>390541.46674061095</v>
      </c>
      <c r="H111">
        <v>2649.3328015139336</v>
      </c>
      <c r="I111">
        <v>18.174273334745042</v>
      </c>
      <c r="J111">
        <v>360836.13389338687</v>
      </c>
      <c r="K111">
        <v>2011.6036415364879</v>
      </c>
      <c r="L111">
        <v>-1.384686460284378</v>
      </c>
      <c r="M111">
        <v>-29705.332847224083</v>
      </c>
    </row>
    <row r="112" spans="4:13" x14ac:dyDescent="0.55000000000000004">
      <c r="D112">
        <v>107</v>
      </c>
      <c r="E112">
        <v>617.11673418752832</v>
      </c>
      <c r="F112">
        <v>20.090538768986328</v>
      </c>
      <c r="G112">
        <v>401193.65864553902</v>
      </c>
      <c r="H112">
        <v>2777.7899149486848</v>
      </c>
      <c r="I112">
        <v>18.733798900492911</v>
      </c>
      <c r="J112">
        <v>371898.18809490954</v>
      </c>
      <c r="K112">
        <v>2160.6731807611563</v>
      </c>
      <c r="L112">
        <v>-1.3567398684934169</v>
      </c>
      <c r="M112">
        <v>-29295.470550629485</v>
      </c>
    </row>
    <row r="113" spans="4:13" x14ac:dyDescent="0.55000000000000004">
      <c r="D113">
        <v>108</v>
      </c>
      <c r="E113">
        <v>586.01790826504464</v>
      </c>
      <c r="F113">
        <v>20.082225767056659</v>
      </c>
      <c r="G113">
        <v>401058.49743286811</v>
      </c>
      <c r="H113">
        <v>2796.2064580778042</v>
      </c>
      <c r="I113">
        <v>18.188459635734215</v>
      </c>
      <c r="J113">
        <v>360972.98625660647</v>
      </c>
      <c r="K113">
        <v>2210.1885498127594</v>
      </c>
      <c r="L113">
        <v>-1.8937661313224439</v>
      </c>
      <c r="M113">
        <v>-40085.511176261643</v>
      </c>
    </row>
    <row r="114" spans="4:13" x14ac:dyDescent="0.55000000000000004">
      <c r="D114">
        <v>109</v>
      </c>
      <c r="E114">
        <v>883.91499876716148</v>
      </c>
      <c r="F114">
        <v>18.590267130859054</v>
      </c>
      <c r="G114">
        <v>370921.42761841393</v>
      </c>
      <c r="H114">
        <v>2693.7928881368362</v>
      </c>
      <c r="I114">
        <v>17.377237366398582</v>
      </c>
      <c r="J114">
        <v>344850.95443983481</v>
      </c>
      <c r="K114">
        <v>1809.8778893696747</v>
      </c>
      <c r="L114">
        <v>-1.2130297644604724</v>
      </c>
      <c r="M114">
        <v>-26070.473178579123</v>
      </c>
    </row>
    <row r="115" spans="4:13" x14ac:dyDescent="0.55000000000000004">
      <c r="D115">
        <v>110</v>
      </c>
      <c r="E115">
        <v>809.71557198040011</v>
      </c>
      <c r="F115">
        <v>19.99566580136975</v>
      </c>
      <c r="G115">
        <v>399103.60045541462</v>
      </c>
      <c r="H115">
        <v>2620.5009644577613</v>
      </c>
      <c r="I115">
        <v>19.177518674665489</v>
      </c>
      <c r="J115">
        <v>380929.87252885202</v>
      </c>
      <c r="K115">
        <v>1810.7853924773613</v>
      </c>
      <c r="L115">
        <v>-0.81814712670426104</v>
      </c>
      <c r="M115">
        <v>-18173.727926562598</v>
      </c>
    </row>
    <row r="116" spans="4:13" x14ac:dyDescent="0.55000000000000004">
      <c r="D116">
        <v>111</v>
      </c>
      <c r="E116">
        <v>761.27448540349155</v>
      </c>
      <c r="F116">
        <v>18.995277657628819</v>
      </c>
      <c r="G116">
        <v>379144.27866717288</v>
      </c>
      <c r="H116">
        <v>2881.3888028182428</v>
      </c>
      <c r="I116">
        <v>17.166248298239402</v>
      </c>
      <c r="J116">
        <v>340443.57716196979</v>
      </c>
      <c r="K116">
        <v>2120.114317414751</v>
      </c>
      <c r="L116">
        <v>-1.8290293593894162</v>
      </c>
      <c r="M116">
        <v>-38700.701505203091</v>
      </c>
    </row>
    <row r="117" spans="4:13" x14ac:dyDescent="0.55000000000000004">
      <c r="D117">
        <v>112</v>
      </c>
      <c r="E117">
        <v>1011.4601176907498</v>
      </c>
      <c r="F117">
        <v>18.395732517144804</v>
      </c>
      <c r="G117">
        <v>366903.19022520533</v>
      </c>
      <c r="H117">
        <v>2754.1213094269119</v>
      </c>
      <c r="I117">
        <v>17.680971306631886</v>
      </c>
      <c r="J117">
        <v>350865.30482321081</v>
      </c>
      <c r="K117">
        <v>1742.661191736162</v>
      </c>
      <c r="L117">
        <v>-0.71476121051291841</v>
      </c>
      <c r="M117">
        <v>-16037.885401994514</v>
      </c>
    </row>
    <row r="118" spans="4:13" x14ac:dyDescent="0.55000000000000004">
      <c r="D118">
        <v>113</v>
      </c>
      <c r="E118">
        <v>568.0996835243609</v>
      </c>
      <c r="F118">
        <v>18.616237982197124</v>
      </c>
      <c r="G118">
        <v>371756.65996041812</v>
      </c>
      <c r="H118">
        <v>2804.151507660863</v>
      </c>
      <c r="I118">
        <v>16.475053635657769</v>
      </c>
      <c r="J118">
        <v>326696.92120549449</v>
      </c>
      <c r="K118">
        <v>2236.0518241365021</v>
      </c>
      <c r="L118">
        <v>-2.1411843465393545</v>
      </c>
      <c r="M118">
        <v>-45059.73875492363</v>
      </c>
    </row>
    <row r="119" spans="4:13" x14ac:dyDescent="0.55000000000000004">
      <c r="D119">
        <v>114</v>
      </c>
      <c r="E119">
        <v>518.73650375528314</v>
      </c>
      <c r="F119">
        <v>19.364179757447204</v>
      </c>
      <c r="G119">
        <v>386764.8586451888</v>
      </c>
      <c r="H119">
        <v>2672.5020160864269</v>
      </c>
      <c r="I119">
        <v>17.870876801072399</v>
      </c>
      <c r="J119">
        <v>354745.03400536155</v>
      </c>
      <c r="K119">
        <v>2153.7655123311438</v>
      </c>
      <c r="L119">
        <v>-1.493302956374805</v>
      </c>
      <c r="M119">
        <v>-32019.824639827246</v>
      </c>
    </row>
    <row r="120" spans="4:13" x14ac:dyDescent="0.55000000000000004">
      <c r="D120">
        <v>115</v>
      </c>
      <c r="E120">
        <v>799.226237880187</v>
      </c>
      <c r="F120">
        <v>18.688778416305993</v>
      </c>
      <c r="G120">
        <v>372976.34208823967</v>
      </c>
      <c r="H120">
        <v>2785.2078914930021</v>
      </c>
      <c r="I120">
        <v>17.08732567249023</v>
      </c>
      <c r="J120">
        <v>338961.30555831164</v>
      </c>
      <c r="K120">
        <v>1985.9816536128151</v>
      </c>
      <c r="L120">
        <v>-1.6014527438157629</v>
      </c>
      <c r="M120">
        <v>-34015.036529928038</v>
      </c>
    </row>
    <row r="121" spans="4:13" x14ac:dyDescent="0.55000000000000004">
      <c r="D121">
        <v>116</v>
      </c>
      <c r="E121">
        <v>740.19305319148179</v>
      </c>
      <c r="F121">
        <v>19.919107963982519</v>
      </c>
      <c r="G121">
        <v>397641.9662264589</v>
      </c>
      <c r="H121">
        <v>2704.1329354195204</v>
      </c>
      <c r="I121">
        <v>18.310886482792501</v>
      </c>
      <c r="J121">
        <v>363513.59672043053</v>
      </c>
      <c r="K121">
        <v>1963.9398822280386</v>
      </c>
      <c r="L121">
        <v>-1.608221481190018</v>
      </c>
      <c r="M121">
        <v>-34128.369506028364</v>
      </c>
    </row>
    <row r="122" spans="4:13" x14ac:dyDescent="0.55000000000000004">
      <c r="D122">
        <v>117</v>
      </c>
      <c r="E122">
        <v>387.23156868146145</v>
      </c>
      <c r="F122">
        <v>20.011330608418231</v>
      </c>
      <c r="G122">
        <v>399839.38059968315</v>
      </c>
      <c r="H122">
        <v>2782.314453358033</v>
      </c>
      <c r="I122">
        <v>17.734669988595044</v>
      </c>
      <c r="J122">
        <v>351911.0853185429</v>
      </c>
      <c r="K122">
        <v>2395.0828846765717</v>
      </c>
      <c r="L122">
        <v>-2.2766606198231862</v>
      </c>
      <c r="M122">
        <v>-47928.29528114025</v>
      </c>
    </row>
    <row r="123" spans="4:13" x14ac:dyDescent="0.55000000000000004">
      <c r="D123">
        <v>118</v>
      </c>
      <c r="E123">
        <v>701.77948261916447</v>
      </c>
      <c r="F123">
        <v>18.610128082003271</v>
      </c>
      <c r="G123">
        <v>371500.78215744632</v>
      </c>
      <c r="H123">
        <v>2658.6674220661907</v>
      </c>
      <c r="I123">
        <v>17.473253379448941</v>
      </c>
      <c r="J123">
        <v>346806.40016691264</v>
      </c>
      <c r="K123">
        <v>1956.8879394470264</v>
      </c>
      <c r="L123">
        <v>-1.13687470255433</v>
      </c>
      <c r="M123">
        <v>-24694.381990533671</v>
      </c>
    </row>
    <row r="124" spans="4:13" x14ac:dyDescent="0.55000000000000004">
      <c r="D124">
        <v>119</v>
      </c>
      <c r="E124">
        <v>482.87439621052766</v>
      </c>
      <c r="F124">
        <v>16.939781444333867</v>
      </c>
      <c r="G124">
        <v>338312.75449046679</v>
      </c>
      <c r="H124">
        <v>2649.2605173986503</v>
      </c>
      <c r="I124">
        <v>15.95533469544641</v>
      </c>
      <c r="J124">
        <v>316457.43339152954</v>
      </c>
      <c r="K124">
        <v>2166.3861211881226</v>
      </c>
      <c r="L124">
        <v>-0.98444674888745709</v>
      </c>
      <c r="M124">
        <v>-21855.321098937246</v>
      </c>
    </row>
    <row r="125" spans="4:13" x14ac:dyDescent="0.55000000000000004">
      <c r="D125">
        <v>120</v>
      </c>
      <c r="E125">
        <v>591.29157339226742</v>
      </c>
      <c r="F125">
        <v>17.802506560441845</v>
      </c>
      <c r="G125">
        <v>355458.83963544463</v>
      </c>
      <c r="H125">
        <v>2678.4281946985534</v>
      </c>
      <c r="I125">
        <v>16.607174035881137</v>
      </c>
      <c r="J125">
        <v>329465.0525229242</v>
      </c>
      <c r="K125">
        <v>2087.1366213062861</v>
      </c>
      <c r="L125">
        <v>-1.1953325245607083</v>
      </c>
      <c r="M125">
        <v>-25993.787112520426</v>
      </c>
    </row>
    <row r="126" spans="4:13" x14ac:dyDescent="0.55000000000000004">
      <c r="D126">
        <v>121</v>
      </c>
      <c r="E126">
        <v>458.60035558889126</v>
      </c>
      <c r="F126">
        <v>16.276872620894807</v>
      </c>
      <c r="G126">
        <v>325078.85206230724</v>
      </c>
      <c r="H126">
        <v>2833.8232241343467</v>
      </c>
      <c r="I126">
        <v>14.910088795228571</v>
      </c>
      <c r="J126">
        <v>295367.95268043707</v>
      </c>
      <c r="K126">
        <v>2375.2228685454556</v>
      </c>
      <c r="L126">
        <v>-1.3667838256662357</v>
      </c>
      <c r="M126">
        <v>-29710.899381870171</v>
      </c>
    </row>
    <row r="127" spans="4:13" x14ac:dyDescent="0.55000000000000004">
      <c r="D127">
        <v>122</v>
      </c>
      <c r="E127">
        <v>579.08106282898416</v>
      </c>
      <c r="F127">
        <v>19.137354290133182</v>
      </c>
      <c r="G127">
        <v>382168.00473983464</v>
      </c>
      <c r="H127">
        <v>2794.6520420416286</v>
      </c>
      <c r="I127">
        <v>17.649513489594774</v>
      </c>
      <c r="J127">
        <v>350195.61774985382</v>
      </c>
      <c r="K127">
        <v>2215.5709792126445</v>
      </c>
      <c r="L127">
        <v>-1.4878408005384074</v>
      </c>
      <c r="M127">
        <v>-31972.38698998082</v>
      </c>
    </row>
    <row r="128" spans="4:13" x14ac:dyDescent="0.55000000000000004">
      <c r="D128">
        <v>123</v>
      </c>
      <c r="E128">
        <v>540.29847769411481</v>
      </c>
      <c r="F128">
        <v>21.07804834004688</v>
      </c>
      <c r="G128">
        <v>421020.6683232435</v>
      </c>
      <c r="H128">
        <v>2768.0249510870071</v>
      </c>
      <c r="I128">
        <v>19.296127194423285</v>
      </c>
      <c r="J128">
        <v>383154.51893737866</v>
      </c>
      <c r="K128">
        <v>2227.7264733928923</v>
      </c>
      <c r="L128">
        <v>-1.7819211456235955</v>
      </c>
      <c r="M128">
        <v>-37866.149385864846</v>
      </c>
    </row>
    <row r="129" spans="4:13" x14ac:dyDescent="0.55000000000000004">
      <c r="D129">
        <v>124</v>
      </c>
      <c r="E129">
        <v>705.8740658883861</v>
      </c>
      <c r="F129">
        <v>21.758568764012164</v>
      </c>
      <c r="G129">
        <v>434465.50121435488</v>
      </c>
      <c r="H129">
        <v>2829.139051626521</v>
      </c>
      <c r="I129">
        <v>19.636865640787462</v>
      </c>
      <c r="J129">
        <v>389908.17376412277</v>
      </c>
      <c r="K129">
        <v>2123.2649857381348</v>
      </c>
      <c r="L129">
        <v>-2.1217031232247017</v>
      </c>
      <c r="M129">
        <v>-44557.327450232115</v>
      </c>
    </row>
    <row r="130" spans="4:13" x14ac:dyDescent="0.55000000000000004">
      <c r="D130">
        <v>125</v>
      </c>
      <c r="E130">
        <v>856.02933212941321</v>
      </c>
      <c r="F130">
        <v>21.324312603617049</v>
      </c>
      <c r="G130">
        <v>425630.22274021158</v>
      </c>
      <c r="H130">
        <v>2722.7399103065691</v>
      </c>
      <c r="I130">
        <v>18.779117452286577</v>
      </c>
      <c r="J130">
        <v>372859.60913542495</v>
      </c>
      <c r="K130">
        <v>1866.7105781771559</v>
      </c>
      <c r="L130">
        <v>-2.5451951513304714</v>
      </c>
      <c r="M130">
        <v>-52770.613604786631</v>
      </c>
    </row>
    <row r="131" spans="4:13" x14ac:dyDescent="0.55000000000000004">
      <c r="D131">
        <v>126</v>
      </c>
      <c r="E131">
        <v>671.92687405994116</v>
      </c>
      <c r="F131">
        <v>20.138320760733119</v>
      </c>
      <c r="G131">
        <v>402094.48834060243</v>
      </c>
      <c r="H131">
        <v>2855.1039475530551</v>
      </c>
      <c r="I131">
        <v>18.341388872554717</v>
      </c>
      <c r="J131">
        <v>363972.67350354133</v>
      </c>
      <c r="K131">
        <v>2183.1770734931142</v>
      </c>
      <c r="L131">
        <v>-1.7969318881784027</v>
      </c>
      <c r="M131">
        <v>-38121.814837061102</v>
      </c>
    </row>
    <row r="132" spans="4:13" x14ac:dyDescent="0.55000000000000004">
      <c r="D132">
        <v>127</v>
      </c>
      <c r="E132">
        <v>603.2110171320287</v>
      </c>
      <c r="F132">
        <v>20.730437451037485</v>
      </c>
      <c r="G132">
        <v>414005.53800361766</v>
      </c>
      <c r="H132">
        <v>2764.2995789905194</v>
      </c>
      <c r="I132">
        <v>19.201181298679014</v>
      </c>
      <c r="J132">
        <v>381259.32639458979</v>
      </c>
      <c r="K132">
        <v>2161.0885618584907</v>
      </c>
      <c r="L132">
        <v>-1.5292561523584709</v>
      </c>
      <c r="M132">
        <v>-32746.211609027872</v>
      </c>
    </row>
    <row r="133" spans="4:13" x14ac:dyDescent="0.55000000000000004">
      <c r="D133">
        <v>128</v>
      </c>
      <c r="E133">
        <v>572.28278678259744</v>
      </c>
      <c r="F133">
        <v>20.541732685172509</v>
      </c>
      <c r="G133">
        <v>410262.37091666757</v>
      </c>
      <c r="H133">
        <v>2692.3338270663635</v>
      </c>
      <c r="I133">
        <v>17.977651203530502</v>
      </c>
      <c r="J133">
        <v>356860.69024354371</v>
      </c>
      <c r="K133">
        <v>2120.0510402837663</v>
      </c>
      <c r="L133">
        <v>-2.5640814816420061</v>
      </c>
      <c r="M133">
        <v>-53401.680673123861</v>
      </c>
    </row>
    <row r="134" spans="4:13" x14ac:dyDescent="0.55000000000000004">
      <c r="D134">
        <v>129</v>
      </c>
      <c r="E134">
        <v>708.2304255392628</v>
      </c>
      <c r="F134">
        <v>18.271645614064518</v>
      </c>
      <c r="G134">
        <v>364724.68185575109</v>
      </c>
      <c r="H134">
        <v>2945.6690599606914</v>
      </c>
      <c r="I134">
        <v>17.218331944245424</v>
      </c>
      <c r="J134">
        <v>341420.96982494777</v>
      </c>
      <c r="K134">
        <v>2237.4386344214286</v>
      </c>
      <c r="L134">
        <v>-1.0533136698190937</v>
      </c>
      <c r="M134">
        <v>-23303.712030803319</v>
      </c>
    </row>
    <row r="135" spans="4:13" x14ac:dyDescent="0.55000000000000004">
      <c r="D135">
        <v>130</v>
      </c>
      <c r="E135">
        <v>858.96979983840856</v>
      </c>
      <c r="F135">
        <v>17.757370023030074</v>
      </c>
      <c r="G135">
        <v>354288.43066076306</v>
      </c>
      <c r="H135">
        <v>2831.2776590652447</v>
      </c>
      <c r="I135">
        <v>16.750048307242796</v>
      </c>
      <c r="J135">
        <v>332169.68848579068</v>
      </c>
      <c r="K135">
        <v>1972.3078592268362</v>
      </c>
      <c r="L135">
        <v>-1.0073217157872776</v>
      </c>
      <c r="M135">
        <v>-22118.742174972373</v>
      </c>
    </row>
    <row r="136" spans="4:13" x14ac:dyDescent="0.55000000000000004">
      <c r="D136">
        <v>131</v>
      </c>
      <c r="E136">
        <v>472.69617926384757</v>
      </c>
      <c r="F136">
        <v>18.15082510838187</v>
      </c>
      <c r="G136">
        <v>362543.80598837353</v>
      </c>
      <c r="H136">
        <v>2724.8002423867433</v>
      </c>
      <c r="I136">
        <v>17.063701155727504</v>
      </c>
      <c r="J136">
        <v>338549.22287216334</v>
      </c>
      <c r="K136">
        <v>2252.1040631228957</v>
      </c>
      <c r="L136">
        <v>-1.0871239526543661</v>
      </c>
      <c r="M136">
        <v>-23994.583116210182</v>
      </c>
    </row>
    <row r="137" spans="4:13" x14ac:dyDescent="0.55000000000000004">
      <c r="D137">
        <v>132</v>
      </c>
      <c r="E137">
        <v>479.30635905064383</v>
      </c>
      <c r="F137">
        <v>20.36856186709452</v>
      </c>
      <c r="G137">
        <v>406891.93098283978</v>
      </c>
      <c r="H137">
        <v>2811.5726497130959</v>
      </c>
      <c r="I137">
        <v>18.597674649183972</v>
      </c>
      <c r="J137">
        <v>369141.92033396638</v>
      </c>
      <c r="K137">
        <v>2332.2662906624519</v>
      </c>
      <c r="L137">
        <v>-1.7708872179105484</v>
      </c>
      <c r="M137">
        <v>-37750.010648873402</v>
      </c>
    </row>
    <row r="138" spans="4:13" x14ac:dyDescent="0.55000000000000004">
      <c r="D138">
        <v>133</v>
      </c>
      <c r="E138">
        <v>932.62112866878931</v>
      </c>
      <c r="F138">
        <v>16.81277126232338</v>
      </c>
      <c r="G138">
        <v>335322.80411779881</v>
      </c>
      <c r="H138">
        <v>2737.7540894348008</v>
      </c>
      <c r="I138">
        <v>16.077709681429326</v>
      </c>
      <c r="J138">
        <v>318816.43953915173</v>
      </c>
      <c r="K138">
        <v>1805.1329607660114</v>
      </c>
      <c r="L138">
        <v>-0.7350615808940546</v>
      </c>
      <c r="M138">
        <v>-16506.364578647073</v>
      </c>
    </row>
    <row r="139" spans="4:13" x14ac:dyDescent="0.55000000000000004">
      <c r="D139">
        <v>134</v>
      </c>
      <c r="E139">
        <v>601.02569466557179</v>
      </c>
      <c r="F139">
        <v>16.466732309110494</v>
      </c>
      <c r="G139">
        <v>328733.62048754434</v>
      </c>
      <c r="H139">
        <v>2943.6900631579683</v>
      </c>
      <c r="I139">
        <v>15.002216907147044</v>
      </c>
      <c r="J139">
        <v>297100.6480797829</v>
      </c>
      <c r="K139">
        <v>2342.6643684923965</v>
      </c>
      <c r="L139">
        <v>-1.4645154019634496</v>
      </c>
      <c r="M139">
        <v>-31632.972407761437</v>
      </c>
    </row>
    <row r="140" spans="4:13" x14ac:dyDescent="0.55000000000000004">
      <c r="D140">
        <v>135</v>
      </c>
      <c r="E140">
        <v>943.00085362042046</v>
      </c>
      <c r="F140">
        <v>19.088240581007561</v>
      </c>
      <c r="G140">
        <v>380821.81076653081</v>
      </c>
      <c r="H140">
        <v>2755.2332673346746</v>
      </c>
      <c r="I140">
        <v>17.435495052912355</v>
      </c>
      <c r="J140">
        <v>345954.66779091238</v>
      </c>
      <c r="K140">
        <v>1812.2324137142541</v>
      </c>
      <c r="L140">
        <v>-1.6527455280952061</v>
      </c>
      <c r="M140">
        <v>-34867.142975618422</v>
      </c>
    </row>
    <row r="141" spans="4:13" x14ac:dyDescent="0.55000000000000004">
      <c r="D141">
        <v>136</v>
      </c>
      <c r="E141">
        <v>730.18243338811396</v>
      </c>
      <c r="F141">
        <v>20.59602035034542</v>
      </c>
      <c r="G141">
        <v>411190.22457352025</v>
      </c>
      <c r="H141">
        <v>2659.3779251384499</v>
      </c>
      <c r="I141">
        <v>19.773126960755071</v>
      </c>
      <c r="J141">
        <v>392803.161289963</v>
      </c>
      <c r="K141">
        <v>1929.1954917503358</v>
      </c>
      <c r="L141">
        <v>-0.82289338959034808</v>
      </c>
      <c r="M141">
        <v>-18387.063283557247</v>
      </c>
    </row>
    <row r="142" spans="4:13" x14ac:dyDescent="0.55000000000000004">
      <c r="D142">
        <v>137</v>
      </c>
      <c r="E142">
        <v>507.83532446262649</v>
      </c>
      <c r="F142">
        <v>18.141614234996151</v>
      </c>
      <c r="G142">
        <v>362324.44937546039</v>
      </c>
      <c r="H142">
        <v>2682.7265221865523</v>
      </c>
      <c r="I142">
        <v>16.076852459943026</v>
      </c>
      <c r="J142">
        <v>318854.322676674</v>
      </c>
      <c r="K142">
        <v>2174.8911977239259</v>
      </c>
      <c r="L142">
        <v>-2.0647617750531246</v>
      </c>
      <c r="M142">
        <v>-43470.126698786393</v>
      </c>
    </row>
    <row r="143" spans="4:13" x14ac:dyDescent="0.55000000000000004">
      <c r="D143">
        <v>138</v>
      </c>
      <c r="E143">
        <v>858.36094381092278</v>
      </c>
      <c r="F143">
        <v>18.236796894820429</v>
      </c>
      <c r="G143">
        <v>363877.57695259771</v>
      </c>
      <c r="H143">
        <v>2643.220230509256</v>
      </c>
      <c r="I143">
        <v>17.42231831937087</v>
      </c>
      <c r="J143">
        <v>345803.14615690819</v>
      </c>
      <c r="K143">
        <v>1784.8592866983331</v>
      </c>
      <c r="L143">
        <v>-0.81447857544955937</v>
      </c>
      <c r="M143">
        <v>-18074.430795689521</v>
      </c>
    </row>
    <row r="144" spans="4:13" x14ac:dyDescent="0.55000000000000004">
      <c r="D144">
        <v>139</v>
      </c>
      <c r="E144">
        <v>626.79586827594403</v>
      </c>
      <c r="F144">
        <v>21.317217348768946</v>
      </c>
      <c r="G144">
        <v>425717.55110710301</v>
      </c>
      <c r="H144">
        <v>2713.4230530732038</v>
      </c>
      <c r="I144">
        <v>19.758127180712314</v>
      </c>
      <c r="J144">
        <v>392449.12056117307</v>
      </c>
      <c r="K144">
        <v>2086.6271847972598</v>
      </c>
      <c r="L144">
        <v>-1.5590901680566311</v>
      </c>
      <c r="M144">
        <v>-33268.430545929936</v>
      </c>
    </row>
    <row r="145" spans="4:13" x14ac:dyDescent="0.55000000000000004">
      <c r="D145">
        <v>140</v>
      </c>
      <c r="E145">
        <v>759.36447882221876</v>
      </c>
      <c r="F145">
        <v>18.06670452920358</v>
      </c>
      <c r="G145">
        <v>360574.72610524937</v>
      </c>
      <c r="H145">
        <v>2860.5512161196598</v>
      </c>
      <c r="I145">
        <v>16.787581105322836</v>
      </c>
      <c r="J145">
        <v>332891.07089033705</v>
      </c>
      <c r="K145">
        <v>2101.1867372974411</v>
      </c>
      <c r="L145">
        <v>-1.2791234238807441</v>
      </c>
      <c r="M145">
        <v>-27683.655214912316</v>
      </c>
    </row>
    <row r="146" spans="4:13" x14ac:dyDescent="0.55000000000000004">
      <c r="D146">
        <v>141</v>
      </c>
      <c r="E146">
        <v>694.79657315843576</v>
      </c>
      <c r="F146">
        <v>17.200304389338886</v>
      </c>
      <c r="G146">
        <v>343311.29121361929</v>
      </c>
      <c r="H146">
        <v>2924.8800879382743</v>
      </c>
      <c r="I146">
        <v>16.007378224508678</v>
      </c>
      <c r="J146">
        <v>317222.68440223526</v>
      </c>
      <c r="K146">
        <v>2230.0835147798384</v>
      </c>
      <c r="L146">
        <v>-1.1929261648302081</v>
      </c>
      <c r="M146">
        <v>-26088.60681138403</v>
      </c>
    </row>
    <row r="147" spans="4:13" x14ac:dyDescent="0.55000000000000004">
      <c r="D147">
        <v>142</v>
      </c>
      <c r="E147">
        <v>741.67412780892892</v>
      </c>
      <c r="F147">
        <v>19.926109315401494</v>
      </c>
      <c r="G147">
        <v>397780.51218022092</v>
      </c>
      <c r="H147">
        <v>2673.8984827629611</v>
      </c>
      <c r="I147">
        <v>17.515284296691018</v>
      </c>
      <c r="J147">
        <v>347631.7874510574</v>
      </c>
      <c r="K147">
        <v>1932.2243549540322</v>
      </c>
      <c r="L147">
        <v>-2.4108250187104758</v>
      </c>
      <c r="M147">
        <v>-50148.724729163514</v>
      </c>
    </row>
    <row r="148" spans="4:13" x14ac:dyDescent="0.55000000000000004">
      <c r="D148">
        <v>143</v>
      </c>
      <c r="E148">
        <v>844.33421181602432</v>
      </c>
      <c r="F148">
        <v>17.647710831189155</v>
      </c>
      <c r="G148">
        <v>352109.88241196709</v>
      </c>
      <c r="H148">
        <v>2885.2779083158425</v>
      </c>
      <c r="I148">
        <v>16.644323495006724</v>
      </c>
      <c r="J148">
        <v>330001.19199181866</v>
      </c>
      <c r="K148">
        <v>2040.9436964998181</v>
      </c>
      <c r="L148">
        <v>-1.0033873361824313</v>
      </c>
      <c r="M148">
        <v>-22108.690420148429</v>
      </c>
    </row>
    <row r="149" spans="4:13" x14ac:dyDescent="0.55000000000000004">
      <c r="D149">
        <v>144</v>
      </c>
      <c r="E149">
        <v>507.51595930281974</v>
      </c>
      <c r="F149">
        <v>20.406243972681906</v>
      </c>
      <c r="G149">
        <v>407617.36349433527</v>
      </c>
      <c r="H149">
        <v>2650.1823555694587</v>
      </c>
      <c r="I149">
        <v>18.784698276084391</v>
      </c>
      <c r="J149">
        <v>373043.78316611837</v>
      </c>
      <c r="K149">
        <v>2142.6663962666389</v>
      </c>
      <c r="L149">
        <v>-1.621545696597515</v>
      </c>
      <c r="M149">
        <v>-34573.580328216893</v>
      </c>
    </row>
    <row r="150" spans="4:13" x14ac:dyDescent="0.55000000000000004">
      <c r="D150">
        <v>145</v>
      </c>
      <c r="E150">
        <v>667.55482159158237</v>
      </c>
      <c r="F150">
        <v>19.536515427649647</v>
      </c>
      <c r="G150">
        <v>390062.75373140135</v>
      </c>
      <c r="H150">
        <v>2711.9465917880339</v>
      </c>
      <c r="I150">
        <v>17.932940143688977</v>
      </c>
      <c r="J150">
        <v>355946.85628199152</v>
      </c>
      <c r="K150">
        <v>2044.3917701964515</v>
      </c>
      <c r="L150">
        <v>-1.6035752839606694</v>
      </c>
      <c r="M150">
        <v>-34115.897449409822</v>
      </c>
    </row>
    <row r="151" spans="4:13" x14ac:dyDescent="0.55000000000000004">
      <c r="D151">
        <v>146</v>
      </c>
      <c r="E151">
        <v>975.12481730700188</v>
      </c>
      <c r="F151">
        <v>17.538283459946822</v>
      </c>
      <c r="G151">
        <v>349790.54438162944</v>
      </c>
      <c r="H151">
        <v>2835.9986640079987</v>
      </c>
      <c r="I151">
        <v>16.676581439737333</v>
      </c>
      <c r="J151">
        <v>330695.63013073866</v>
      </c>
      <c r="K151">
        <v>1860.8738467009969</v>
      </c>
      <c r="L151">
        <v>-0.8617020202094885</v>
      </c>
      <c r="M151">
        <v>-19094.914250890783</v>
      </c>
    </row>
    <row r="152" spans="4:13" x14ac:dyDescent="0.55000000000000004">
      <c r="D152">
        <v>147</v>
      </c>
      <c r="E152">
        <v>726.77453855996748</v>
      </c>
      <c r="F152">
        <v>21.195558971212524</v>
      </c>
      <c r="G152">
        <v>423184.40488569054</v>
      </c>
      <c r="H152">
        <v>2735.4315323081873</v>
      </c>
      <c r="I152">
        <v>17.573539074487115</v>
      </c>
      <c r="J152">
        <v>348735.34995743411</v>
      </c>
      <c r="K152">
        <v>2008.65699374822</v>
      </c>
      <c r="L152">
        <v>-3.6220198967254085</v>
      </c>
      <c r="M152">
        <v>-74449.054928256432</v>
      </c>
    </row>
    <row r="153" spans="4:13" x14ac:dyDescent="0.55000000000000004">
      <c r="D153">
        <v>148</v>
      </c>
      <c r="E153">
        <v>498.4236247519122</v>
      </c>
      <c r="F153">
        <v>20.922518012640403</v>
      </c>
      <c r="G153">
        <v>417951.93662805617</v>
      </c>
      <c r="H153">
        <v>2673.6315858318862</v>
      </c>
      <c r="I153">
        <v>18.89248651287928</v>
      </c>
      <c r="J153">
        <v>375176.09867175372</v>
      </c>
      <c r="K153">
        <v>2175.2079610799742</v>
      </c>
      <c r="L153">
        <v>-2.0300314997611224</v>
      </c>
      <c r="M153">
        <v>-42775.83795630245</v>
      </c>
    </row>
    <row r="154" spans="4:13" x14ac:dyDescent="0.55000000000000004">
      <c r="D154">
        <v>149</v>
      </c>
      <c r="E154">
        <v>785.06212041396282</v>
      </c>
      <c r="F154">
        <v>18.039233304154937</v>
      </c>
      <c r="G154">
        <v>359999.60396268475</v>
      </c>
      <c r="H154">
        <v>2740.6653054260623</v>
      </c>
      <c r="I154">
        <v>17.035762658267025</v>
      </c>
      <c r="J154">
        <v>337974.58785991446</v>
      </c>
      <c r="K154">
        <v>1955.6031850120994</v>
      </c>
      <c r="L154">
        <v>-1.0034706458879121</v>
      </c>
      <c r="M154">
        <v>-22025.016102770285</v>
      </c>
    </row>
    <row r="155" spans="4:13" x14ac:dyDescent="0.55000000000000004">
      <c r="D155">
        <v>150</v>
      </c>
      <c r="E155">
        <v>726.95492406088692</v>
      </c>
      <c r="F155">
        <v>21.090206566312723</v>
      </c>
      <c r="G155">
        <v>421077.17640219355</v>
      </c>
      <c r="H155">
        <v>2847.9378997248259</v>
      </c>
      <c r="I155">
        <v>18.295653467163927</v>
      </c>
      <c r="J155">
        <v>363065.13144355372</v>
      </c>
      <c r="K155">
        <v>2120.9829756639392</v>
      </c>
      <c r="L155">
        <v>-2.7945530991487963</v>
      </c>
      <c r="M155">
        <v>-58012.044958639832</v>
      </c>
    </row>
    <row r="156" spans="4:13" x14ac:dyDescent="0.55000000000000004">
      <c r="D156">
        <v>151</v>
      </c>
      <c r="E156">
        <v>885.04956548926214</v>
      </c>
      <c r="F156">
        <v>17.516269630579185</v>
      </c>
      <c r="G156">
        <v>349440.34304609441</v>
      </c>
      <c r="H156">
        <v>2746.9848254363305</v>
      </c>
      <c r="I156">
        <v>16.138047937955502</v>
      </c>
      <c r="J156">
        <v>320013.9739336737</v>
      </c>
      <c r="K156">
        <v>1861.9352599470685</v>
      </c>
      <c r="L156">
        <v>-1.3782216926236828</v>
      </c>
      <c r="M156">
        <v>-29426.369112420711</v>
      </c>
    </row>
    <row r="157" spans="4:13" x14ac:dyDescent="0.55000000000000004">
      <c r="D157">
        <v>152</v>
      </c>
      <c r="E157">
        <v>597.88050020763706</v>
      </c>
      <c r="F157">
        <v>18.913924553421865</v>
      </c>
      <c r="G157">
        <v>377680.61056822963</v>
      </c>
      <c r="H157">
        <v>3163.0944489703475</v>
      </c>
      <c r="I157">
        <v>16.265246885538534</v>
      </c>
      <c r="J157">
        <v>322141.84326180036</v>
      </c>
      <c r="K157">
        <v>2565.2139487627105</v>
      </c>
      <c r="L157">
        <v>-2.6486776678833301</v>
      </c>
      <c r="M157">
        <v>-55538.767306429276</v>
      </c>
    </row>
    <row r="158" spans="4:13" x14ac:dyDescent="0.55000000000000004">
      <c r="D158">
        <v>153</v>
      </c>
      <c r="E158">
        <v>763.98501226399082</v>
      </c>
      <c r="F158">
        <v>20.188798480842575</v>
      </c>
      <c r="G158">
        <v>403011.98460458749</v>
      </c>
      <c r="H158">
        <v>2733.7807001984484</v>
      </c>
      <c r="I158">
        <v>19.173448764859401</v>
      </c>
      <c r="J158">
        <v>380735.1945969896</v>
      </c>
      <c r="K158">
        <v>1969.7956879344574</v>
      </c>
      <c r="L158">
        <v>-1.0153497159831737</v>
      </c>
      <c r="M158">
        <v>-22276.790007597883</v>
      </c>
    </row>
    <row r="159" spans="4:13" x14ac:dyDescent="0.55000000000000004">
      <c r="D159">
        <v>154</v>
      </c>
      <c r="E159">
        <v>561.86265753332145</v>
      </c>
      <c r="F159">
        <v>19.68397630947084</v>
      </c>
      <c r="G159">
        <v>393117.66353188345</v>
      </c>
      <c r="H159">
        <v>2692.8731020368109</v>
      </c>
      <c r="I159">
        <v>17.575886721167201</v>
      </c>
      <c r="J159">
        <v>348824.86132130719</v>
      </c>
      <c r="K159">
        <v>2131.0104445034895</v>
      </c>
      <c r="L159">
        <v>-2.1080895883036384</v>
      </c>
      <c r="M159">
        <v>-44292.80221057625</v>
      </c>
    </row>
    <row r="160" spans="4:13" x14ac:dyDescent="0.55000000000000004">
      <c r="D160">
        <v>155</v>
      </c>
      <c r="E160">
        <v>992.92690542342177</v>
      </c>
      <c r="F160">
        <v>17.952035673111968</v>
      </c>
      <c r="G160">
        <v>358047.78655681596</v>
      </c>
      <c r="H160">
        <v>2786.4143433160953</v>
      </c>
      <c r="I160">
        <v>15.921032701537236</v>
      </c>
      <c r="J160">
        <v>315634.23968742864</v>
      </c>
      <c r="K160">
        <v>1793.4874378926734</v>
      </c>
      <c r="L160">
        <v>-2.0310029715747326</v>
      </c>
      <c r="M160">
        <v>-42413.546869387326</v>
      </c>
    </row>
    <row r="161" spans="4:13" x14ac:dyDescent="0.55000000000000004">
      <c r="D161">
        <v>156</v>
      </c>
      <c r="E161">
        <v>742.16430086291246</v>
      </c>
      <c r="F161">
        <v>19.29259158995756</v>
      </c>
      <c r="G161">
        <v>385109.66749828827</v>
      </c>
      <c r="H161">
        <v>2654.43779483558</v>
      </c>
      <c r="I161">
        <v>17.929079415452858</v>
      </c>
      <c r="J161">
        <v>355927.15051422158</v>
      </c>
      <c r="K161">
        <v>1912.2734939726674</v>
      </c>
      <c r="L161">
        <v>-1.3635121745047023</v>
      </c>
      <c r="M161">
        <v>-29182.516984066693</v>
      </c>
    </row>
    <row r="162" spans="4:13" x14ac:dyDescent="0.55000000000000004">
      <c r="D162">
        <v>157</v>
      </c>
      <c r="E162">
        <v>1027.9137333578583</v>
      </c>
      <c r="F162">
        <v>15.265003524075206</v>
      </c>
      <c r="G162">
        <v>304272.15674814628</v>
      </c>
      <c r="H162">
        <v>2792.4523121863754</v>
      </c>
      <c r="I162">
        <v>14.98264856058997</v>
      </c>
      <c r="J162">
        <v>296860.51889961306</v>
      </c>
      <c r="K162">
        <v>1764.5385788285171</v>
      </c>
      <c r="L162">
        <v>-0.28235496348523625</v>
      </c>
      <c r="M162">
        <v>-7411.6378485332243</v>
      </c>
    </row>
    <row r="163" spans="4:13" x14ac:dyDescent="0.55000000000000004">
      <c r="D163">
        <v>158</v>
      </c>
      <c r="E163">
        <v>619.33349891654848</v>
      </c>
      <c r="F163">
        <v>17.910809293298847</v>
      </c>
      <c r="G163">
        <v>357596.85236706043</v>
      </c>
      <c r="H163">
        <v>2740.415562181413</v>
      </c>
      <c r="I163">
        <v>16.775919111726633</v>
      </c>
      <c r="J163">
        <v>332777.96667235129</v>
      </c>
      <c r="K163">
        <v>2121.0820632648647</v>
      </c>
      <c r="L163">
        <v>-1.1348901815722137</v>
      </c>
      <c r="M163">
        <v>-24818.885694709141</v>
      </c>
    </row>
    <row r="164" spans="4:13" x14ac:dyDescent="0.55000000000000004">
      <c r="D164">
        <v>159</v>
      </c>
      <c r="E164">
        <v>999.82941529962477</v>
      </c>
      <c r="F164">
        <v>19.993305230176198</v>
      </c>
      <c r="G164">
        <v>398866.27518822433</v>
      </c>
      <c r="H164">
        <v>2910.984078457197</v>
      </c>
      <c r="I164">
        <v>17.192419824627507</v>
      </c>
      <c r="J164">
        <v>340937.41241409298</v>
      </c>
      <c r="K164">
        <v>1911.1546631575723</v>
      </c>
      <c r="L164">
        <v>-2.8008854055486907</v>
      </c>
      <c r="M164">
        <v>-57928.862774131354</v>
      </c>
    </row>
    <row r="165" spans="4:13" x14ac:dyDescent="0.55000000000000004">
      <c r="D165">
        <v>160</v>
      </c>
      <c r="E165">
        <v>843.29346135311175</v>
      </c>
      <c r="F165">
        <v>18.968948712870816</v>
      </c>
      <c r="G165">
        <v>378535.68079606321</v>
      </c>
      <c r="H165">
        <v>2636.6603986756568</v>
      </c>
      <c r="I165">
        <v>18.018889361278177</v>
      </c>
      <c r="J165">
        <v>357741.12682688789</v>
      </c>
      <c r="K165">
        <v>1793.366937322545</v>
      </c>
      <c r="L165">
        <v>-0.95005935159263899</v>
      </c>
      <c r="M165">
        <v>-20794.553969175322</v>
      </c>
    </row>
    <row r="166" spans="4:13" x14ac:dyDescent="0.55000000000000004">
      <c r="D166">
        <v>161</v>
      </c>
      <c r="E166">
        <v>794.82783038746641</v>
      </c>
      <c r="F166">
        <v>17.062098824935045</v>
      </c>
      <c r="G166">
        <v>340447.14866831346</v>
      </c>
      <c r="H166">
        <v>2698.5385312179751</v>
      </c>
      <c r="I166">
        <v>15.214098237733069</v>
      </c>
      <c r="J166">
        <v>301583.42622344341</v>
      </c>
      <c r="K166">
        <v>1903.7107008305088</v>
      </c>
      <c r="L166">
        <v>-1.8480005872019767</v>
      </c>
      <c r="M166">
        <v>-38863.722444870044</v>
      </c>
    </row>
    <row r="167" spans="4:13" x14ac:dyDescent="0.55000000000000004">
      <c r="D167">
        <v>162</v>
      </c>
      <c r="E167">
        <v>736.28069091404961</v>
      </c>
      <c r="F167">
        <v>20.174340150865099</v>
      </c>
      <c r="G167">
        <v>402750.52232638793</v>
      </c>
      <c r="H167">
        <v>2788.6058124955416</v>
      </c>
      <c r="I167">
        <v>18.971469792350387</v>
      </c>
      <c r="J167">
        <v>376640.79003451223</v>
      </c>
      <c r="K167">
        <v>2052.3251215814921</v>
      </c>
      <c r="L167">
        <v>-1.202870358514712</v>
      </c>
      <c r="M167">
        <v>-26109.732291875698</v>
      </c>
    </row>
    <row r="168" spans="4:13" x14ac:dyDescent="0.55000000000000004">
      <c r="D168">
        <v>163</v>
      </c>
      <c r="E168">
        <v>484.60391285392672</v>
      </c>
      <c r="F168">
        <v>18.893770348642345</v>
      </c>
      <c r="G168">
        <v>377390.80305999296</v>
      </c>
      <c r="H168">
        <v>2735.3792381364869</v>
      </c>
      <c r="I168">
        <v>17.103874372069154</v>
      </c>
      <c r="J168">
        <v>339342.10820324661</v>
      </c>
      <c r="K168">
        <v>2250.7753252825601</v>
      </c>
      <c r="L168">
        <v>-1.7898959765731917</v>
      </c>
      <c r="M168">
        <v>-38048.694856746355</v>
      </c>
    </row>
    <row r="169" spans="4:13" x14ac:dyDescent="0.55000000000000004">
      <c r="D169">
        <v>164</v>
      </c>
      <c r="E169">
        <v>716.12259556250638</v>
      </c>
      <c r="F169">
        <v>20.197210346366756</v>
      </c>
      <c r="G169">
        <v>403228.08433177264</v>
      </c>
      <c r="H169">
        <v>2653.3065158421923</v>
      </c>
      <c r="I169">
        <v>17.79603423121122</v>
      </c>
      <c r="J169">
        <v>353267.37810838217</v>
      </c>
      <c r="K169">
        <v>1937.1839202796859</v>
      </c>
      <c r="L169">
        <v>-2.4011761151555362</v>
      </c>
      <c r="M169">
        <v>-49960.706223390473</v>
      </c>
    </row>
    <row r="170" spans="4:13" x14ac:dyDescent="0.55000000000000004">
      <c r="D170">
        <v>165</v>
      </c>
      <c r="E170">
        <v>537.84104557903902</v>
      </c>
      <c r="F170">
        <v>20.78519310359226</v>
      </c>
      <c r="G170">
        <v>415166.02102626616</v>
      </c>
      <c r="H170">
        <v>2691.2847798295393</v>
      </c>
      <c r="I170">
        <v>19.006981626074325</v>
      </c>
      <c r="J170">
        <v>377448.34774165694</v>
      </c>
      <c r="K170">
        <v>2153.4437342505003</v>
      </c>
      <c r="L170">
        <v>-1.7782114775179352</v>
      </c>
      <c r="M170">
        <v>-37717.67328460922</v>
      </c>
    </row>
    <row r="171" spans="4:13" x14ac:dyDescent="0.55000000000000004">
      <c r="D171">
        <v>166</v>
      </c>
      <c r="E171">
        <v>773.398348356425</v>
      </c>
      <c r="F171">
        <v>16.992084327393915</v>
      </c>
      <c r="G171">
        <v>339068.28819952189</v>
      </c>
      <c r="H171">
        <v>2806.6176859020752</v>
      </c>
      <c r="I171">
        <v>15.606596901622471</v>
      </c>
      <c r="J171">
        <v>309325.32034654735</v>
      </c>
      <c r="K171">
        <v>2033.2193375456502</v>
      </c>
      <c r="L171">
        <v>-1.3854874257714442</v>
      </c>
      <c r="M171">
        <v>-29742.967852974543</v>
      </c>
    </row>
    <row r="172" spans="4:13" x14ac:dyDescent="0.55000000000000004">
      <c r="D172">
        <v>167</v>
      </c>
      <c r="E172">
        <v>712.73471499594098</v>
      </c>
      <c r="F172">
        <v>19.831463983327993</v>
      </c>
      <c r="G172">
        <v>395916.54495156388</v>
      </c>
      <c r="H172">
        <v>2863.1807159174214</v>
      </c>
      <c r="I172">
        <v>18.241625360980358</v>
      </c>
      <c r="J172">
        <v>361969.32650368969</v>
      </c>
      <c r="K172">
        <v>2150.4460009214804</v>
      </c>
      <c r="L172">
        <v>-1.5898386223476351</v>
      </c>
      <c r="M172">
        <v>-33947.218447874184</v>
      </c>
    </row>
    <row r="173" spans="4:13" x14ac:dyDescent="0.55000000000000004">
      <c r="D173">
        <v>168</v>
      </c>
      <c r="E173">
        <v>836.69789942465775</v>
      </c>
      <c r="F173">
        <v>20.616500387367285</v>
      </c>
      <c r="G173">
        <v>411493.30984792107</v>
      </c>
      <c r="H173">
        <v>2728.7857658111407</v>
      </c>
      <c r="I173">
        <v>19.046915406470092</v>
      </c>
      <c r="J173">
        <v>378209.52236359066</v>
      </c>
      <c r="K173">
        <v>1892.0878663864828</v>
      </c>
      <c r="L173">
        <v>-1.5695849808971936</v>
      </c>
      <c r="M173">
        <v>-33283.787484330416</v>
      </c>
    </row>
    <row r="174" spans="4:13" x14ac:dyDescent="0.55000000000000004">
      <c r="D174">
        <v>169</v>
      </c>
      <c r="E174">
        <v>835.2668686695896</v>
      </c>
      <c r="F174">
        <v>17.718293012367823</v>
      </c>
      <c r="G174">
        <v>353530.59337868687</v>
      </c>
      <c r="H174">
        <v>2674.5355323390336</v>
      </c>
      <c r="I174">
        <v>16.575956874307121</v>
      </c>
      <c r="J174">
        <v>328844.60195380339</v>
      </c>
      <c r="K174">
        <v>1839.2686636694439</v>
      </c>
      <c r="L174">
        <v>-1.1423361380607027</v>
      </c>
      <c r="M174">
        <v>-24685.991424883483</v>
      </c>
    </row>
    <row r="175" spans="4:13" x14ac:dyDescent="0.55000000000000004">
      <c r="D175">
        <v>170</v>
      </c>
      <c r="E175">
        <v>318.37931046233439</v>
      </c>
      <c r="F175">
        <v>15.94594736334202</v>
      </c>
      <c r="G175">
        <v>318600.56795637804</v>
      </c>
      <c r="H175">
        <v>2683.6171573473271</v>
      </c>
      <c r="I175">
        <v>14.232888020284662</v>
      </c>
      <c r="J175">
        <v>281974.14324834594</v>
      </c>
      <c r="K175">
        <v>2365.2378468849929</v>
      </c>
      <c r="L175">
        <v>-1.713059343057358</v>
      </c>
      <c r="M175">
        <v>-36626.424708032107</v>
      </c>
    </row>
    <row r="176" spans="4:13" x14ac:dyDescent="0.55000000000000004">
      <c r="D176">
        <v>171</v>
      </c>
      <c r="E176">
        <v>868.65637525136765</v>
      </c>
      <c r="F176">
        <v>19.686783528255337</v>
      </c>
      <c r="G176">
        <v>392867.01418985537</v>
      </c>
      <c r="H176">
        <v>2686.1176179372414</v>
      </c>
      <c r="I176">
        <v>18.631352487045117</v>
      </c>
      <c r="J176">
        <v>369940.93212296511</v>
      </c>
      <c r="K176">
        <v>1817.4612426858739</v>
      </c>
      <c r="L176">
        <v>-1.0554310412102197</v>
      </c>
      <c r="M176">
        <v>-22926.08206689026</v>
      </c>
    </row>
    <row r="177" spans="4:13" x14ac:dyDescent="0.55000000000000004">
      <c r="D177">
        <v>172</v>
      </c>
      <c r="E177">
        <v>648.01968802473357</v>
      </c>
      <c r="F177">
        <v>19.662459872488213</v>
      </c>
      <c r="G177">
        <v>392601.17776173959</v>
      </c>
      <c r="H177">
        <v>2895.9320081239407</v>
      </c>
      <c r="I177">
        <v>17.784310999545472</v>
      </c>
      <c r="J177">
        <v>352790.28798278549</v>
      </c>
      <c r="K177">
        <v>2247.9123200992071</v>
      </c>
      <c r="L177">
        <v>-1.8781488729427416</v>
      </c>
      <c r="M177">
        <v>-39810.889778954093</v>
      </c>
    </row>
    <row r="178" spans="4:13" x14ac:dyDescent="0.55000000000000004">
      <c r="D178">
        <v>173</v>
      </c>
      <c r="E178">
        <v>633.14496780676711</v>
      </c>
      <c r="F178">
        <v>18.21463789367613</v>
      </c>
      <c r="G178">
        <v>363659.61290571583</v>
      </c>
      <c r="H178">
        <v>2663.5625088292923</v>
      </c>
      <c r="I178">
        <v>17.59536886290697</v>
      </c>
      <c r="J178">
        <v>349243.81474931008</v>
      </c>
      <c r="K178">
        <v>2030.4175410225253</v>
      </c>
      <c r="L178">
        <v>-0.61926903076916062</v>
      </c>
      <c r="M178">
        <v>-14415.798156405741</v>
      </c>
    </row>
    <row r="179" spans="4:13" x14ac:dyDescent="0.55000000000000004">
      <c r="D179">
        <v>174</v>
      </c>
      <c r="E179">
        <v>904.37375112723907</v>
      </c>
      <c r="F179">
        <v>18.621325961557549</v>
      </c>
      <c r="G179">
        <v>371522.14548002376</v>
      </c>
      <c r="H179">
        <v>2682.8482669269019</v>
      </c>
      <c r="I179">
        <v>17.445497306282185</v>
      </c>
      <c r="J179">
        <v>346227.09785871679</v>
      </c>
      <c r="K179">
        <v>1778.4745157996629</v>
      </c>
      <c r="L179">
        <v>-1.1758286552753638</v>
      </c>
      <c r="M179">
        <v>-25295.047621306963</v>
      </c>
    </row>
    <row r="180" spans="4:13" x14ac:dyDescent="0.55000000000000004">
      <c r="D180">
        <v>175</v>
      </c>
      <c r="E180">
        <v>839.61135172670924</v>
      </c>
      <c r="F180">
        <v>18.563382450271419</v>
      </c>
      <c r="G180">
        <v>370428.03765370167</v>
      </c>
      <c r="H180">
        <v>2673.6859108585568</v>
      </c>
      <c r="I180">
        <v>17.664045545282651</v>
      </c>
      <c r="J180">
        <v>350607.22499479447</v>
      </c>
      <c r="K180">
        <v>1834.0745591318475</v>
      </c>
      <c r="L180">
        <v>-0.89933690498876828</v>
      </c>
      <c r="M180">
        <v>-19820.812658907205</v>
      </c>
    </row>
    <row r="181" spans="4:13" x14ac:dyDescent="0.55000000000000004">
      <c r="D181">
        <v>176</v>
      </c>
      <c r="E181">
        <v>301.87327156239593</v>
      </c>
      <c r="F181">
        <v>19.178344190620336</v>
      </c>
      <c r="G181">
        <v>383265.01054084435</v>
      </c>
      <c r="H181">
        <v>2760.6784520434708</v>
      </c>
      <c r="I181">
        <v>17.356393008154363</v>
      </c>
      <c r="J181">
        <v>344367.18171104381</v>
      </c>
      <c r="K181">
        <v>2458.8051804810748</v>
      </c>
      <c r="L181">
        <v>-1.8219511824659733</v>
      </c>
      <c r="M181">
        <v>-38897.828829800535</v>
      </c>
    </row>
    <row r="182" spans="4:13" x14ac:dyDescent="0.55000000000000004">
      <c r="D182">
        <v>177</v>
      </c>
      <c r="E182">
        <v>753.28093501751368</v>
      </c>
      <c r="F182">
        <v>18.208756631036163</v>
      </c>
      <c r="G182">
        <v>363421.85168570577</v>
      </c>
      <c r="H182">
        <v>3066.5542520275176</v>
      </c>
      <c r="I182">
        <v>16.677918193100634</v>
      </c>
      <c r="J182">
        <v>330491.80960998515</v>
      </c>
      <c r="K182">
        <v>2313.2733170100037</v>
      </c>
      <c r="L182">
        <v>-1.5308384379355289</v>
      </c>
      <c r="M182">
        <v>-32930.042075720616</v>
      </c>
    </row>
    <row r="183" spans="4:13" x14ac:dyDescent="0.55000000000000004">
      <c r="D183">
        <v>178</v>
      </c>
      <c r="E183">
        <v>779.97325055242607</v>
      </c>
      <c r="F183">
        <v>17.996923591379367</v>
      </c>
      <c r="G183">
        <v>359158.49857703492</v>
      </c>
      <c r="H183">
        <v>2730.0288210181043</v>
      </c>
      <c r="I183">
        <v>16.873109881962705</v>
      </c>
      <c r="J183">
        <v>334732.16881823598</v>
      </c>
      <c r="K183">
        <v>1950.0555704656781</v>
      </c>
      <c r="L183">
        <v>-1.1238137094166625</v>
      </c>
      <c r="M183">
        <v>-24426.329758798936</v>
      </c>
    </row>
    <row r="184" spans="4:13" x14ac:dyDescent="0.55000000000000004">
      <c r="D184">
        <v>179</v>
      </c>
      <c r="E184">
        <v>764.64321143673521</v>
      </c>
      <c r="F184">
        <v>22.246830367824955</v>
      </c>
      <c r="G184">
        <v>444171.96414506237</v>
      </c>
      <c r="H184">
        <v>2801.8382425537548</v>
      </c>
      <c r="I184">
        <v>19.066376308162521</v>
      </c>
      <c r="J184">
        <v>378525.68792069668</v>
      </c>
      <c r="K184">
        <v>2037.1950311170194</v>
      </c>
      <c r="L184">
        <v>-3.1804540596624342</v>
      </c>
      <c r="M184">
        <v>-65646.276224365691</v>
      </c>
    </row>
    <row r="185" spans="4:13" x14ac:dyDescent="0.55000000000000004">
      <c r="D185">
        <v>180</v>
      </c>
      <c r="E185">
        <v>311.84204304674756</v>
      </c>
      <c r="F185">
        <v>19.132924077330316</v>
      </c>
      <c r="G185">
        <v>382346.63950355956</v>
      </c>
      <c r="H185">
        <v>2679.3184088725711</v>
      </c>
      <c r="I185">
        <v>18.088564912402386</v>
      </c>
      <c r="J185">
        <v>359091.97983917512</v>
      </c>
      <c r="K185">
        <v>2367.4763658258234</v>
      </c>
      <c r="L185">
        <v>-1.0443591649279291</v>
      </c>
      <c r="M185">
        <v>-23254.659664384439</v>
      </c>
    </row>
    <row r="186" spans="4:13" x14ac:dyDescent="0.55000000000000004">
      <c r="D186">
        <v>181</v>
      </c>
      <c r="E186">
        <v>735.52045538274263</v>
      </c>
      <c r="F186">
        <v>20.820351772628239</v>
      </c>
      <c r="G186">
        <v>415671.51499718201</v>
      </c>
      <c r="H186">
        <v>2657.7177243829319</v>
      </c>
      <c r="I186">
        <v>19.959861179248659</v>
      </c>
      <c r="J186">
        <v>396539.50586059026</v>
      </c>
      <c r="K186">
        <v>1922.1972690001894</v>
      </c>
      <c r="L186">
        <v>-0.86049059337958056</v>
      </c>
      <c r="M186">
        <v>-19132.009136591747</v>
      </c>
    </row>
    <row r="187" spans="4:13" x14ac:dyDescent="0.55000000000000004">
      <c r="D187">
        <v>182</v>
      </c>
      <c r="E187">
        <v>513.44984026638917</v>
      </c>
      <c r="F187">
        <v>18.734439721445046</v>
      </c>
      <c r="G187">
        <v>374175.34458863456</v>
      </c>
      <c r="H187">
        <v>2749.6439614645651</v>
      </c>
      <c r="I187">
        <v>16.423331279084369</v>
      </c>
      <c r="J187">
        <v>325716.9816202228</v>
      </c>
      <c r="K187">
        <v>2236.1941211981757</v>
      </c>
      <c r="L187">
        <v>-2.3111084423606769</v>
      </c>
      <c r="M187">
        <v>-48458.362968411762</v>
      </c>
    </row>
    <row r="188" spans="4:13" x14ac:dyDescent="0.55000000000000004">
      <c r="D188">
        <v>183</v>
      </c>
      <c r="E188">
        <v>537.19890649780086</v>
      </c>
      <c r="F188">
        <v>18.839067255908514</v>
      </c>
      <c r="G188">
        <v>376244.14621167246</v>
      </c>
      <c r="H188">
        <v>2782.2809697093953</v>
      </c>
      <c r="I188">
        <v>16.938527717047666</v>
      </c>
      <c r="J188">
        <v>335988.27337124391</v>
      </c>
      <c r="K188">
        <v>2245.0820632115947</v>
      </c>
      <c r="L188">
        <v>-1.9005395388608477</v>
      </c>
      <c r="M188">
        <v>-40255.87284042855</v>
      </c>
    </row>
    <row r="189" spans="4:13" x14ac:dyDescent="0.55000000000000004">
      <c r="D189">
        <v>184</v>
      </c>
      <c r="E189">
        <v>547.32640548002428</v>
      </c>
      <c r="F189">
        <v>18.47563311472792</v>
      </c>
      <c r="G189">
        <v>368965.33588907839</v>
      </c>
      <c r="H189">
        <v>2631.1621453198136</v>
      </c>
      <c r="I189">
        <v>17.275397743677601</v>
      </c>
      <c r="J189">
        <v>342876.79272823222</v>
      </c>
      <c r="K189">
        <v>2083.8357398397893</v>
      </c>
      <c r="L189">
        <v>-1.2002353710503186</v>
      </c>
      <c r="M189">
        <v>-26088.543160846166</v>
      </c>
    </row>
    <row r="190" spans="4:13" x14ac:dyDescent="0.55000000000000004">
      <c r="D190">
        <v>185</v>
      </c>
      <c r="E190">
        <v>842.05237996936057</v>
      </c>
      <c r="F190">
        <v>21.121444776164786</v>
      </c>
      <c r="G190">
        <v>421586.8431433264</v>
      </c>
      <c r="H190">
        <v>2670.0484576348017</v>
      </c>
      <c r="I190">
        <v>20.050620769732578</v>
      </c>
      <c r="J190">
        <v>398342.36693701678</v>
      </c>
      <c r="K190">
        <v>1827.9960776654411</v>
      </c>
      <c r="L190">
        <v>-1.0708240064322077</v>
      </c>
      <c r="M190">
        <v>-23244.476206309628</v>
      </c>
    </row>
    <row r="191" spans="4:13" x14ac:dyDescent="0.55000000000000004">
      <c r="D191">
        <v>186</v>
      </c>
      <c r="E191">
        <v>614.86645223274468</v>
      </c>
      <c r="F191">
        <v>20.082677145520027</v>
      </c>
      <c r="G191">
        <v>401038.67645816779</v>
      </c>
      <c r="H191">
        <v>2769.4013231993913</v>
      </c>
      <c r="I191">
        <v>18.052639322380966</v>
      </c>
      <c r="J191">
        <v>358283.38512441993</v>
      </c>
      <c r="K191">
        <v>2154.5348709666468</v>
      </c>
      <c r="L191">
        <v>-2.030037823139061</v>
      </c>
      <c r="M191">
        <v>-42755.291333747853</v>
      </c>
    </row>
    <row r="192" spans="4:13" x14ac:dyDescent="0.55000000000000004">
      <c r="D192">
        <v>187</v>
      </c>
      <c r="E192">
        <v>841.99038850287809</v>
      </c>
      <c r="F192">
        <v>19.370626992956872</v>
      </c>
      <c r="G192">
        <v>386570.54947063455</v>
      </c>
      <c r="H192">
        <v>2712.367228617888</v>
      </c>
      <c r="I192">
        <v>17.961248463070671</v>
      </c>
      <c r="J192">
        <v>356512.60203279555</v>
      </c>
      <c r="K192">
        <v>1870.3768401150101</v>
      </c>
      <c r="L192">
        <v>-1.4093785298862009</v>
      </c>
      <c r="M192">
        <v>-30057.947437839</v>
      </c>
    </row>
    <row r="193" spans="4:13" x14ac:dyDescent="0.55000000000000004">
      <c r="D193">
        <v>188</v>
      </c>
      <c r="E193">
        <v>502.13140173112907</v>
      </c>
      <c r="F193">
        <v>15.69820773578647</v>
      </c>
      <c r="G193">
        <v>313462.0233139983</v>
      </c>
      <c r="H193">
        <v>2757.6280308814421</v>
      </c>
      <c r="I193">
        <v>14.319287967626819</v>
      </c>
      <c r="J193">
        <v>283628.13132165489</v>
      </c>
      <c r="K193">
        <v>2255.4966291503129</v>
      </c>
      <c r="L193">
        <v>-1.3789197681596512</v>
      </c>
      <c r="M193">
        <v>-29833.891992343415</v>
      </c>
    </row>
    <row r="194" spans="4:13" x14ac:dyDescent="0.55000000000000004">
      <c r="D194">
        <v>189</v>
      </c>
      <c r="E194">
        <v>1032.2878641697234</v>
      </c>
      <c r="F194">
        <v>18.005186722385229</v>
      </c>
      <c r="G194">
        <v>359071.44658353482</v>
      </c>
      <c r="H194">
        <v>2754.799315289798</v>
      </c>
      <c r="I194">
        <v>17.188845770957517</v>
      </c>
      <c r="J194">
        <v>341022.11610386055</v>
      </c>
      <c r="K194">
        <v>1722.5114511200745</v>
      </c>
      <c r="L194">
        <v>-0.81634095142771201</v>
      </c>
      <c r="M194">
        <v>-18049.330479674274</v>
      </c>
    </row>
    <row r="195" spans="4:13" x14ac:dyDescent="0.55000000000000004">
      <c r="D195">
        <v>190</v>
      </c>
      <c r="E195">
        <v>643.08046808269569</v>
      </c>
      <c r="F195">
        <v>19.477260514665016</v>
      </c>
      <c r="G195">
        <v>388902.12982521765</v>
      </c>
      <c r="H195">
        <v>2759.0312413986881</v>
      </c>
      <c r="I195">
        <v>17.365143216328612</v>
      </c>
      <c r="J195">
        <v>344543.83308517351</v>
      </c>
      <c r="K195">
        <v>2115.9507733159926</v>
      </c>
      <c r="L195">
        <v>-2.112117298336404</v>
      </c>
      <c r="M195">
        <v>-44358.296740044141</v>
      </c>
    </row>
    <row r="196" spans="4:13" x14ac:dyDescent="0.55000000000000004">
      <c r="D196">
        <v>191</v>
      </c>
      <c r="E196">
        <v>384.14106162964453</v>
      </c>
      <c r="F196">
        <v>19.058675776698941</v>
      </c>
      <c r="G196">
        <v>380789.37447234918</v>
      </c>
      <c r="H196">
        <v>2755.4451230825898</v>
      </c>
      <c r="I196">
        <v>17.123126678376181</v>
      </c>
      <c r="J196">
        <v>339707.08844444103</v>
      </c>
      <c r="K196">
        <v>2371.3040614529455</v>
      </c>
      <c r="L196">
        <v>-1.9355490983227597</v>
      </c>
      <c r="M196">
        <v>-41082.286027908151</v>
      </c>
    </row>
    <row r="197" spans="4:13" x14ac:dyDescent="0.55000000000000004">
      <c r="D197">
        <v>192</v>
      </c>
      <c r="E197">
        <v>777.17191047645269</v>
      </c>
      <c r="F197">
        <v>18.557142675523394</v>
      </c>
      <c r="G197">
        <v>370365.6815999914</v>
      </c>
      <c r="H197">
        <v>2692.1019565183706</v>
      </c>
      <c r="I197">
        <v>17.663267968418037</v>
      </c>
      <c r="J197">
        <v>350573.25741184235</v>
      </c>
      <c r="K197">
        <v>1914.9300460419179</v>
      </c>
      <c r="L197">
        <v>-0.89387470710535766</v>
      </c>
      <c r="M197">
        <v>-19792.424188149045</v>
      </c>
    </row>
    <row r="198" spans="4:13" x14ac:dyDescent="0.55000000000000004">
      <c r="D198">
        <v>193</v>
      </c>
      <c r="E198">
        <v>970.93415116054291</v>
      </c>
      <c r="F198">
        <v>20.291213469498693</v>
      </c>
      <c r="G198">
        <v>404853.33523881331</v>
      </c>
      <c r="H198">
        <v>2647.8880991957476</v>
      </c>
      <c r="I198">
        <v>19.881074997572821</v>
      </c>
      <c r="J198">
        <v>394973.61185226071</v>
      </c>
      <c r="K198">
        <v>1676.9539480352046</v>
      </c>
      <c r="L198">
        <v>-0.41013847192587249</v>
      </c>
      <c r="M198">
        <v>-9879.7233865525923</v>
      </c>
    </row>
    <row r="199" spans="4:13" x14ac:dyDescent="0.55000000000000004">
      <c r="D199">
        <v>194</v>
      </c>
      <c r="E199">
        <v>805.24580492959012</v>
      </c>
      <c r="F199">
        <v>21.145791649612597</v>
      </c>
      <c r="G199">
        <v>422110.58718732238</v>
      </c>
      <c r="H199">
        <v>2804.4906772360864</v>
      </c>
      <c r="I199">
        <v>19.108442869835752</v>
      </c>
      <c r="J199">
        <v>379364.36671947892</v>
      </c>
      <c r="K199">
        <v>1999.2448723064963</v>
      </c>
      <c r="L199">
        <v>-2.0373487797768455</v>
      </c>
      <c r="M199">
        <v>-42746.220467843465</v>
      </c>
    </row>
    <row r="200" spans="4:13" x14ac:dyDescent="0.55000000000000004">
      <c r="D200">
        <v>195</v>
      </c>
      <c r="E200">
        <v>609.8366266643568</v>
      </c>
      <c r="F200">
        <v>18.077449535467796</v>
      </c>
      <c r="G200">
        <v>360939.15408269159</v>
      </c>
      <c r="H200">
        <v>2772.382510341487</v>
      </c>
      <c r="I200">
        <v>16.980213266209187</v>
      </c>
      <c r="J200">
        <v>336831.88281384227</v>
      </c>
      <c r="K200">
        <v>2162.5458836771304</v>
      </c>
      <c r="L200">
        <v>-1.0972362692586088</v>
      </c>
      <c r="M200">
        <v>-24107.271268849319</v>
      </c>
    </row>
    <row r="201" spans="4:13" x14ac:dyDescent="0.55000000000000004">
      <c r="D201">
        <v>196</v>
      </c>
      <c r="E201">
        <v>681.7874393651316</v>
      </c>
      <c r="F201">
        <v>23.026158669882715</v>
      </c>
      <c r="G201">
        <v>459841.3859582892</v>
      </c>
      <c r="H201">
        <v>2732.3389402825705</v>
      </c>
      <c r="I201">
        <v>20.934735573724165</v>
      </c>
      <c r="J201">
        <v>415962.37253420072</v>
      </c>
      <c r="K201">
        <v>2050.5515009174387</v>
      </c>
      <c r="L201">
        <v>-2.0914230961585503</v>
      </c>
      <c r="M201">
        <v>-43879.01342408848</v>
      </c>
    </row>
    <row r="202" spans="4:13" x14ac:dyDescent="0.55000000000000004">
      <c r="D202">
        <v>197</v>
      </c>
      <c r="E202">
        <v>917.04567888856002</v>
      </c>
      <c r="F202">
        <v>13.578713683837577</v>
      </c>
      <c r="G202">
        <v>270657.22799786297</v>
      </c>
      <c r="H202">
        <v>3028.0702740388679</v>
      </c>
      <c r="I202">
        <v>13.077177506662457</v>
      </c>
      <c r="J202">
        <v>258515.47985921026</v>
      </c>
      <c r="K202">
        <v>2111.024595150308</v>
      </c>
      <c r="L202">
        <v>-0.50153617717512056</v>
      </c>
      <c r="M202">
        <v>-12141.748138652707</v>
      </c>
    </row>
    <row r="203" spans="4:13" x14ac:dyDescent="0.55000000000000004">
      <c r="D203">
        <v>198</v>
      </c>
      <c r="E203">
        <v>638.10392705537129</v>
      </c>
      <c r="F203">
        <v>17.330260911817589</v>
      </c>
      <c r="G203">
        <v>345967.11430929642</v>
      </c>
      <c r="H203">
        <v>2675.8658420107558</v>
      </c>
      <c r="I203">
        <v>16.386794497325162</v>
      </c>
      <c r="J203">
        <v>325060.02410449251</v>
      </c>
      <c r="K203">
        <v>2037.7619149553846</v>
      </c>
      <c r="L203">
        <v>-0.94346641449242696</v>
      </c>
      <c r="M203">
        <v>-20907.090204803913</v>
      </c>
    </row>
    <row r="204" spans="4:13" x14ac:dyDescent="0.55000000000000004">
      <c r="D204">
        <v>199</v>
      </c>
      <c r="E204">
        <v>667.25382374764581</v>
      </c>
      <c r="F204">
        <v>19.561120742065825</v>
      </c>
      <c r="G204">
        <v>390555.16101756884</v>
      </c>
      <c r="H204">
        <v>2702.9342421240976</v>
      </c>
      <c r="I204">
        <v>18.447740235919362</v>
      </c>
      <c r="J204">
        <v>366251.87047626317</v>
      </c>
      <c r="K204">
        <v>2035.6804183764518</v>
      </c>
      <c r="L204">
        <v>-1.1133805061464628</v>
      </c>
      <c r="M204">
        <v>-24303.290541305672</v>
      </c>
    </row>
    <row r="205" spans="4:13" x14ac:dyDescent="0.55000000000000004">
      <c r="D205">
        <v>200</v>
      </c>
      <c r="E205">
        <v>775.5600015848828</v>
      </c>
      <c r="F205">
        <v>21.548183346370006</v>
      </c>
      <c r="G205">
        <v>430188.10692581523</v>
      </c>
      <c r="H205">
        <v>2885.5449611385257</v>
      </c>
      <c r="I205">
        <v>19.791689989457712</v>
      </c>
      <c r="J205">
        <v>392948.25482801575</v>
      </c>
      <c r="K205">
        <v>2109.984959553643</v>
      </c>
      <c r="L205">
        <v>-1.7564933569122942</v>
      </c>
      <c r="M205">
        <v>-37239.852097799478</v>
      </c>
    </row>
    <row r="206" spans="4:13" x14ac:dyDescent="0.55000000000000004">
      <c r="D206">
        <v>201</v>
      </c>
      <c r="E206">
        <v>461.704680695246</v>
      </c>
      <c r="F206">
        <v>19.073120072447825</v>
      </c>
      <c r="G206">
        <v>381000.69676826126</v>
      </c>
      <c r="H206">
        <v>2892.2808753296081</v>
      </c>
      <c r="I206">
        <v>17.21016359638843</v>
      </c>
      <c r="J206">
        <v>341310.99105243897</v>
      </c>
      <c r="K206">
        <v>2430.5761946343619</v>
      </c>
      <c r="L206">
        <v>-1.8629564760593951</v>
      </c>
      <c r="M206">
        <v>-39689.705715822289</v>
      </c>
    </row>
    <row r="207" spans="4:13" x14ac:dyDescent="0.55000000000000004">
      <c r="D207">
        <v>202</v>
      </c>
      <c r="E207">
        <v>466.54822362655284</v>
      </c>
      <c r="F207">
        <v>19.136616269382259</v>
      </c>
      <c r="G207">
        <v>382265.7771640186</v>
      </c>
      <c r="H207">
        <v>2842.1398649365287</v>
      </c>
      <c r="I207">
        <v>17.444965808183518</v>
      </c>
      <c r="J207">
        <v>346057.17629873386</v>
      </c>
      <c r="K207">
        <v>2375.5916413099758</v>
      </c>
      <c r="L207">
        <v>-1.6916504611987406</v>
      </c>
      <c r="M207">
        <v>-36208.600865284738</v>
      </c>
    </row>
    <row r="208" spans="4:13" x14ac:dyDescent="0.55000000000000004">
      <c r="D208">
        <v>203</v>
      </c>
      <c r="E208">
        <v>887.5003866546333</v>
      </c>
      <c r="F208">
        <v>20.833691425916019</v>
      </c>
      <c r="G208">
        <v>415786.32813166577</v>
      </c>
      <c r="H208">
        <v>2821.7577177245253</v>
      </c>
      <c r="I208">
        <v>19.700227521241153</v>
      </c>
      <c r="J208">
        <v>391182.79270709853</v>
      </c>
      <c r="K208">
        <v>1934.257331069892</v>
      </c>
      <c r="L208">
        <v>-1.1334639046748656</v>
      </c>
      <c r="M208">
        <v>-24603.535424567235</v>
      </c>
    </row>
    <row r="209" spans="4:13" x14ac:dyDescent="0.55000000000000004">
      <c r="D209">
        <v>204</v>
      </c>
      <c r="E209">
        <v>575.15875988891798</v>
      </c>
      <c r="F209">
        <v>17.832030802024963</v>
      </c>
      <c r="G209">
        <v>356065.45728061034</v>
      </c>
      <c r="H209">
        <v>2964.6473123732858</v>
      </c>
      <c r="I209">
        <v>16.536985278428947</v>
      </c>
      <c r="J209">
        <v>327775.0582562057</v>
      </c>
      <c r="K209">
        <v>2389.4885524843676</v>
      </c>
      <c r="L209">
        <v>-1.2950455235960163</v>
      </c>
      <c r="M209">
        <v>-28290.399024404644</v>
      </c>
    </row>
    <row r="210" spans="4:13" x14ac:dyDescent="0.55000000000000004">
      <c r="D210">
        <v>205</v>
      </c>
      <c r="E210">
        <v>546.41346124743245</v>
      </c>
      <c r="F210">
        <v>20.948274030996433</v>
      </c>
      <c r="G210">
        <v>418419.06715868122</v>
      </c>
      <c r="H210">
        <v>2873.3630503037157</v>
      </c>
      <c r="I210">
        <v>17.870937024828592</v>
      </c>
      <c r="J210">
        <v>354545.3774462681</v>
      </c>
      <c r="K210">
        <v>2326.949589056283</v>
      </c>
      <c r="L210">
        <v>-3.0773370061678413</v>
      </c>
      <c r="M210">
        <v>-63873.689712413121</v>
      </c>
    </row>
    <row r="211" spans="4:13" x14ac:dyDescent="0.55000000000000004">
      <c r="D211">
        <v>206</v>
      </c>
      <c r="E211">
        <v>668.55165816108229</v>
      </c>
      <c r="F211">
        <v>21.005802130687258</v>
      </c>
      <c r="G211">
        <v>419447.49095558404</v>
      </c>
      <c r="H211">
        <v>2832.9121684263819</v>
      </c>
      <c r="I211">
        <v>19.52847300492412</v>
      </c>
      <c r="J211">
        <v>387736.547930056</v>
      </c>
      <c r="K211">
        <v>2164.3605102652996</v>
      </c>
      <c r="L211">
        <v>-1.4773291257631378</v>
      </c>
      <c r="M211">
        <v>-31710.943025528046</v>
      </c>
    </row>
    <row r="212" spans="4:13" x14ac:dyDescent="0.55000000000000004">
      <c r="D212">
        <v>207</v>
      </c>
      <c r="E212">
        <v>964.91655208115424</v>
      </c>
      <c r="F212">
        <v>21.069519725937269</v>
      </c>
      <c r="G212">
        <v>420425.47796666418</v>
      </c>
      <c r="H212">
        <v>2870.7976467898338</v>
      </c>
      <c r="I212">
        <v>19.808439780149204</v>
      </c>
      <c r="J212">
        <v>393297.99795619427</v>
      </c>
      <c r="K212">
        <v>1905.8810947086795</v>
      </c>
      <c r="L212">
        <v>-1.2610799457880653</v>
      </c>
      <c r="M212">
        <v>-27127.48001046991</v>
      </c>
    </row>
    <row r="213" spans="4:13" x14ac:dyDescent="0.55000000000000004">
      <c r="D213">
        <v>208</v>
      </c>
      <c r="E213">
        <v>509.20270683979652</v>
      </c>
      <c r="F213">
        <v>17.484777850762971</v>
      </c>
      <c r="G213">
        <v>349186.35430841963</v>
      </c>
      <c r="H213">
        <v>2675.1504945939105</v>
      </c>
      <c r="I213">
        <v>16.09269102295864</v>
      </c>
      <c r="J213">
        <v>319178.66996457888</v>
      </c>
      <c r="K213">
        <v>2165.947787754114</v>
      </c>
      <c r="L213">
        <v>-1.3920868278043308</v>
      </c>
      <c r="M213">
        <v>-30007.684343840752</v>
      </c>
    </row>
    <row r="214" spans="4:13" x14ac:dyDescent="0.55000000000000004">
      <c r="D214">
        <v>209</v>
      </c>
      <c r="E214">
        <v>468.53321903021578</v>
      </c>
      <c r="F214">
        <v>15.651427186353505</v>
      </c>
      <c r="G214">
        <v>312560.01050803985</v>
      </c>
      <c r="H214">
        <v>2798.8679545833456</v>
      </c>
      <c r="I214">
        <v>14.840482263503974</v>
      </c>
      <c r="J214">
        <v>294010.77731549612</v>
      </c>
      <c r="K214">
        <v>2330.33473555313</v>
      </c>
      <c r="L214">
        <v>-0.81094492284953112</v>
      </c>
      <c r="M214">
        <v>-18549.233192543732</v>
      </c>
    </row>
    <row r="215" spans="4:13" x14ac:dyDescent="0.55000000000000004">
      <c r="D215">
        <v>210</v>
      </c>
      <c r="E215">
        <v>527.1467502961591</v>
      </c>
      <c r="F215">
        <v>20.039956638267888</v>
      </c>
      <c r="G215">
        <v>400271.98601506162</v>
      </c>
      <c r="H215">
        <v>2731.4951458312221</v>
      </c>
      <c r="I215">
        <v>19.165384888039814</v>
      </c>
      <c r="J215">
        <v>380576.20261496509</v>
      </c>
      <c r="K215">
        <v>2204.348395535063</v>
      </c>
      <c r="L215">
        <v>-0.87457175022807476</v>
      </c>
      <c r="M215">
        <v>-19695.783400096523</v>
      </c>
    </row>
    <row r="216" spans="4:13" x14ac:dyDescent="0.55000000000000004">
      <c r="D216">
        <v>211</v>
      </c>
      <c r="E216">
        <v>584.84638393648947</v>
      </c>
      <c r="F216">
        <v>20.381899685890964</v>
      </c>
      <c r="G216">
        <v>407053.14733388281</v>
      </c>
      <c r="H216">
        <v>2754.8426518569886</v>
      </c>
      <c r="I216">
        <v>18.526423995850365</v>
      </c>
      <c r="J216">
        <v>367773.63726515032</v>
      </c>
      <c r="K216">
        <v>2169.9962679204991</v>
      </c>
      <c r="L216">
        <v>-1.8554756900405991</v>
      </c>
      <c r="M216">
        <v>-39279.510068732488</v>
      </c>
    </row>
    <row r="217" spans="4:13" x14ac:dyDescent="0.55000000000000004">
      <c r="D217">
        <v>212</v>
      </c>
      <c r="E217">
        <v>538.06878941073387</v>
      </c>
      <c r="F217">
        <v>19.4104126772352</v>
      </c>
      <c r="G217">
        <v>387670.18475529324</v>
      </c>
      <c r="H217">
        <v>2985.4931336480531</v>
      </c>
      <c r="I217">
        <v>17.724455818597992</v>
      </c>
      <c r="J217">
        <v>351503.62323831179</v>
      </c>
      <c r="K217">
        <v>2447.424344237319</v>
      </c>
      <c r="L217">
        <v>-1.6859568586372085</v>
      </c>
      <c r="M217">
        <v>-36166.561516981455</v>
      </c>
    </row>
    <row r="218" spans="4:13" x14ac:dyDescent="0.55000000000000004">
      <c r="D218">
        <v>213</v>
      </c>
      <c r="E218">
        <v>484.82161414642013</v>
      </c>
      <c r="F218">
        <v>17.653420409817528</v>
      </c>
      <c r="G218">
        <v>352583.58658220415</v>
      </c>
      <c r="H218">
        <v>2698.6046986240985</v>
      </c>
      <c r="I218">
        <v>16.426418398997583</v>
      </c>
      <c r="J218">
        <v>325829.76328132756</v>
      </c>
      <c r="K218">
        <v>2213.7830844776786</v>
      </c>
      <c r="L218">
        <v>-1.2270020108199446</v>
      </c>
      <c r="M218">
        <v>-26753.823300876596</v>
      </c>
    </row>
    <row r="219" spans="4:13" x14ac:dyDescent="0.55000000000000004">
      <c r="D219">
        <v>214</v>
      </c>
      <c r="E219">
        <v>803.2132884510396</v>
      </c>
      <c r="F219">
        <v>19.695125600900241</v>
      </c>
      <c r="G219">
        <v>393099.29872955382</v>
      </c>
      <c r="H219">
        <v>2749.1617301542915</v>
      </c>
      <c r="I219">
        <v>18.539441836239227</v>
      </c>
      <c r="J219">
        <v>368039.67499463022</v>
      </c>
      <c r="K219">
        <v>1945.9484417032518</v>
      </c>
      <c r="L219">
        <v>-1.1556837646610134</v>
      </c>
      <c r="M219">
        <v>-25059.623734923603</v>
      </c>
    </row>
    <row r="220" spans="4:13" x14ac:dyDescent="0.55000000000000004">
      <c r="D220">
        <v>215</v>
      </c>
      <c r="E220">
        <v>1061.1469144479493</v>
      </c>
      <c r="F220">
        <v>20.966712476832303</v>
      </c>
      <c r="G220">
        <v>418273.10262219812</v>
      </c>
      <c r="H220">
        <v>2669.9572612151123</v>
      </c>
      <c r="I220">
        <v>20.252311619850687</v>
      </c>
      <c r="J220">
        <v>402376.27513579861</v>
      </c>
      <c r="K220">
        <v>1608.8103467671631</v>
      </c>
      <c r="L220">
        <v>-0.71440085698161582</v>
      </c>
      <c r="M220">
        <v>-15896.827486399503</v>
      </c>
    </row>
    <row r="221" spans="4:13" x14ac:dyDescent="0.55000000000000004">
      <c r="D221">
        <v>216</v>
      </c>
      <c r="E221">
        <v>757.86058795321071</v>
      </c>
      <c r="F221">
        <v>19.925124649401152</v>
      </c>
      <c r="G221">
        <v>397744.63240006985</v>
      </c>
      <c r="H221">
        <v>2733.2858993171276</v>
      </c>
      <c r="I221">
        <v>17.990235888728254</v>
      </c>
      <c r="J221">
        <v>357071.43187524797</v>
      </c>
      <c r="K221">
        <v>1975.425311363917</v>
      </c>
      <c r="L221">
        <v>-1.9348887606728979</v>
      </c>
      <c r="M221">
        <v>-40673.200524821877</v>
      </c>
    </row>
    <row r="222" spans="4:13" x14ac:dyDescent="0.55000000000000004">
      <c r="D222">
        <v>217</v>
      </c>
      <c r="E222">
        <v>973.83692921734598</v>
      </c>
      <c r="F222">
        <v>18.915621720940823</v>
      </c>
      <c r="G222">
        <v>377338.59748959914</v>
      </c>
      <c r="H222">
        <v>2648.2878370415256</v>
      </c>
      <c r="I222">
        <v>18.035674186741364</v>
      </c>
      <c r="J222">
        <v>358065.19589778571</v>
      </c>
      <c r="K222">
        <v>1674.4509078241795</v>
      </c>
      <c r="L222">
        <v>-0.87994753419945937</v>
      </c>
      <c r="M222">
        <v>-19273.401591813425</v>
      </c>
    </row>
    <row r="223" spans="4:13" x14ac:dyDescent="0.55000000000000004">
      <c r="D223">
        <v>218</v>
      </c>
      <c r="E223">
        <v>903.6275617920038</v>
      </c>
      <c r="F223">
        <v>19.661974862887185</v>
      </c>
      <c r="G223">
        <v>392335.86969595164</v>
      </c>
      <c r="H223">
        <v>2670.4557992652299</v>
      </c>
      <c r="I223">
        <v>18.743782416040798</v>
      </c>
      <c r="J223">
        <v>372205.19252155069</v>
      </c>
      <c r="K223">
        <v>1766.8282374732262</v>
      </c>
      <c r="L223">
        <v>-0.9181924468463869</v>
      </c>
      <c r="M223">
        <v>-20130.677174400946</v>
      </c>
    </row>
    <row r="224" spans="4:13" x14ac:dyDescent="0.55000000000000004">
      <c r="D224">
        <v>219</v>
      </c>
      <c r="E224">
        <v>589.49923307616018</v>
      </c>
      <c r="F224">
        <v>19.937145435373445</v>
      </c>
      <c r="G224">
        <v>398153.40947439271</v>
      </c>
      <c r="H224">
        <v>2634.0820391006</v>
      </c>
      <c r="I224">
        <v>18.282431322917276</v>
      </c>
      <c r="J224">
        <v>363014.54441924492</v>
      </c>
      <c r="K224">
        <v>2044.5828060244398</v>
      </c>
      <c r="L224">
        <v>-1.6547141124561691</v>
      </c>
      <c r="M224">
        <v>-35138.865055147791</v>
      </c>
    </row>
    <row r="225" spans="4:13" x14ac:dyDescent="0.55000000000000004">
      <c r="D225">
        <v>220</v>
      </c>
      <c r="E225">
        <v>781.9727635958377</v>
      </c>
      <c r="F225">
        <v>17.745125098863475</v>
      </c>
      <c r="G225">
        <v>354120.52921367373</v>
      </c>
      <c r="H225">
        <v>2674.3911932425035</v>
      </c>
      <c r="I225">
        <v>16.630788474508645</v>
      </c>
      <c r="J225">
        <v>329941.3782969304</v>
      </c>
      <c r="K225">
        <v>1892.4184296466658</v>
      </c>
      <c r="L225">
        <v>-1.1143366243548307</v>
      </c>
      <c r="M225">
        <v>-24179.150916743325</v>
      </c>
    </row>
    <row r="226" spans="4:13" x14ac:dyDescent="0.55000000000000004">
      <c r="D226">
        <v>221</v>
      </c>
      <c r="E226">
        <v>527.3539780847409</v>
      </c>
      <c r="F226">
        <v>15.800267949781452</v>
      </c>
      <c r="G226">
        <v>315478.00501754426</v>
      </c>
      <c r="H226">
        <v>2680.558592118974</v>
      </c>
      <c r="I226">
        <v>14.844464942187605</v>
      </c>
      <c r="J226">
        <v>294208.74025163311</v>
      </c>
      <c r="K226">
        <v>2153.2046140342331</v>
      </c>
      <c r="L226">
        <v>-0.95580300759384684</v>
      </c>
      <c r="M226">
        <v>-21269.264765911154</v>
      </c>
    </row>
    <row r="227" spans="4:13" x14ac:dyDescent="0.55000000000000004">
      <c r="D227">
        <v>222</v>
      </c>
      <c r="E227">
        <v>502.67886678793553</v>
      </c>
      <c r="F227">
        <v>17.424722450042029</v>
      </c>
      <c r="G227">
        <v>347991.77013405267</v>
      </c>
      <c r="H227">
        <v>2832.3527699791252</v>
      </c>
      <c r="I227">
        <v>16.590852795565311</v>
      </c>
      <c r="J227">
        <v>328984.70314132713</v>
      </c>
      <c r="K227">
        <v>2329.6739031911898</v>
      </c>
      <c r="L227">
        <v>-0.83386965447671813</v>
      </c>
      <c r="M227">
        <v>-19007.066992725537</v>
      </c>
    </row>
    <row r="228" spans="4:13" x14ac:dyDescent="0.55000000000000004">
      <c r="D228">
        <v>223</v>
      </c>
      <c r="E228">
        <v>888.85301393654345</v>
      </c>
      <c r="F228">
        <v>19.911761114518875</v>
      </c>
      <c r="G228">
        <v>397346.36927644094</v>
      </c>
      <c r="H228">
        <v>2744.9236540371749</v>
      </c>
      <c r="I228">
        <v>18.880859453866108</v>
      </c>
      <c r="J228">
        <v>374872.26542328496</v>
      </c>
      <c r="K228">
        <v>1856.0706401006314</v>
      </c>
      <c r="L228">
        <v>-1.0309016606527663</v>
      </c>
      <c r="M228">
        <v>-22474.103853155975</v>
      </c>
    </row>
    <row r="229" spans="4:13" x14ac:dyDescent="0.55000000000000004">
      <c r="D229">
        <v>224</v>
      </c>
      <c r="E229">
        <v>603.66620596694008</v>
      </c>
      <c r="F229">
        <v>17.504479510098655</v>
      </c>
      <c r="G229">
        <v>349485.92399600614</v>
      </c>
      <c r="H229">
        <v>2641.3407967606845</v>
      </c>
      <c r="I229">
        <v>16.408843292946798</v>
      </c>
      <c r="J229">
        <v>325535.52506217529</v>
      </c>
      <c r="K229">
        <v>2037.6745907937443</v>
      </c>
      <c r="L229">
        <v>-1.0956362171518563</v>
      </c>
      <c r="M229">
        <v>-23950.398933830846</v>
      </c>
    </row>
    <row r="230" spans="4:13" x14ac:dyDescent="0.55000000000000004">
      <c r="D230">
        <v>225</v>
      </c>
      <c r="E230">
        <v>919.31220197681068</v>
      </c>
      <c r="F230">
        <v>18.958230056909581</v>
      </c>
      <c r="G230">
        <v>378245.28893621481</v>
      </c>
      <c r="H230">
        <v>2701.9377432838446</v>
      </c>
      <c r="I230">
        <v>17.317587778752038</v>
      </c>
      <c r="J230">
        <v>343649.8178317569</v>
      </c>
      <c r="K230">
        <v>1782.6255413070339</v>
      </c>
      <c r="L230">
        <v>-1.6406422781575429</v>
      </c>
      <c r="M230">
        <v>-34595.471104457916</v>
      </c>
    </row>
    <row r="231" spans="4:13" x14ac:dyDescent="0.55000000000000004">
      <c r="D231">
        <v>226</v>
      </c>
      <c r="E231">
        <v>517.7527099935262</v>
      </c>
      <c r="F231">
        <v>19.181328900204896</v>
      </c>
      <c r="G231">
        <v>383108.8252941044</v>
      </c>
      <c r="H231">
        <v>2797.3148997183107</v>
      </c>
      <c r="I231">
        <v>17.582182324006158</v>
      </c>
      <c r="J231">
        <v>348846.33158040483</v>
      </c>
      <c r="K231">
        <v>2279.5621897247847</v>
      </c>
      <c r="L231">
        <v>-1.5991465761987378</v>
      </c>
      <c r="M231">
        <v>-34262.493713699572</v>
      </c>
    </row>
    <row r="232" spans="4:13" x14ac:dyDescent="0.55000000000000004">
      <c r="D232">
        <v>227</v>
      </c>
      <c r="E232">
        <v>868.94365573998414</v>
      </c>
      <c r="F232">
        <v>16.426794658164336</v>
      </c>
      <c r="G232">
        <v>327666.94950754673</v>
      </c>
      <c r="H232">
        <v>2807.6862244585736</v>
      </c>
      <c r="I232">
        <v>15.264672938502009</v>
      </c>
      <c r="J232">
        <v>302485.77254558163</v>
      </c>
      <c r="K232">
        <v>1938.7425687185896</v>
      </c>
      <c r="L232">
        <v>-1.162121719662327</v>
      </c>
      <c r="M232">
        <v>-25181.176961965102</v>
      </c>
    </row>
    <row r="233" spans="4:13" x14ac:dyDescent="0.55000000000000004">
      <c r="D233">
        <v>228</v>
      </c>
      <c r="E233">
        <v>822.10327859548977</v>
      </c>
      <c r="F233">
        <v>16.087411851765708</v>
      </c>
      <c r="G233">
        <v>320926.13375671866</v>
      </c>
      <c r="H233">
        <v>2790.8216639373704</v>
      </c>
      <c r="I233">
        <v>15.199699348313308</v>
      </c>
      <c r="J233">
        <v>301203.16530232882</v>
      </c>
      <c r="K233">
        <v>1968.7183853418805</v>
      </c>
      <c r="L233">
        <v>-0.88771250345240027</v>
      </c>
      <c r="M233">
        <v>-19722.968454389833</v>
      </c>
    </row>
    <row r="234" spans="4:13" x14ac:dyDescent="0.55000000000000004">
      <c r="D234">
        <v>229</v>
      </c>
      <c r="E234">
        <v>836.95044254931918</v>
      </c>
      <c r="F234">
        <v>18.241986202855045</v>
      </c>
      <c r="G234">
        <v>364002.77361455158</v>
      </c>
      <c r="H234">
        <v>2855.0569137017337</v>
      </c>
      <c r="I234">
        <v>16.870114684792572</v>
      </c>
      <c r="J234">
        <v>334547.2367821497</v>
      </c>
      <c r="K234">
        <v>2018.1064711524145</v>
      </c>
      <c r="L234">
        <v>-1.3718715180624734</v>
      </c>
      <c r="M234">
        <v>-29455.536832401878</v>
      </c>
    </row>
    <row r="235" spans="4:13" x14ac:dyDescent="0.55000000000000004">
      <c r="D235">
        <v>230</v>
      </c>
      <c r="E235">
        <v>503.11332165202788</v>
      </c>
      <c r="F235">
        <v>19.201488034983026</v>
      </c>
      <c r="G235">
        <v>383526.64737800846</v>
      </c>
      <c r="H235">
        <v>2819.8747963370365</v>
      </c>
      <c r="I235">
        <v>18.048714562503502</v>
      </c>
      <c r="J235">
        <v>358154.41645373299</v>
      </c>
      <c r="K235">
        <v>2316.7614746850086</v>
      </c>
      <c r="L235">
        <v>-1.1527734724795238</v>
      </c>
      <c r="M235">
        <v>-25372.230924275471</v>
      </c>
    </row>
    <row r="236" spans="4:13" x14ac:dyDescent="0.55000000000000004">
      <c r="D236">
        <v>231</v>
      </c>
      <c r="E236">
        <v>902.65076264097286</v>
      </c>
      <c r="F236">
        <v>16.702689861076259</v>
      </c>
      <c r="G236">
        <v>333151.14645888418</v>
      </c>
      <c r="H236">
        <v>2666.1605656292577</v>
      </c>
      <c r="I236">
        <v>15.341821602152972</v>
      </c>
      <c r="J236">
        <v>304170.27147743019</v>
      </c>
      <c r="K236">
        <v>1763.5098029882847</v>
      </c>
      <c r="L236">
        <v>-1.3608682589232863</v>
      </c>
      <c r="M236">
        <v>-28980.874981453991</v>
      </c>
    </row>
    <row r="237" spans="4:13" x14ac:dyDescent="0.55000000000000004">
      <c r="D237">
        <v>232</v>
      </c>
      <c r="E237">
        <v>724.84134349450392</v>
      </c>
      <c r="F237">
        <v>18.440673814204075</v>
      </c>
      <c r="G237">
        <v>368088.63494058704</v>
      </c>
      <c r="H237">
        <v>2735.7376638899486</v>
      </c>
      <c r="I237">
        <v>16.060491172118567</v>
      </c>
      <c r="J237">
        <v>318474.08577848139</v>
      </c>
      <c r="K237">
        <v>2010.8963203954447</v>
      </c>
      <c r="L237">
        <v>-2.3801826420855079</v>
      </c>
      <c r="M237">
        <v>-49614.549162105657</v>
      </c>
    </row>
    <row r="238" spans="4:13" x14ac:dyDescent="0.55000000000000004">
      <c r="D238">
        <v>233</v>
      </c>
      <c r="E238">
        <v>876.72845059753456</v>
      </c>
      <c r="F238">
        <v>16.198542684266435</v>
      </c>
      <c r="G238">
        <v>323094.12523473112</v>
      </c>
      <c r="H238">
        <v>2846.4340117869215</v>
      </c>
      <c r="I238">
        <v>14.624542497737995</v>
      </c>
      <c r="J238">
        <v>289644.41594297293</v>
      </c>
      <c r="K238">
        <v>1969.705561189387</v>
      </c>
      <c r="L238">
        <v>-1.5740001865284405</v>
      </c>
      <c r="M238">
        <v>-33449.70929175819</v>
      </c>
    </row>
    <row r="239" spans="4:13" x14ac:dyDescent="0.55000000000000004">
      <c r="D239">
        <v>234</v>
      </c>
      <c r="E239">
        <v>720.72411697127734</v>
      </c>
      <c r="F239">
        <v>20.557714966347319</v>
      </c>
      <c r="G239">
        <v>410433.57520997513</v>
      </c>
      <c r="H239">
        <v>2702.3031105734881</v>
      </c>
      <c r="I239">
        <v>18.963959800136589</v>
      </c>
      <c r="J239">
        <v>376576.8928921583</v>
      </c>
      <c r="K239">
        <v>1981.5789936022106</v>
      </c>
      <c r="L239">
        <v>-1.5937551662107303</v>
      </c>
      <c r="M239">
        <v>-33856.682317816827</v>
      </c>
    </row>
    <row r="240" spans="4:13" x14ac:dyDescent="0.55000000000000004">
      <c r="D240">
        <v>235</v>
      </c>
      <c r="E240">
        <v>762.4260826916036</v>
      </c>
      <c r="F240">
        <v>15.668743694844565</v>
      </c>
      <c r="G240">
        <v>312612.44781419972</v>
      </c>
      <c r="H240">
        <v>2690.1356267516144</v>
      </c>
      <c r="I240">
        <v>14.740370106768347</v>
      </c>
      <c r="J240">
        <v>292117.26650861528</v>
      </c>
      <c r="K240">
        <v>1927.7095440600108</v>
      </c>
      <c r="L240">
        <v>-0.92837358807621762</v>
      </c>
      <c r="M240">
        <v>-20495.18130558444</v>
      </c>
    </row>
    <row r="241" spans="4:13" x14ac:dyDescent="0.55000000000000004">
      <c r="D241">
        <v>236</v>
      </c>
      <c r="E241">
        <v>821.12924150490232</v>
      </c>
      <c r="F241">
        <v>17.378298782933978</v>
      </c>
      <c r="G241">
        <v>346744.84641717467</v>
      </c>
      <c r="H241">
        <v>2736.8416347064194</v>
      </c>
      <c r="I241">
        <v>16.588927943446599</v>
      </c>
      <c r="J241">
        <v>329041.71723422554</v>
      </c>
      <c r="K241">
        <v>1915.712393201517</v>
      </c>
      <c r="L241">
        <v>-0.78937083948737907</v>
      </c>
      <c r="M241">
        <v>-17703.129182949138</v>
      </c>
    </row>
    <row r="242" spans="4:13" x14ac:dyDescent="0.55000000000000004">
      <c r="D242">
        <v>237</v>
      </c>
      <c r="E242">
        <v>613.54160030669777</v>
      </c>
      <c r="F242">
        <v>19.652014992347368</v>
      </c>
      <c r="G242">
        <v>392426.75824664067</v>
      </c>
      <c r="H242">
        <v>2777.0896239103458</v>
      </c>
      <c r="I242">
        <v>16.965806282727502</v>
      </c>
      <c r="J242">
        <v>336539.03603063966</v>
      </c>
      <c r="K242">
        <v>2163.5480236036483</v>
      </c>
      <c r="L242">
        <v>-2.6862087096198657</v>
      </c>
      <c r="M242">
        <v>-55887.722216001013</v>
      </c>
    </row>
    <row r="243" spans="4:13" x14ac:dyDescent="0.55000000000000004">
      <c r="D243">
        <v>238</v>
      </c>
      <c r="E243">
        <v>647.12209504587838</v>
      </c>
      <c r="F243">
        <v>18.201806500975913</v>
      </c>
      <c r="G243">
        <v>363389.00792447239</v>
      </c>
      <c r="H243">
        <v>2689.5655482067668</v>
      </c>
      <c r="I243">
        <v>17.140971801240426</v>
      </c>
      <c r="J243">
        <v>340129.87047660176</v>
      </c>
      <c r="K243">
        <v>2042.4434531608886</v>
      </c>
      <c r="L243">
        <v>-1.0608346997354872</v>
      </c>
      <c r="M243">
        <v>-23259.137447870628</v>
      </c>
    </row>
    <row r="244" spans="4:13" x14ac:dyDescent="0.55000000000000004">
      <c r="D244">
        <v>239</v>
      </c>
      <c r="E244">
        <v>576.96299576502133</v>
      </c>
      <c r="F244">
        <v>17.415514692560663</v>
      </c>
      <c r="G244">
        <v>347733.33085544821</v>
      </c>
      <c r="H244">
        <v>2726.5448391932878</v>
      </c>
      <c r="I244">
        <v>16.393694188103897</v>
      </c>
      <c r="J244">
        <v>325147.33892288466</v>
      </c>
      <c r="K244">
        <v>2149.5818434282664</v>
      </c>
      <c r="L244">
        <v>-1.0218205044567661</v>
      </c>
      <c r="M244">
        <v>-22585.991932563542</v>
      </c>
    </row>
    <row r="245" spans="4:13" x14ac:dyDescent="0.55000000000000004">
      <c r="D245">
        <v>240</v>
      </c>
      <c r="E245">
        <v>829.79733807814728</v>
      </c>
      <c r="F245">
        <v>16.673817115872925</v>
      </c>
      <c r="G245">
        <v>332646.54497938033</v>
      </c>
      <c r="H245">
        <v>2720.9903743052864</v>
      </c>
      <c r="I245">
        <v>15.582909595783335</v>
      </c>
      <c r="J245">
        <v>308937.2015413614</v>
      </c>
      <c r="K245">
        <v>1891.1930362271391</v>
      </c>
      <c r="L245">
        <v>-1.0909075200895906</v>
      </c>
      <c r="M245">
        <v>-23709.343438018928</v>
      </c>
    </row>
    <row r="246" spans="4:13" x14ac:dyDescent="0.55000000000000004">
      <c r="D246">
        <v>241</v>
      </c>
      <c r="E246">
        <v>618.6763228255893</v>
      </c>
      <c r="F246">
        <v>18.913050580188553</v>
      </c>
      <c r="G246">
        <v>377642.33528094547</v>
      </c>
      <c r="H246">
        <v>2789.3828359830177</v>
      </c>
      <c r="I246">
        <v>17.880657754335768</v>
      </c>
      <c r="J246">
        <v>354823.77225073235</v>
      </c>
      <c r="K246">
        <v>2170.7065131574282</v>
      </c>
      <c r="L246">
        <v>-1.032392825852785</v>
      </c>
      <c r="M246">
        <v>-22818.563030213118</v>
      </c>
    </row>
    <row r="247" spans="4:13" x14ac:dyDescent="0.55000000000000004">
      <c r="D247">
        <v>242</v>
      </c>
      <c r="E247">
        <v>671.48677869012249</v>
      </c>
      <c r="F247">
        <v>19.562733075772748</v>
      </c>
      <c r="G247">
        <v>390583.17473676481</v>
      </c>
      <c r="H247">
        <v>2828.6370758900594</v>
      </c>
      <c r="I247">
        <v>17.172402691218217</v>
      </c>
      <c r="J247">
        <v>340619.41674847424</v>
      </c>
      <c r="K247">
        <v>2157.1502971999371</v>
      </c>
      <c r="L247">
        <v>-2.390330384554531</v>
      </c>
      <c r="M247">
        <v>-49963.75798829057</v>
      </c>
    </row>
    <row r="248" spans="4:13" x14ac:dyDescent="0.55000000000000004">
      <c r="D248">
        <v>243</v>
      </c>
      <c r="E248">
        <v>688.20306997159753</v>
      </c>
      <c r="F248">
        <v>17.971207004663675</v>
      </c>
      <c r="G248">
        <v>358735.9370233019</v>
      </c>
      <c r="H248">
        <v>2654.6114227311759</v>
      </c>
      <c r="I248">
        <v>16.696644594869664</v>
      </c>
      <c r="J248">
        <v>331278.28047466208</v>
      </c>
      <c r="K248">
        <v>1966.4083527595785</v>
      </c>
      <c r="L248">
        <v>-1.2745624097940116</v>
      </c>
      <c r="M248">
        <v>-27457.656548639818</v>
      </c>
    </row>
    <row r="249" spans="4:13" x14ac:dyDescent="0.55000000000000004">
      <c r="D249">
        <v>244</v>
      </c>
      <c r="E249">
        <v>634.95029757597126</v>
      </c>
      <c r="F249">
        <v>21.203799500287335</v>
      </c>
      <c r="G249">
        <v>423441.03970817075</v>
      </c>
      <c r="H249">
        <v>2772.2097429777673</v>
      </c>
      <c r="I249">
        <v>18.468128791239366</v>
      </c>
      <c r="J249">
        <v>366590.36608180957</v>
      </c>
      <c r="K249">
        <v>2137.2594454017963</v>
      </c>
      <c r="L249">
        <v>-2.7356707090479695</v>
      </c>
      <c r="M249">
        <v>-56850.673626361182</v>
      </c>
    </row>
    <row r="250" spans="4:13" x14ac:dyDescent="0.55000000000000004">
      <c r="D250">
        <v>245</v>
      </c>
      <c r="E250">
        <v>659.15678980058908</v>
      </c>
      <c r="F250">
        <v>20.040390520456214</v>
      </c>
      <c r="G250">
        <v>400148.65361932368</v>
      </c>
      <c r="H250">
        <v>2848.736283356367</v>
      </c>
      <c r="I250">
        <v>19.31590393747841</v>
      </c>
      <c r="J250">
        <v>383469.34246621182</v>
      </c>
      <c r="K250">
        <v>2189.5794935557778</v>
      </c>
      <c r="L250">
        <v>-0.72448658297780355</v>
      </c>
      <c r="M250">
        <v>-16679.311153111863</v>
      </c>
    </row>
    <row r="251" spans="4:13" x14ac:dyDescent="0.55000000000000004">
      <c r="D251">
        <v>246</v>
      </c>
      <c r="E251">
        <v>713.69283690790803</v>
      </c>
      <c r="F251">
        <v>19.277088752944707</v>
      </c>
      <c r="G251">
        <v>384828.0822219862</v>
      </c>
      <c r="H251">
        <v>2669.4544632882717</v>
      </c>
      <c r="I251">
        <v>18.21922645356446</v>
      </c>
      <c r="J251">
        <v>361715.07460800093</v>
      </c>
      <c r="K251">
        <v>1955.7616263803636</v>
      </c>
      <c r="L251">
        <v>-1.0578622993802469</v>
      </c>
      <c r="M251">
        <v>-23113.007613985275</v>
      </c>
    </row>
    <row r="252" spans="4:13" x14ac:dyDescent="0.55000000000000004">
      <c r="D252">
        <v>247</v>
      </c>
      <c r="E252">
        <v>764.66476065724646</v>
      </c>
      <c r="F252">
        <v>16.909721504496606</v>
      </c>
      <c r="G252">
        <v>337429.76532927487</v>
      </c>
      <c r="H252">
        <v>2616.8397170460898</v>
      </c>
      <c r="I252">
        <v>15.890115355945094</v>
      </c>
      <c r="J252">
        <v>315185.4674018558</v>
      </c>
      <c r="K252">
        <v>1852.1749563888434</v>
      </c>
      <c r="L252">
        <v>-1.019606148551512</v>
      </c>
      <c r="M252">
        <v>-22244.297927419073</v>
      </c>
    </row>
    <row r="253" spans="4:13" x14ac:dyDescent="0.55000000000000004">
      <c r="D253">
        <v>248</v>
      </c>
      <c r="E253">
        <v>731.20036676032805</v>
      </c>
      <c r="F253">
        <v>16.102664623396624</v>
      </c>
      <c r="G253">
        <v>321322.09210117219</v>
      </c>
      <c r="H253">
        <v>2666.9949834738541</v>
      </c>
      <c r="I253">
        <v>15.309135275499292</v>
      </c>
      <c r="J253">
        <v>303515.710526512</v>
      </c>
      <c r="K253">
        <v>1935.794616713526</v>
      </c>
      <c r="L253">
        <v>-0.79352934789733176</v>
      </c>
      <c r="M253">
        <v>-17806.38157466019</v>
      </c>
    </row>
    <row r="254" spans="4:13" x14ac:dyDescent="0.55000000000000004">
      <c r="D254">
        <v>249</v>
      </c>
      <c r="E254">
        <v>781.57905819118707</v>
      </c>
      <c r="F254">
        <v>20.743171943285827</v>
      </c>
      <c r="G254">
        <v>414081.8598075253</v>
      </c>
      <c r="H254">
        <v>2848.4092574121596</v>
      </c>
      <c r="I254">
        <v>18.054393021464541</v>
      </c>
      <c r="J254">
        <v>358239.45117187873</v>
      </c>
      <c r="K254">
        <v>2066.8301992209726</v>
      </c>
      <c r="L254">
        <v>-2.6887789218212852</v>
      </c>
      <c r="M254">
        <v>-55842.40863564657</v>
      </c>
    </row>
    <row r="255" spans="4:13" x14ac:dyDescent="0.55000000000000004">
      <c r="D255">
        <v>250</v>
      </c>
      <c r="E255">
        <v>623.72776219781224</v>
      </c>
      <c r="F255">
        <v>17.146460643287309</v>
      </c>
      <c r="G255">
        <v>342305.48510354839</v>
      </c>
      <c r="H255">
        <v>2906.2060146412159</v>
      </c>
      <c r="I255">
        <v>15.789745574946204</v>
      </c>
      <c r="J255">
        <v>312888.70548428287</v>
      </c>
      <c r="K255">
        <v>2282.4782524434036</v>
      </c>
      <c r="L255">
        <v>-1.3567150683411047</v>
      </c>
      <c r="M255">
        <v>-29416.779619265522</v>
      </c>
    </row>
    <row r="256" spans="4:13" x14ac:dyDescent="0.55000000000000004">
      <c r="D256">
        <v>251</v>
      </c>
      <c r="E256">
        <v>682.57349806329137</v>
      </c>
      <c r="F256">
        <v>17.347423617756352</v>
      </c>
      <c r="G256">
        <v>346265.89885706373</v>
      </c>
      <c r="H256">
        <v>2668.9017530466076</v>
      </c>
      <c r="I256">
        <v>16.819455869958386</v>
      </c>
      <c r="J256">
        <v>333720.21564612113</v>
      </c>
      <c r="K256">
        <v>1986.3282549833161</v>
      </c>
      <c r="L256">
        <v>-0.52796774779796607</v>
      </c>
      <c r="M256">
        <v>-12545.683210942603</v>
      </c>
    </row>
    <row r="257" spans="4:13" x14ac:dyDescent="0.55000000000000004">
      <c r="D257">
        <v>252</v>
      </c>
      <c r="E257">
        <v>931.67386303489138</v>
      </c>
      <c r="F257">
        <v>18.795938036670176</v>
      </c>
      <c r="G257">
        <v>374987.08687036863</v>
      </c>
      <c r="H257">
        <v>2794.4034984846016</v>
      </c>
      <c r="I257">
        <v>17.043904189708183</v>
      </c>
      <c r="J257">
        <v>338083.68029567908</v>
      </c>
      <c r="K257">
        <v>1862.7296354497103</v>
      </c>
      <c r="L257">
        <v>-1.7520338469619929</v>
      </c>
      <c r="M257">
        <v>-36903.40657468955</v>
      </c>
    </row>
    <row r="258" spans="4:13" x14ac:dyDescent="0.55000000000000004">
      <c r="D258">
        <v>253</v>
      </c>
      <c r="E258">
        <v>869.94723609335426</v>
      </c>
      <c r="F258">
        <v>16.567425892762529</v>
      </c>
      <c r="G258">
        <v>330478.57061915722</v>
      </c>
      <c r="H258">
        <v>2699.032921118473</v>
      </c>
      <c r="I258">
        <v>15.231126571287218</v>
      </c>
      <c r="J258">
        <v>301923.49850462587</v>
      </c>
      <c r="K258">
        <v>1829.0856850251189</v>
      </c>
      <c r="L258">
        <v>-1.3362993214753107</v>
      </c>
      <c r="M258">
        <v>-28555.072114531358</v>
      </c>
    </row>
    <row r="259" spans="4:13" x14ac:dyDescent="0.55000000000000004">
      <c r="D259">
        <v>254</v>
      </c>
      <c r="E259">
        <v>819.87277151810667</v>
      </c>
      <c r="F259">
        <v>18.571697813919702</v>
      </c>
      <c r="G259">
        <v>370614.0835068759</v>
      </c>
      <c r="H259">
        <v>2735.9479891276046</v>
      </c>
      <c r="I259">
        <v>17.940522854600854</v>
      </c>
      <c r="J259">
        <v>356074.50910288945</v>
      </c>
      <c r="K259">
        <v>1916.0752176094979</v>
      </c>
      <c r="L259">
        <v>-0.63117495931884804</v>
      </c>
      <c r="M259">
        <v>-14539.574403986451</v>
      </c>
    </row>
    <row r="260" spans="4:13" x14ac:dyDescent="0.55000000000000004">
      <c r="D260">
        <v>255</v>
      </c>
      <c r="E260">
        <v>1107.2428240517409</v>
      </c>
      <c r="F260">
        <v>20.280455552166188</v>
      </c>
      <c r="G260">
        <v>404501.868219272</v>
      </c>
      <c r="H260">
        <v>2712.9460363987678</v>
      </c>
      <c r="I260">
        <v>19.177713937464866</v>
      </c>
      <c r="J260">
        <v>380841.33271289855</v>
      </c>
      <c r="K260">
        <v>1605.7032123470269</v>
      </c>
      <c r="L260">
        <v>-1.1027416147013227</v>
      </c>
      <c r="M260">
        <v>-23660.535506373446</v>
      </c>
    </row>
    <row r="261" spans="4:13" x14ac:dyDescent="0.55000000000000004">
      <c r="D261">
        <v>256</v>
      </c>
      <c r="E261">
        <v>481.97066491531871</v>
      </c>
      <c r="F261">
        <v>18.011873364806029</v>
      </c>
      <c r="G261">
        <v>359755.49663120526</v>
      </c>
      <c r="H261">
        <v>2679.381382952296</v>
      </c>
      <c r="I261">
        <v>16.508279628227331</v>
      </c>
      <c r="J261">
        <v>327486.21118159435</v>
      </c>
      <c r="K261">
        <v>2197.4107180369774</v>
      </c>
      <c r="L261">
        <v>-1.5035937365786971</v>
      </c>
      <c r="M261">
        <v>-32269.285449610907</v>
      </c>
    </row>
    <row r="262" spans="4:13" x14ac:dyDescent="0.55000000000000004">
      <c r="D262">
        <v>257</v>
      </c>
      <c r="E262">
        <v>727.36608618265029</v>
      </c>
      <c r="F262">
        <v>18.64760080672843</v>
      </c>
      <c r="G262">
        <v>372224.65004838596</v>
      </c>
      <c r="H262">
        <v>2656.1018518204864</v>
      </c>
      <c r="I262">
        <v>17.972590896727166</v>
      </c>
      <c r="J262">
        <v>356795.71608272282</v>
      </c>
      <c r="K262">
        <v>1928.7357656378363</v>
      </c>
      <c r="L262">
        <v>-0.67500991000126476</v>
      </c>
      <c r="M262">
        <v>-15428.933965663135</v>
      </c>
    </row>
    <row r="263" spans="4:13" x14ac:dyDescent="0.55000000000000004">
      <c r="D263">
        <v>258</v>
      </c>
      <c r="E263">
        <v>633.94492877336472</v>
      </c>
      <c r="F263">
        <v>19.994074682370261</v>
      </c>
      <c r="G263">
        <v>399247.54871863185</v>
      </c>
      <c r="H263">
        <v>2827.9724781678492</v>
      </c>
      <c r="I263">
        <v>17.731217725672465</v>
      </c>
      <c r="J263">
        <v>351796.38203528145</v>
      </c>
      <c r="K263">
        <v>2194.0275493944846</v>
      </c>
      <c r="L263">
        <v>-2.2628569566977959</v>
      </c>
      <c r="M263">
        <v>-47451.166683350399</v>
      </c>
    </row>
    <row r="264" spans="4:13" x14ac:dyDescent="0.55000000000000004">
      <c r="D264">
        <v>259</v>
      </c>
      <c r="E264">
        <v>471.22088267635741</v>
      </c>
      <c r="F264">
        <v>17.257401571249769</v>
      </c>
      <c r="G264">
        <v>344676.81054231903</v>
      </c>
      <c r="H264">
        <v>2658.8230528006898</v>
      </c>
      <c r="I264">
        <v>16.398821670255717</v>
      </c>
      <c r="J264">
        <v>325317.61035231367</v>
      </c>
      <c r="K264">
        <v>2187.6021701243326</v>
      </c>
      <c r="L264">
        <v>-0.85857990099405157</v>
      </c>
      <c r="M264">
        <v>-19359.200190005358</v>
      </c>
    </row>
    <row r="265" spans="4:13" x14ac:dyDescent="0.55000000000000004">
      <c r="D265">
        <v>260</v>
      </c>
      <c r="E265">
        <v>618.71577219918197</v>
      </c>
      <c r="F265">
        <v>18.401168167974944</v>
      </c>
      <c r="G265">
        <v>367404.64758729975</v>
      </c>
      <c r="H265">
        <v>2829.2987178541989</v>
      </c>
      <c r="I265">
        <v>16.581050642455672</v>
      </c>
      <c r="J265">
        <v>328791.71413125924</v>
      </c>
      <c r="K265">
        <v>2210.5829456550168</v>
      </c>
      <c r="L265">
        <v>-1.8201175255192723</v>
      </c>
      <c r="M265">
        <v>-38612.933456040511</v>
      </c>
    </row>
    <row r="266" spans="4:13" x14ac:dyDescent="0.55000000000000004">
      <c r="D266">
        <v>261</v>
      </c>
      <c r="E266">
        <v>795.66626242445307</v>
      </c>
      <c r="F266">
        <v>21.852640428801703</v>
      </c>
      <c r="G266">
        <v>436257.1423136096</v>
      </c>
      <c r="H266">
        <v>2619.2718189892748</v>
      </c>
      <c r="I266">
        <v>21.22116005737783</v>
      </c>
      <c r="J266">
        <v>421803.92932856735</v>
      </c>
      <c r="K266">
        <v>1823.6055565648217</v>
      </c>
      <c r="L266">
        <v>-0.63148037142387281</v>
      </c>
      <c r="M266">
        <v>-14453.21298504225</v>
      </c>
    </row>
    <row r="267" spans="4:13" x14ac:dyDescent="0.55000000000000004">
      <c r="D267">
        <v>262</v>
      </c>
      <c r="E267">
        <v>436.60531782748564</v>
      </c>
      <c r="F267">
        <v>19.322833049629082</v>
      </c>
      <c r="G267">
        <v>386020.05567475414</v>
      </c>
      <c r="H267">
        <v>2981.6711475232541</v>
      </c>
      <c r="I267">
        <v>17.821411553568101</v>
      </c>
      <c r="J267">
        <v>353446.55992383877</v>
      </c>
      <c r="K267">
        <v>2545.0658296957686</v>
      </c>
      <c r="L267">
        <v>-1.5014214960609813</v>
      </c>
      <c r="M267">
        <v>-32573.495750915376</v>
      </c>
    </row>
    <row r="268" spans="4:13" x14ac:dyDescent="0.55000000000000004">
      <c r="D268">
        <v>263</v>
      </c>
      <c r="E268">
        <v>736.76946805748298</v>
      </c>
      <c r="F268">
        <v>19.798931414272349</v>
      </c>
      <c r="G268">
        <v>395241.85881738947</v>
      </c>
      <c r="H268">
        <v>2730.1607219967937</v>
      </c>
      <c r="I268">
        <v>17.714216239832943</v>
      </c>
      <c r="J268">
        <v>351554.16407466208</v>
      </c>
      <c r="K268">
        <v>1993.3912539393107</v>
      </c>
      <c r="L268">
        <v>-2.0847151744394061</v>
      </c>
      <c r="M268">
        <v>-43687.694742727384</v>
      </c>
    </row>
    <row r="269" spans="4:13" x14ac:dyDescent="0.55000000000000004">
      <c r="D269">
        <v>264</v>
      </c>
      <c r="E269">
        <v>569.36681933685804</v>
      </c>
      <c r="F269">
        <v>20.835040120031795</v>
      </c>
      <c r="G269">
        <v>416131.43558129907</v>
      </c>
      <c r="H269">
        <v>2829.2515514230422</v>
      </c>
      <c r="I269">
        <v>18.785036566845562</v>
      </c>
      <c r="J269">
        <v>372871.47978548822</v>
      </c>
      <c r="K269">
        <v>2259.8847320861842</v>
      </c>
      <c r="L269">
        <v>-2.0500035531862331</v>
      </c>
      <c r="M269">
        <v>-43259.955795810849</v>
      </c>
    </row>
    <row r="270" spans="4:13" x14ac:dyDescent="0.55000000000000004">
      <c r="D270">
        <v>265</v>
      </c>
      <c r="E270">
        <v>604.43639658208451</v>
      </c>
      <c r="F270">
        <v>17.556996117514657</v>
      </c>
      <c r="G270">
        <v>350535.48595371103</v>
      </c>
      <c r="H270">
        <v>2910.0756774974798</v>
      </c>
      <c r="I270">
        <v>16.293091660913863</v>
      </c>
      <c r="J270">
        <v>322951.75754077977</v>
      </c>
      <c r="K270">
        <v>2305.6392809153954</v>
      </c>
      <c r="L270">
        <v>-1.2639044566007946</v>
      </c>
      <c r="M270">
        <v>-27583.728412931261</v>
      </c>
    </row>
    <row r="271" spans="4:13" x14ac:dyDescent="0.55000000000000004">
      <c r="D271">
        <v>266</v>
      </c>
      <c r="E271">
        <v>872.74598942990156</v>
      </c>
      <c r="F271">
        <v>18.543397312548763</v>
      </c>
      <c r="G271">
        <v>369995.20026154537</v>
      </c>
      <c r="H271">
        <v>2667.2823009346289</v>
      </c>
      <c r="I271">
        <v>17.468777883916687</v>
      </c>
      <c r="J271">
        <v>346708.27537739911</v>
      </c>
      <c r="K271">
        <v>1794.5363115047273</v>
      </c>
      <c r="L271">
        <v>-1.0746194286320758</v>
      </c>
      <c r="M271">
        <v>-23286.924884146254</v>
      </c>
    </row>
    <row r="272" spans="4:13" x14ac:dyDescent="0.55000000000000004">
      <c r="D272">
        <v>267</v>
      </c>
      <c r="E272">
        <v>545.97448091024694</v>
      </c>
      <c r="F272">
        <v>19.513528248246629</v>
      </c>
      <c r="G272">
        <v>389724.59048402234</v>
      </c>
      <c r="H272">
        <v>2717.9500207189585</v>
      </c>
      <c r="I272">
        <v>17.236359744332692</v>
      </c>
      <c r="J272">
        <v>342009.24486593489</v>
      </c>
      <c r="K272">
        <v>2171.9755398087118</v>
      </c>
      <c r="L272">
        <v>-2.2771685039139378</v>
      </c>
      <c r="M272">
        <v>-47715.345618087449</v>
      </c>
    </row>
    <row r="273" spans="4:13" x14ac:dyDescent="0.55000000000000004">
      <c r="D273">
        <v>268</v>
      </c>
      <c r="E273">
        <v>617.18605096428246</v>
      </c>
      <c r="F273">
        <v>20.140963590713334</v>
      </c>
      <c r="G273">
        <v>402202.0857633024</v>
      </c>
      <c r="H273">
        <v>2734.2831614065663</v>
      </c>
      <c r="I273">
        <v>18.727395162707708</v>
      </c>
      <c r="J273">
        <v>371813.62009274756</v>
      </c>
      <c r="K273">
        <v>2117.0971104422838</v>
      </c>
      <c r="L273">
        <v>-1.4135684280056253</v>
      </c>
      <c r="M273">
        <v>-30388.46567055484</v>
      </c>
    </row>
    <row r="274" spans="4:13" x14ac:dyDescent="0.55000000000000004">
      <c r="D274">
        <v>269</v>
      </c>
      <c r="E274">
        <v>835.59020193040703</v>
      </c>
      <c r="F274">
        <v>19.980690273237496</v>
      </c>
      <c r="G274">
        <v>398778.21526281949</v>
      </c>
      <c r="H274">
        <v>2759.2665545965983</v>
      </c>
      <c r="I274">
        <v>17.873431060890589</v>
      </c>
      <c r="J274">
        <v>354709.35466321517</v>
      </c>
      <c r="K274">
        <v>1923.6763526661912</v>
      </c>
      <c r="L274">
        <v>-2.1072592123469072</v>
      </c>
      <c r="M274">
        <v>-44068.860599604319</v>
      </c>
    </row>
    <row r="275" spans="4:13" x14ac:dyDescent="0.55000000000000004">
      <c r="D275">
        <v>270</v>
      </c>
      <c r="E275">
        <v>1167.7583471109401</v>
      </c>
      <c r="F275">
        <v>18.756778787138195</v>
      </c>
      <c r="G275">
        <v>373967.81739565299</v>
      </c>
      <c r="H275">
        <v>2745.4087673871727</v>
      </c>
      <c r="I275">
        <v>18.043573512540608</v>
      </c>
      <c r="J275">
        <v>358126.06148342497</v>
      </c>
      <c r="K275">
        <v>1577.6504202762326</v>
      </c>
      <c r="L275">
        <v>-0.71320527459758765</v>
      </c>
      <c r="M275">
        <v>-15841.755912228022</v>
      </c>
    </row>
    <row r="276" spans="4:13" x14ac:dyDescent="0.55000000000000004">
      <c r="D276">
        <v>271</v>
      </c>
      <c r="E276">
        <v>556.67742779677928</v>
      </c>
      <c r="F276">
        <v>19.991911149950763</v>
      </c>
      <c r="G276">
        <v>399281.54557121848</v>
      </c>
      <c r="H276">
        <v>2737.9728026621801</v>
      </c>
      <c r="I276">
        <v>18.604283621402079</v>
      </c>
      <c r="J276">
        <v>369347.69962537941</v>
      </c>
      <c r="K276">
        <v>2181.2953748654008</v>
      </c>
      <c r="L276">
        <v>-1.3876275285486841</v>
      </c>
      <c r="M276">
        <v>-29933.845945839072</v>
      </c>
    </row>
    <row r="277" spans="4:13" x14ac:dyDescent="0.55000000000000004">
      <c r="D277">
        <v>272</v>
      </c>
      <c r="E277">
        <v>678.87342089726519</v>
      </c>
      <c r="F277">
        <v>20.851585131043315</v>
      </c>
      <c r="G277">
        <v>416352.82919996901</v>
      </c>
      <c r="H277">
        <v>2814.3523742691705</v>
      </c>
      <c r="I277">
        <v>18.213938694198557</v>
      </c>
      <c r="J277">
        <v>361464.42150970199</v>
      </c>
      <c r="K277">
        <v>2135.4789533719054</v>
      </c>
      <c r="L277">
        <v>-2.6376464368447579</v>
      </c>
      <c r="M277">
        <v>-54888.40769026702</v>
      </c>
    </row>
    <row r="278" spans="4:13" x14ac:dyDescent="0.55000000000000004">
      <c r="D278">
        <v>273</v>
      </c>
      <c r="E278">
        <v>651.16351393946866</v>
      </c>
      <c r="F278">
        <v>19.252678502312495</v>
      </c>
      <c r="G278">
        <v>384402.40653231042</v>
      </c>
      <c r="H278">
        <v>2798.6355873337216</v>
      </c>
      <c r="I278">
        <v>17.488523351940135</v>
      </c>
      <c r="J278">
        <v>346971.83145146898</v>
      </c>
      <c r="K278">
        <v>2147.4720733942531</v>
      </c>
      <c r="L278">
        <v>-1.7641551503723605</v>
      </c>
      <c r="M278">
        <v>-37430.57508084143</v>
      </c>
    </row>
    <row r="279" spans="4:13" x14ac:dyDescent="0.55000000000000004">
      <c r="D279">
        <v>274</v>
      </c>
      <c r="E279">
        <v>822.451221618472</v>
      </c>
      <c r="F279">
        <v>19.11413115121298</v>
      </c>
      <c r="G279">
        <v>381460.17180264118</v>
      </c>
      <c r="H279">
        <v>2675.4579256084116</v>
      </c>
      <c r="I279">
        <v>16.156541459833424</v>
      </c>
      <c r="J279">
        <v>320455.37127106002</v>
      </c>
      <c r="K279">
        <v>1853.0067039899395</v>
      </c>
      <c r="L279">
        <v>-2.9575896913795567</v>
      </c>
      <c r="M279">
        <v>-61004.800531581161</v>
      </c>
    </row>
    <row r="280" spans="4:13" x14ac:dyDescent="0.55000000000000004">
      <c r="D280">
        <v>275</v>
      </c>
      <c r="E280">
        <v>451.55609721630913</v>
      </c>
      <c r="F280">
        <v>22.755450894268137</v>
      </c>
      <c r="G280">
        <v>454657.46178814641</v>
      </c>
      <c r="H280">
        <v>2818.3811203998448</v>
      </c>
      <c r="I280">
        <v>18.666225281164962</v>
      </c>
      <c r="J280">
        <v>370506.12450289936</v>
      </c>
      <c r="K280">
        <v>2366.8250231835354</v>
      </c>
      <c r="L280">
        <v>-4.0892256131031743</v>
      </c>
      <c r="M280">
        <v>-84151.337285247049</v>
      </c>
    </row>
    <row r="281" spans="4:13" x14ac:dyDescent="0.55000000000000004">
      <c r="D281">
        <v>276</v>
      </c>
      <c r="E281">
        <v>446.73080480152476</v>
      </c>
      <c r="F281">
        <v>16.637148287364059</v>
      </c>
      <c r="G281">
        <v>332296.2349424797</v>
      </c>
      <c r="H281">
        <v>2663.7899056898459</v>
      </c>
      <c r="I281">
        <v>16.023267642415767</v>
      </c>
      <c r="J281">
        <v>317801.56294262549</v>
      </c>
      <c r="K281">
        <v>2217.0591008883212</v>
      </c>
      <c r="L281">
        <v>-0.61388064494829209</v>
      </c>
      <c r="M281">
        <v>-14494.67199985421</v>
      </c>
    </row>
    <row r="282" spans="4:13" x14ac:dyDescent="0.55000000000000004">
      <c r="D282">
        <v>277</v>
      </c>
      <c r="E282">
        <v>490.05951222729277</v>
      </c>
      <c r="F282">
        <v>20.908415440921068</v>
      </c>
      <c r="G282">
        <v>417678.24930619408</v>
      </c>
      <c r="H282">
        <v>2819.4437647274572</v>
      </c>
      <c r="I282">
        <v>17.88735538688162</v>
      </c>
      <c r="J282">
        <v>354927.66397290496</v>
      </c>
      <c r="K282">
        <v>2329.3842525001646</v>
      </c>
      <c r="L282">
        <v>-3.0210600540394488</v>
      </c>
      <c r="M282">
        <v>-62750.585333289113</v>
      </c>
    </row>
    <row r="283" spans="4:13" x14ac:dyDescent="0.55000000000000004">
      <c r="D283">
        <v>278</v>
      </c>
      <c r="E283">
        <v>536.07723123421988</v>
      </c>
      <c r="F283">
        <v>18.907383060824291</v>
      </c>
      <c r="G283">
        <v>377611.58398525161</v>
      </c>
      <c r="H283">
        <v>2740.031231870606</v>
      </c>
      <c r="I283">
        <v>17.499628904811889</v>
      </c>
      <c r="J283">
        <v>347252.54686436721</v>
      </c>
      <c r="K283">
        <v>2203.9540006363859</v>
      </c>
      <c r="L283">
        <v>-1.4077541560124018</v>
      </c>
      <c r="M283">
        <v>-30359.037120884401</v>
      </c>
    </row>
    <row r="284" spans="4:13" x14ac:dyDescent="0.55000000000000004">
      <c r="D284">
        <v>279</v>
      </c>
      <c r="E284">
        <v>520.03327602937406</v>
      </c>
      <c r="F284">
        <v>19.821108710038949</v>
      </c>
      <c r="G284">
        <v>395902.1409247496</v>
      </c>
      <c r="H284">
        <v>2740.334074358258</v>
      </c>
      <c r="I284">
        <v>17.420373995258771</v>
      </c>
      <c r="J284">
        <v>345667.14583081711</v>
      </c>
      <c r="K284">
        <v>2220.300798328884</v>
      </c>
      <c r="L284">
        <v>-2.4007347147801781</v>
      </c>
      <c r="M284">
        <v>-50234.995093932492</v>
      </c>
    </row>
    <row r="285" spans="4:13" x14ac:dyDescent="0.55000000000000004">
      <c r="D285">
        <v>280</v>
      </c>
      <c r="E285">
        <v>430.77035904706412</v>
      </c>
      <c r="F285">
        <v>22.247818380045675</v>
      </c>
      <c r="G285">
        <v>444525.59724186646</v>
      </c>
      <c r="H285">
        <v>2825.6126649117332</v>
      </c>
      <c r="I285">
        <v>18.813563976148775</v>
      </c>
      <c r="J285">
        <v>373445.66685806378</v>
      </c>
      <c r="K285">
        <v>2394.842305864669</v>
      </c>
      <c r="L285">
        <v>-3.434254403896901</v>
      </c>
      <c r="M285">
        <v>-71079.930383802683</v>
      </c>
    </row>
    <row r="286" spans="4:13" x14ac:dyDescent="0.55000000000000004">
      <c r="D286">
        <v>281</v>
      </c>
      <c r="E286">
        <v>603.44338547710231</v>
      </c>
      <c r="F286">
        <v>19.806280694428043</v>
      </c>
      <c r="G286">
        <v>395522.17050308373</v>
      </c>
      <c r="H286">
        <v>2758.3614078340897</v>
      </c>
      <c r="I286">
        <v>18.304133556529116</v>
      </c>
      <c r="J286">
        <v>363324.30972274824</v>
      </c>
      <c r="K286">
        <v>2154.9180223569874</v>
      </c>
      <c r="L286">
        <v>-1.5021471378989268</v>
      </c>
      <c r="M286">
        <v>-32197.860780335497</v>
      </c>
    </row>
    <row r="287" spans="4:13" x14ac:dyDescent="0.55000000000000004">
      <c r="D287">
        <v>282</v>
      </c>
      <c r="E287">
        <v>821.57537916707167</v>
      </c>
      <c r="F287">
        <v>19.345745030332896</v>
      </c>
      <c r="G287">
        <v>386093.32522749086</v>
      </c>
      <c r="H287">
        <v>2689.8153254217291</v>
      </c>
      <c r="I287">
        <v>18.10397589068068</v>
      </c>
      <c r="J287">
        <v>359389.70248819183</v>
      </c>
      <c r="K287">
        <v>1868.2399462546573</v>
      </c>
      <c r="L287">
        <v>-1.2417691396522166</v>
      </c>
      <c r="M287">
        <v>-26703.622739299026</v>
      </c>
    </row>
    <row r="288" spans="4:13" x14ac:dyDescent="0.55000000000000004">
      <c r="D288">
        <v>283</v>
      </c>
      <c r="E288">
        <v>657.86565043647545</v>
      </c>
      <c r="F288">
        <v>19.094745793807345</v>
      </c>
      <c r="G288">
        <v>381237.05022571038</v>
      </c>
      <c r="H288">
        <v>2642.7164166071921</v>
      </c>
      <c r="I288">
        <v>17.041059074431178</v>
      </c>
      <c r="J288">
        <v>338178.46507201635</v>
      </c>
      <c r="K288">
        <v>1984.8507661707167</v>
      </c>
      <c r="L288">
        <v>-2.0536867193761665</v>
      </c>
      <c r="M288">
        <v>-43058.585153694032</v>
      </c>
    </row>
    <row r="289" spans="4:13" x14ac:dyDescent="0.55000000000000004">
      <c r="D289">
        <v>284</v>
      </c>
      <c r="E289">
        <v>895.54236080535452</v>
      </c>
      <c r="F289">
        <v>20.327356544720651</v>
      </c>
      <c r="G289">
        <v>405651.58853360766</v>
      </c>
      <c r="H289">
        <v>2838.9549577355601</v>
      </c>
      <c r="I289">
        <v>18.375642768208646</v>
      </c>
      <c r="J289">
        <v>364673.90040643734</v>
      </c>
      <c r="K289">
        <v>1943.4125969302056</v>
      </c>
      <c r="L289">
        <v>-1.9517137765120047</v>
      </c>
      <c r="M289">
        <v>-40977.688127170317</v>
      </c>
    </row>
    <row r="290" spans="4:13" x14ac:dyDescent="0.55000000000000004">
      <c r="D290">
        <v>285</v>
      </c>
      <c r="E290">
        <v>578.94247464320574</v>
      </c>
      <c r="F290">
        <v>18.465994886429844</v>
      </c>
      <c r="G290">
        <v>368740.95525395364</v>
      </c>
      <c r="H290">
        <v>2674.5942604584316</v>
      </c>
      <c r="I290">
        <v>16.981434034263355</v>
      </c>
      <c r="J290">
        <v>336954.08642480866</v>
      </c>
      <c r="K290">
        <v>2095.6517858152256</v>
      </c>
      <c r="L290">
        <v>-1.4845608521664886</v>
      </c>
      <c r="M290">
        <v>-31786.86882914498</v>
      </c>
    </row>
    <row r="291" spans="4:13" x14ac:dyDescent="0.55000000000000004">
      <c r="D291">
        <v>286</v>
      </c>
      <c r="E291">
        <v>634.70714052343067</v>
      </c>
      <c r="F291">
        <v>16.114793197617299</v>
      </c>
      <c r="G291">
        <v>321661.15681182256</v>
      </c>
      <c r="H291">
        <v>2894.6515667415283</v>
      </c>
      <c r="I291">
        <v>15.533284053658008</v>
      </c>
      <c r="J291">
        <v>307771.02950641862</v>
      </c>
      <c r="K291">
        <v>2259.9444262180978</v>
      </c>
      <c r="L291">
        <v>-0.58150914395929121</v>
      </c>
      <c r="M291">
        <v>-13890.127305403934</v>
      </c>
    </row>
    <row r="292" spans="4:13" x14ac:dyDescent="0.55000000000000004">
      <c r="D292">
        <v>287</v>
      </c>
      <c r="E292">
        <v>867.63990422410109</v>
      </c>
      <c r="F292">
        <v>17.965840650962548</v>
      </c>
      <c r="G292">
        <v>358449.1731150269</v>
      </c>
      <c r="H292">
        <v>2708.7502360247108</v>
      </c>
      <c r="I292">
        <v>17.195545454342366</v>
      </c>
      <c r="J292">
        <v>341202.1588508226</v>
      </c>
      <c r="K292">
        <v>1841.1103318006099</v>
      </c>
      <c r="L292">
        <v>-0.77029519662018231</v>
      </c>
      <c r="M292">
        <v>-17247.014264204307</v>
      </c>
    </row>
    <row r="293" spans="4:13" x14ac:dyDescent="0.55000000000000004">
      <c r="D293">
        <v>288</v>
      </c>
      <c r="E293">
        <v>647.75677950128375</v>
      </c>
      <c r="F293">
        <v>21.54994808372134</v>
      </c>
      <c r="G293">
        <v>430351.20489492553</v>
      </c>
      <c r="H293">
        <v>2869.954752814745</v>
      </c>
      <c r="I293">
        <v>19.715957706940724</v>
      </c>
      <c r="J293">
        <v>391449.19938599976</v>
      </c>
      <c r="K293">
        <v>2222.1979733134613</v>
      </c>
      <c r="L293">
        <v>-1.8339903767806156</v>
      </c>
      <c r="M293">
        <v>-38902.005508925766</v>
      </c>
    </row>
    <row r="294" spans="4:13" x14ac:dyDescent="0.55000000000000004">
      <c r="D294">
        <v>289</v>
      </c>
      <c r="E294">
        <v>636.90341683577071</v>
      </c>
      <c r="F294">
        <v>19.995351597159356</v>
      </c>
      <c r="G294">
        <v>399270.12852635136</v>
      </c>
      <c r="H294">
        <v>2876.7294779724393</v>
      </c>
      <c r="I294">
        <v>17.679909448942805</v>
      </c>
      <c r="J294">
        <v>350721.45950088365</v>
      </c>
      <c r="K294">
        <v>2239.8260611366686</v>
      </c>
      <c r="L294">
        <v>-2.315442148216551</v>
      </c>
      <c r="M294">
        <v>-48548.669025467709</v>
      </c>
    </row>
    <row r="295" spans="4:13" x14ac:dyDescent="0.55000000000000004">
      <c r="D295">
        <v>290</v>
      </c>
      <c r="E295">
        <v>605.19043796418532</v>
      </c>
      <c r="F295">
        <v>18.185726454669414</v>
      </c>
      <c r="G295">
        <v>363109.33865542413</v>
      </c>
      <c r="H295">
        <v>2710.1610144975321</v>
      </c>
      <c r="I295">
        <v>17.024955836084899</v>
      </c>
      <c r="J295">
        <v>337788.95570720045</v>
      </c>
      <c r="K295">
        <v>2104.9705765333465</v>
      </c>
      <c r="L295">
        <v>-1.1607706185845146</v>
      </c>
      <c r="M295">
        <v>-25320.382948223676</v>
      </c>
    </row>
    <row r="296" spans="4:13" x14ac:dyDescent="0.55000000000000004">
      <c r="D296">
        <v>291</v>
      </c>
      <c r="E296">
        <v>875.75386543164143</v>
      </c>
      <c r="F296">
        <v>19.477910936384255</v>
      </c>
      <c r="G296">
        <v>388682.46486225346</v>
      </c>
      <c r="H296">
        <v>2725.0251326368671</v>
      </c>
      <c r="I296">
        <v>19.102397091496297</v>
      </c>
      <c r="J296">
        <v>379322.91669728904</v>
      </c>
      <c r="K296">
        <v>1849.2712672052257</v>
      </c>
      <c r="L296">
        <v>-0.37551384488795847</v>
      </c>
      <c r="M296">
        <v>-9359.5481649644207</v>
      </c>
    </row>
    <row r="297" spans="4:13" x14ac:dyDescent="0.55000000000000004">
      <c r="D297">
        <v>292</v>
      </c>
      <c r="E297">
        <v>642.02538516324807</v>
      </c>
      <c r="F297">
        <v>21.699165394333523</v>
      </c>
      <c r="G297">
        <v>433341.2825015072</v>
      </c>
      <c r="H297">
        <v>2876.3813502952507</v>
      </c>
      <c r="I297">
        <v>18.333589185489778</v>
      </c>
      <c r="J297">
        <v>363795.40235950029</v>
      </c>
      <c r="K297">
        <v>2234.3559651320029</v>
      </c>
      <c r="L297">
        <v>-3.3655762088437449</v>
      </c>
      <c r="M297">
        <v>-69545.880142006907</v>
      </c>
    </row>
    <row r="298" spans="4:13" x14ac:dyDescent="0.55000000000000004">
      <c r="D298">
        <v>293</v>
      </c>
      <c r="E298">
        <v>619.30969861429696</v>
      </c>
      <c r="F298">
        <v>21.153748629317814</v>
      </c>
      <c r="G298">
        <v>422455.66288774199</v>
      </c>
      <c r="H298">
        <v>2757.2454023815499</v>
      </c>
      <c r="I298">
        <v>18.737033864574418</v>
      </c>
      <c r="J298">
        <v>371983.43188910681</v>
      </c>
      <c r="K298">
        <v>2137.935703767253</v>
      </c>
      <c r="L298">
        <v>-2.4167147647433964</v>
      </c>
      <c r="M298">
        <v>-50472.230998635176</v>
      </c>
    </row>
    <row r="299" spans="4:13" x14ac:dyDescent="0.55000000000000004">
      <c r="D299">
        <v>294</v>
      </c>
      <c r="E299">
        <v>836.78606925341171</v>
      </c>
      <c r="F299">
        <v>18.007583565429936</v>
      </c>
      <c r="G299">
        <v>359314.88523934531</v>
      </c>
      <c r="H299">
        <v>2661.6982034684929</v>
      </c>
      <c r="I299">
        <v>17.048345964080447</v>
      </c>
      <c r="J299">
        <v>338305.22107814043</v>
      </c>
      <c r="K299">
        <v>1824.9121342150811</v>
      </c>
      <c r="L299">
        <v>-0.95923760134948921</v>
      </c>
      <c r="M299">
        <v>-21009.664161204884</v>
      </c>
    </row>
    <row r="300" spans="4:13" x14ac:dyDescent="0.55000000000000004">
      <c r="D300">
        <v>295</v>
      </c>
      <c r="E300">
        <v>898.19879376481981</v>
      </c>
      <c r="F300">
        <v>18.859059215660054</v>
      </c>
      <c r="G300">
        <v>376282.98551943625</v>
      </c>
      <c r="H300">
        <v>2665.8268353830981</v>
      </c>
      <c r="I300">
        <v>18.146654683268594</v>
      </c>
      <c r="J300">
        <v>360267.2668299888</v>
      </c>
      <c r="K300">
        <v>1767.6280416182783</v>
      </c>
      <c r="L300">
        <v>-0.71240453239146007</v>
      </c>
      <c r="M300">
        <v>-16015.718689447443</v>
      </c>
    </row>
    <row r="301" spans="4:13" x14ac:dyDescent="0.55000000000000004">
      <c r="D301">
        <v>296</v>
      </c>
      <c r="E301">
        <v>853.70074274225158</v>
      </c>
      <c r="F301">
        <v>18.017987709735422</v>
      </c>
      <c r="G301">
        <v>359506.05345196615</v>
      </c>
      <c r="H301">
        <v>2722.5927661730525</v>
      </c>
      <c r="I301">
        <v>17.090814083761963</v>
      </c>
      <c r="J301">
        <v>339093.6889090662</v>
      </c>
      <c r="K301">
        <v>1868.8920234308009</v>
      </c>
      <c r="L301">
        <v>-0.92717362597345954</v>
      </c>
      <c r="M301">
        <v>-20412.364542899944</v>
      </c>
    </row>
    <row r="302" spans="4:13" x14ac:dyDescent="0.55000000000000004">
      <c r="D302">
        <v>297</v>
      </c>
      <c r="E302">
        <v>728.7586073126563</v>
      </c>
      <c r="F302">
        <v>18.597767364722664</v>
      </c>
      <c r="G302">
        <v>371226.58868714067</v>
      </c>
      <c r="H302">
        <v>2712.8049597947779</v>
      </c>
      <c r="I302">
        <v>17.148222818695171</v>
      </c>
      <c r="J302">
        <v>340251.65141410864</v>
      </c>
      <c r="K302">
        <v>1984.0463524821216</v>
      </c>
      <c r="L302">
        <v>-1.4495445460274929</v>
      </c>
      <c r="M302">
        <v>-30974.937273032032</v>
      </c>
    </row>
    <row r="303" spans="4:13" x14ac:dyDescent="0.55000000000000004">
      <c r="D303">
        <v>298</v>
      </c>
      <c r="E303">
        <v>615.11240123141556</v>
      </c>
      <c r="F303">
        <v>18.609685020160011</v>
      </c>
      <c r="G303">
        <v>371578.5880019688</v>
      </c>
      <c r="H303">
        <v>2799.8730168839957</v>
      </c>
      <c r="I303">
        <v>17.226911279306801</v>
      </c>
      <c r="J303">
        <v>341738.35256925208</v>
      </c>
      <c r="K303">
        <v>2184.7606156525799</v>
      </c>
      <c r="L303">
        <v>-1.3827737408532101</v>
      </c>
      <c r="M303">
        <v>-29840.235432716727</v>
      </c>
    </row>
    <row r="304" spans="4:13" x14ac:dyDescent="0.55000000000000004">
      <c r="D304">
        <v>299</v>
      </c>
      <c r="E304">
        <v>698.70660691060277</v>
      </c>
      <c r="F304">
        <v>17.306181269279147</v>
      </c>
      <c r="G304">
        <v>345424.91877867229</v>
      </c>
      <c r="H304">
        <v>2722.0546522987897</v>
      </c>
      <c r="I304">
        <v>16.588233070034928</v>
      </c>
      <c r="J304">
        <v>329042.60674839973</v>
      </c>
      <c r="K304">
        <v>2023.3480453881871</v>
      </c>
      <c r="L304">
        <v>-0.71794819924421915</v>
      </c>
      <c r="M304">
        <v>-16382.312030272558</v>
      </c>
    </row>
    <row r="305" spans="4:13" x14ac:dyDescent="0.55000000000000004">
      <c r="D305">
        <v>300</v>
      </c>
      <c r="E305">
        <v>522.80491501588381</v>
      </c>
      <c r="F305">
        <v>17.120143210242304</v>
      </c>
      <c r="G305">
        <v>341880.05928983021</v>
      </c>
      <c r="H305">
        <v>2618.8195232667658</v>
      </c>
      <c r="I305">
        <v>16.59635790788581</v>
      </c>
      <c r="J305">
        <v>329308.33863444946</v>
      </c>
      <c r="K305">
        <v>2096.0146082508818</v>
      </c>
      <c r="L305">
        <v>-0.52378530235649379</v>
      </c>
      <c r="M305">
        <v>-12571.720655380748</v>
      </c>
    </row>
    <row r="306" spans="4:13" x14ac:dyDescent="0.55000000000000004">
      <c r="D306">
        <v>301</v>
      </c>
      <c r="E306">
        <v>693.17971237393567</v>
      </c>
      <c r="F306">
        <v>19.727907608580555</v>
      </c>
      <c r="G306">
        <v>393864.97245923715</v>
      </c>
      <c r="H306">
        <v>2643.1552111959409</v>
      </c>
      <c r="I306">
        <v>17.81599981398394</v>
      </c>
      <c r="J306">
        <v>353676.84106848284</v>
      </c>
      <c r="K306">
        <v>1949.9754988220052</v>
      </c>
      <c r="L306">
        <v>-1.9119077945966154</v>
      </c>
      <c r="M306">
        <v>-40188.131390754308</v>
      </c>
    </row>
    <row r="307" spans="4:13" x14ac:dyDescent="0.55000000000000004">
      <c r="D307">
        <v>302</v>
      </c>
      <c r="E307">
        <v>731.8591843300178</v>
      </c>
      <c r="F307">
        <v>18.147052293928795</v>
      </c>
      <c r="G307">
        <v>362209.18669424584</v>
      </c>
      <c r="H307">
        <v>2620.2718855180888</v>
      </c>
      <c r="I307">
        <v>16.599103261196024</v>
      </c>
      <c r="J307">
        <v>329361.79333840241</v>
      </c>
      <c r="K307">
        <v>1888.412701188071</v>
      </c>
      <c r="L307">
        <v>-1.5479490327327703</v>
      </c>
      <c r="M307">
        <v>-32847.393355843436</v>
      </c>
    </row>
    <row r="308" spans="4:13" x14ac:dyDescent="0.55000000000000004">
      <c r="D308">
        <v>303</v>
      </c>
      <c r="E308">
        <v>617.51755028602645</v>
      </c>
      <c r="F308">
        <v>17.824105371542927</v>
      </c>
      <c r="G308">
        <v>355864.58988057252</v>
      </c>
      <c r="H308">
        <v>2863.0149416880986</v>
      </c>
      <c r="I308">
        <v>16.37543718341</v>
      </c>
      <c r="J308">
        <v>324645.72872651188</v>
      </c>
      <c r="K308">
        <v>2245.497391402072</v>
      </c>
      <c r="L308">
        <v>-1.4486681881329275</v>
      </c>
      <c r="M308">
        <v>-31218.861154060636</v>
      </c>
    </row>
    <row r="309" spans="4:13" x14ac:dyDescent="0.55000000000000004">
      <c r="D309">
        <v>304</v>
      </c>
      <c r="E309">
        <v>1007.1726525937785</v>
      </c>
      <c r="F309">
        <v>17.112078880463855</v>
      </c>
      <c r="G309">
        <v>341234.40495668334</v>
      </c>
      <c r="H309">
        <v>2704.2291051776883</v>
      </c>
      <c r="I309">
        <v>15.94210462966015</v>
      </c>
      <c r="J309">
        <v>316137.86348802532</v>
      </c>
      <c r="K309">
        <v>1697.05645258391</v>
      </c>
      <c r="L309">
        <v>-1.1699742508037048</v>
      </c>
      <c r="M309">
        <v>-25096.541468658019</v>
      </c>
    </row>
    <row r="310" spans="4:13" x14ac:dyDescent="0.55000000000000004">
      <c r="D310">
        <v>305</v>
      </c>
      <c r="E310">
        <v>828.17085536357058</v>
      </c>
      <c r="F310">
        <v>20.581950310601819</v>
      </c>
      <c r="G310">
        <v>410810.83535667276</v>
      </c>
      <c r="H310">
        <v>2712.6609608094491</v>
      </c>
      <c r="I310">
        <v>18.969538860893078</v>
      </c>
      <c r="J310">
        <v>376678.11625705211</v>
      </c>
      <c r="K310">
        <v>1884.4901054458785</v>
      </c>
      <c r="L310">
        <v>-1.6124114497087412</v>
      </c>
      <c r="M310">
        <v>-34132.719099620648</v>
      </c>
    </row>
    <row r="311" spans="4:13" x14ac:dyDescent="0.55000000000000004">
      <c r="D311">
        <v>306</v>
      </c>
      <c r="E311">
        <v>652.50792433371021</v>
      </c>
      <c r="F311">
        <v>16.759873323000161</v>
      </c>
      <c r="G311">
        <v>334544.95853566949</v>
      </c>
      <c r="H311">
        <v>2719.9964919307417</v>
      </c>
      <c r="I311">
        <v>15.413683049848654</v>
      </c>
      <c r="J311">
        <v>305553.66450504231</v>
      </c>
      <c r="K311">
        <v>2067.4885675970318</v>
      </c>
      <c r="L311">
        <v>-1.3461902731515067</v>
      </c>
      <c r="M311">
        <v>-28991.294030627178</v>
      </c>
    </row>
    <row r="312" spans="4:13" x14ac:dyDescent="0.55000000000000004">
      <c r="D312">
        <v>307</v>
      </c>
      <c r="E312">
        <v>813.56678484635347</v>
      </c>
      <c r="F312">
        <v>19.135635081034486</v>
      </c>
      <c r="G312">
        <v>381899.13483584335</v>
      </c>
      <c r="H312">
        <v>2839.6058130134215</v>
      </c>
      <c r="I312">
        <v>17.68286299753116</v>
      </c>
      <c r="J312">
        <v>350817.65413760976</v>
      </c>
      <c r="K312">
        <v>2026.039028167068</v>
      </c>
      <c r="L312">
        <v>-1.4527720835033264</v>
      </c>
      <c r="M312">
        <v>-31081.480698233587</v>
      </c>
    </row>
    <row r="313" spans="4:13" x14ac:dyDescent="0.55000000000000004">
      <c r="D313">
        <v>308</v>
      </c>
      <c r="E313">
        <v>602.35394590844737</v>
      </c>
      <c r="F313">
        <v>14.366838054910385</v>
      </c>
      <c r="G313">
        <v>286734.4071522993</v>
      </c>
      <c r="H313">
        <v>2636.5891202152843</v>
      </c>
      <c r="I313">
        <v>14.148948592307766</v>
      </c>
      <c r="J313">
        <v>280342.38272594003</v>
      </c>
      <c r="K313">
        <v>2034.2351743068371</v>
      </c>
      <c r="L313">
        <v>-0.21788946260261888</v>
      </c>
      <c r="M313">
        <v>-6392.0244263592758</v>
      </c>
    </row>
    <row r="314" spans="4:13" x14ac:dyDescent="0.55000000000000004">
      <c r="D314">
        <v>309</v>
      </c>
      <c r="E314">
        <v>465.7650640254617</v>
      </c>
      <c r="F314">
        <v>21.490208996883624</v>
      </c>
      <c r="G314">
        <v>429338.41487364698</v>
      </c>
      <c r="H314">
        <v>2656.7270546617883</v>
      </c>
      <c r="I314">
        <v>19.873175016756786</v>
      </c>
      <c r="J314">
        <v>394806.77328047395</v>
      </c>
      <c r="K314">
        <v>2190.9619906363268</v>
      </c>
      <c r="L314">
        <v>-1.6170339801268376</v>
      </c>
      <c r="M314">
        <v>-34531.64159317303</v>
      </c>
    </row>
    <row r="315" spans="4:13" x14ac:dyDescent="0.55000000000000004">
      <c r="D315">
        <v>310</v>
      </c>
      <c r="E315">
        <v>509.02248370570408</v>
      </c>
      <c r="F315">
        <v>19.841537033891733</v>
      </c>
      <c r="G315">
        <v>396321.71819412895</v>
      </c>
      <c r="H315">
        <v>2800.5013179248394</v>
      </c>
      <c r="I315">
        <v>18.066097533538198</v>
      </c>
      <c r="J315">
        <v>358521.44935283915</v>
      </c>
      <c r="K315">
        <v>2291.4788342191355</v>
      </c>
      <c r="L315">
        <v>-1.775439500353535</v>
      </c>
      <c r="M315">
        <v>-37800.268841289799</v>
      </c>
    </row>
    <row r="316" spans="4:13" x14ac:dyDescent="0.55000000000000004">
      <c r="D316">
        <v>311</v>
      </c>
      <c r="E316">
        <v>536.16008414597991</v>
      </c>
      <c r="F316">
        <v>21.492167524715068</v>
      </c>
      <c r="G316">
        <v>429307.1904101554</v>
      </c>
      <c r="H316">
        <v>2691.5149749590587</v>
      </c>
      <c r="I316">
        <v>18.675428452932252</v>
      </c>
      <c r="J316">
        <v>370817.05408368597</v>
      </c>
      <c r="K316">
        <v>2155.3548908130788</v>
      </c>
      <c r="L316">
        <v>-2.8167390717828162</v>
      </c>
      <c r="M316">
        <v>-58490.136326469423</v>
      </c>
    </row>
    <row r="317" spans="4:13" x14ac:dyDescent="0.55000000000000004">
      <c r="D317">
        <v>312</v>
      </c>
      <c r="E317">
        <v>1132.6509504157814</v>
      </c>
      <c r="F317">
        <v>16.021928677368319</v>
      </c>
      <c r="G317">
        <v>319305.92259695061</v>
      </c>
      <c r="H317">
        <v>2928.5126579769085</v>
      </c>
      <c r="I317">
        <v>15.333722333146683</v>
      </c>
      <c r="J317">
        <v>303745.9340049568</v>
      </c>
      <c r="K317">
        <v>1795.8617075611271</v>
      </c>
      <c r="L317">
        <v>-0.68820634422163529</v>
      </c>
      <c r="M317">
        <v>-15559.98859199381</v>
      </c>
    </row>
    <row r="318" spans="4:13" x14ac:dyDescent="0.55000000000000004">
      <c r="D318">
        <v>313</v>
      </c>
      <c r="E318">
        <v>843.28682494442796</v>
      </c>
      <c r="F318">
        <v>18.82091508215278</v>
      </c>
      <c r="G318">
        <v>375575.01481811114</v>
      </c>
      <c r="H318">
        <v>2643.1413355627437</v>
      </c>
      <c r="I318">
        <v>17.542306693168026</v>
      </c>
      <c r="J318">
        <v>348202.99252779776</v>
      </c>
      <c r="K318">
        <v>1799.8545106183158</v>
      </c>
      <c r="L318">
        <v>-1.2786083889847539</v>
      </c>
      <c r="M318">
        <v>-27372.022290313384</v>
      </c>
    </row>
    <row r="319" spans="4:13" x14ac:dyDescent="0.55000000000000004">
      <c r="D319">
        <v>314</v>
      </c>
      <c r="E319">
        <v>930.62328380944018</v>
      </c>
      <c r="F319">
        <v>18.709558814020106</v>
      </c>
      <c r="G319">
        <v>373260.55299659265</v>
      </c>
      <c r="H319">
        <v>2696.4786488752347</v>
      </c>
      <c r="I319">
        <v>17.959802255850672</v>
      </c>
      <c r="J319">
        <v>356499.56646813819</v>
      </c>
      <c r="K319">
        <v>1765.8553650657946</v>
      </c>
      <c r="L319">
        <v>-0.74975655816943387</v>
      </c>
      <c r="M319">
        <v>-16760.986528454465</v>
      </c>
    </row>
    <row r="320" spans="4:13" x14ac:dyDescent="0.55000000000000004">
      <c r="D320">
        <v>315</v>
      </c>
      <c r="E320">
        <v>637.3047382095275</v>
      </c>
      <c r="F320">
        <v>18.801559014050255</v>
      </c>
      <c r="G320">
        <v>375393.87554279558</v>
      </c>
      <c r="H320">
        <v>2928.6767374537612</v>
      </c>
      <c r="I320">
        <v>17.508847193624273</v>
      </c>
      <c r="J320">
        <v>347248.2671350317</v>
      </c>
      <c r="K320">
        <v>2291.3719992442338</v>
      </c>
      <c r="L320">
        <v>-1.292711820425982</v>
      </c>
      <c r="M320">
        <v>-28145.608407763881</v>
      </c>
    </row>
    <row r="321" spans="4:13" x14ac:dyDescent="0.55000000000000004">
      <c r="D321">
        <v>316</v>
      </c>
      <c r="E321">
        <v>638.81231834716527</v>
      </c>
      <c r="F321">
        <v>22.770011262705715</v>
      </c>
      <c r="G321">
        <v>454761.41293576715</v>
      </c>
      <c r="H321">
        <v>2671.3509505281622</v>
      </c>
      <c r="I321">
        <v>20.788128151214632</v>
      </c>
      <c r="J321">
        <v>413091.21207376447</v>
      </c>
      <c r="K321">
        <v>2032.538632180997</v>
      </c>
      <c r="L321">
        <v>-1.9818831114910829</v>
      </c>
      <c r="M321">
        <v>-41670.200862002675</v>
      </c>
    </row>
    <row r="322" spans="4:13" x14ac:dyDescent="0.55000000000000004">
      <c r="D322">
        <v>317</v>
      </c>
      <c r="E322">
        <v>922.98239043996296</v>
      </c>
      <c r="F322">
        <v>18.2000982278119</v>
      </c>
      <c r="G322">
        <v>363078.98216579802</v>
      </c>
      <c r="H322">
        <v>2722.9505124411753</v>
      </c>
      <c r="I322">
        <v>16.688318674356228</v>
      </c>
      <c r="J322">
        <v>331043.4229746834</v>
      </c>
      <c r="K322">
        <v>1799.9681220012124</v>
      </c>
      <c r="L322">
        <v>-1.5117795534556713</v>
      </c>
      <c r="M322">
        <v>-32035.559191114618</v>
      </c>
    </row>
    <row r="323" spans="4:13" x14ac:dyDescent="0.55000000000000004">
      <c r="D323">
        <v>318</v>
      </c>
      <c r="E323">
        <v>938.73521489117411</v>
      </c>
      <c r="F323">
        <v>17.726176679336195</v>
      </c>
      <c r="G323">
        <v>353584.7983718327</v>
      </c>
      <c r="H323">
        <v>2707.3100250633424</v>
      </c>
      <c r="I323">
        <v>16.654211342165198</v>
      </c>
      <c r="J323">
        <v>330376.9168182406</v>
      </c>
      <c r="K323">
        <v>1768.5748101721683</v>
      </c>
      <c r="L323">
        <v>-1.0719653371709974</v>
      </c>
      <c r="M323">
        <v>-23207.881553592102</v>
      </c>
    </row>
    <row r="324" spans="4:13" x14ac:dyDescent="0.55000000000000004">
      <c r="D324">
        <v>319</v>
      </c>
      <c r="E324">
        <v>924.89391793503125</v>
      </c>
      <c r="F324">
        <v>18.278230747497709</v>
      </c>
      <c r="G324">
        <v>364639.72103201912</v>
      </c>
      <c r="H324">
        <v>2776.8864317284833</v>
      </c>
      <c r="I324">
        <v>16.619283879048993</v>
      </c>
      <c r="J324">
        <v>329608.7911492514</v>
      </c>
      <c r="K324">
        <v>1851.992513793452</v>
      </c>
      <c r="L324">
        <v>-1.6589468684487159</v>
      </c>
      <c r="M324">
        <v>-35030.929882767727</v>
      </c>
    </row>
    <row r="325" spans="4:13" x14ac:dyDescent="0.55000000000000004">
      <c r="D325">
        <v>320</v>
      </c>
      <c r="E325">
        <v>416.00266139760367</v>
      </c>
      <c r="F325">
        <v>16.960953984918795</v>
      </c>
      <c r="G325">
        <v>338803.07703697827</v>
      </c>
      <c r="H325">
        <v>2759.0907681910567</v>
      </c>
      <c r="I325">
        <v>15.481213865116455</v>
      </c>
      <c r="J325">
        <v>306865.18653413805</v>
      </c>
      <c r="K325">
        <v>2343.0881067934529</v>
      </c>
      <c r="L325">
        <v>-1.4797401198023401</v>
      </c>
      <c r="M325">
        <v>-31937.890502840222</v>
      </c>
    </row>
    <row r="326" spans="4:13" x14ac:dyDescent="0.55000000000000004">
      <c r="D326">
        <v>321</v>
      </c>
      <c r="E326">
        <v>659.94779855014463</v>
      </c>
      <c r="F326">
        <v>18.293831432980578</v>
      </c>
      <c r="G326">
        <v>365216.68086106144</v>
      </c>
      <c r="H326">
        <v>2727.3671155374623</v>
      </c>
      <c r="I326">
        <v>16.644249474621702</v>
      </c>
      <c r="J326">
        <v>330157.62237689656</v>
      </c>
      <c r="K326">
        <v>2067.4193169873179</v>
      </c>
      <c r="L326">
        <v>-1.6495819583588762</v>
      </c>
      <c r="M326">
        <v>-35059.058484164882</v>
      </c>
    </row>
    <row r="327" spans="4:13" x14ac:dyDescent="0.55000000000000004">
      <c r="D327">
        <v>322</v>
      </c>
      <c r="E327">
        <v>581.39627666061347</v>
      </c>
      <c r="F327">
        <v>19.312876434194308</v>
      </c>
      <c r="G327">
        <v>385676.13240722555</v>
      </c>
      <c r="H327">
        <v>2682.8650938725364</v>
      </c>
      <c r="I327">
        <v>17.197903922496341</v>
      </c>
      <c r="J327">
        <v>341275.21335605427</v>
      </c>
      <c r="K327">
        <v>2101.4688172119231</v>
      </c>
      <c r="L327">
        <v>-2.1149725116979674</v>
      </c>
      <c r="M327">
        <v>-44400.91905117128</v>
      </c>
    </row>
    <row r="328" spans="4:13" x14ac:dyDescent="0.55000000000000004">
      <c r="D328">
        <v>323</v>
      </c>
      <c r="E328">
        <v>651.12521948963877</v>
      </c>
      <c r="F328">
        <v>16.514577305780453</v>
      </c>
      <c r="G328">
        <v>329640.42089611944</v>
      </c>
      <c r="H328">
        <v>2733.9470040754663</v>
      </c>
      <c r="I328">
        <v>15.299792788433541</v>
      </c>
      <c r="J328">
        <v>303261.90876459534</v>
      </c>
      <c r="K328">
        <v>2082.8217845858276</v>
      </c>
      <c r="L328">
        <v>-1.2147845173469118</v>
      </c>
      <c r="M328">
        <v>-26378.512131524098</v>
      </c>
    </row>
    <row r="329" spans="4:13" x14ac:dyDescent="0.55000000000000004">
      <c r="D329">
        <v>324</v>
      </c>
      <c r="E329">
        <v>702.94815369199898</v>
      </c>
      <c r="F329">
        <v>17.561020580106732</v>
      </c>
      <c r="G329">
        <v>350517.46344844264</v>
      </c>
      <c r="H329">
        <v>2878.4264191671355</v>
      </c>
      <c r="I329">
        <v>15.484404487278116</v>
      </c>
      <c r="J329">
        <v>306809.66332639521</v>
      </c>
      <c r="K329">
        <v>2175.4782654751366</v>
      </c>
      <c r="L329">
        <v>-2.0766160928286155</v>
      </c>
      <c r="M329">
        <v>-43707.800122047425</v>
      </c>
    </row>
    <row r="330" spans="4:13" x14ac:dyDescent="0.55000000000000004">
      <c r="D330">
        <v>325</v>
      </c>
      <c r="E330">
        <v>472.81032835486093</v>
      </c>
      <c r="F330">
        <v>19.675682746821124</v>
      </c>
      <c r="G330">
        <v>393040.84460806759</v>
      </c>
      <c r="H330">
        <v>2685.5360987665049</v>
      </c>
      <c r="I330">
        <v>17.942858866148192</v>
      </c>
      <c r="J330">
        <v>356171.64122419734</v>
      </c>
      <c r="K330">
        <v>2212.7257704116441</v>
      </c>
      <c r="L330">
        <v>-1.7328238806729317</v>
      </c>
      <c r="M330">
        <v>-36869.203383870248</v>
      </c>
    </row>
    <row r="331" spans="4:13" x14ac:dyDescent="0.55000000000000004">
      <c r="D331">
        <v>326</v>
      </c>
      <c r="E331">
        <v>710.42849152524764</v>
      </c>
      <c r="F331">
        <v>18.354866403852043</v>
      </c>
      <c r="G331">
        <v>366386.89958551561</v>
      </c>
      <c r="H331">
        <v>2847.569054369842</v>
      </c>
      <c r="I331">
        <v>16.728962495082364</v>
      </c>
      <c r="J331">
        <v>331731.68084727746</v>
      </c>
      <c r="K331">
        <v>2137.1405628445946</v>
      </c>
      <c r="L331">
        <v>-1.6259039087696792</v>
      </c>
      <c r="M331">
        <v>-34655.218738238153</v>
      </c>
    </row>
    <row r="332" spans="4:13" x14ac:dyDescent="0.55000000000000004">
      <c r="D332">
        <v>327</v>
      </c>
      <c r="E332">
        <v>741.9990181760794</v>
      </c>
      <c r="F332">
        <v>21.715500144698211</v>
      </c>
      <c r="G332">
        <v>433568.00387578818</v>
      </c>
      <c r="H332">
        <v>2956.1304957468901</v>
      </c>
      <c r="I332">
        <v>19.01447676405769</v>
      </c>
      <c r="J332">
        <v>377333.40478540689</v>
      </c>
      <c r="K332">
        <v>2214.1314775708106</v>
      </c>
      <c r="L332">
        <v>-2.7010233806405211</v>
      </c>
      <c r="M332">
        <v>-56234.599090381293</v>
      </c>
    </row>
    <row r="333" spans="4:13" x14ac:dyDescent="0.55000000000000004">
      <c r="D333">
        <v>328</v>
      </c>
      <c r="E333">
        <v>908.57223190210254</v>
      </c>
      <c r="F333">
        <v>20.288425502685605</v>
      </c>
      <c r="G333">
        <v>404859.93782181002</v>
      </c>
      <c r="H333">
        <v>2761.0013237676353</v>
      </c>
      <c r="I333">
        <v>19.421845139494323</v>
      </c>
      <c r="J333">
        <v>385675.90146611881</v>
      </c>
      <c r="K333">
        <v>1852.4290918655329</v>
      </c>
      <c r="L333">
        <v>-0.86658036319128229</v>
      </c>
      <c r="M333">
        <v>-19184.036355691205</v>
      </c>
    </row>
    <row r="334" spans="4:13" x14ac:dyDescent="0.55000000000000004">
      <c r="D334">
        <v>329</v>
      </c>
      <c r="E334">
        <v>730.25426998554349</v>
      </c>
      <c r="F334">
        <v>20.299653872046385</v>
      </c>
      <c r="G334">
        <v>405262.82317094214</v>
      </c>
      <c r="H334">
        <v>2721.2046442683741</v>
      </c>
      <c r="I334">
        <v>18.654238786730303</v>
      </c>
      <c r="J334">
        <v>370363.5710903377</v>
      </c>
      <c r="K334">
        <v>1990.9503742828306</v>
      </c>
      <c r="L334">
        <v>-1.6454150853160812</v>
      </c>
      <c r="M334">
        <v>-34899.252080604434</v>
      </c>
    </row>
    <row r="335" spans="4:13" x14ac:dyDescent="0.55000000000000004">
      <c r="D335">
        <v>330</v>
      </c>
      <c r="E335">
        <v>892.66462349311587</v>
      </c>
      <c r="F335">
        <v>18.328969995204549</v>
      </c>
      <c r="G335">
        <v>365686.73528059787</v>
      </c>
      <c r="H335">
        <v>2820.3112985313333</v>
      </c>
      <c r="I335">
        <v>16.616895428311544</v>
      </c>
      <c r="J335">
        <v>329517.5972676996</v>
      </c>
      <c r="K335">
        <v>1927.6466750382174</v>
      </c>
      <c r="L335">
        <v>-1.7120745668930049</v>
      </c>
      <c r="M335">
        <v>-36169.138012898271</v>
      </c>
    </row>
    <row r="336" spans="4:13" x14ac:dyDescent="0.55000000000000004">
      <c r="D336">
        <v>331</v>
      </c>
      <c r="E336">
        <v>638.57331569437633</v>
      </c>
      <c r="F336">
        <v>16.240358434253334</v>
      </c>
      <c r="G336">
        <v>324168.59536937228</v>
      </c>
      <c r="H336">
        <v>2752.2804419283375</v>
      </c>
      <c r="I336">
        <v>15.172062274487054</v>
      </c>
      <c r="J336">
        <v>300688.96504781273</v>
      </c>
      <c r="K336">
        <v>2113.7071262339614</v>
      </c>
      <c r="L336">
        <v>-1.0682961597662803</v>
      </c>
      <c r="M336">
        <v>-23479.630321559554</v>
      </c>
    </row>
    <row r="337" spans="4:13" x14ac:dyDescent="0.55000000000000004">
      <c r="D337">
        <v>332</v>
      </c>
      <c r="E337">
        <v>403.87137106206552</v>
      </c>
      <c r="F337">
        <v>19.865131626041279</v>
      </c>
      <c r="G337">
        <v>396898.76114976354</v>
      </c>
      <c r="H337">
        <v>2638.1211256116289</v>
      </c>
      <c r="I337">
        <v>18.350667799995325</v>
      </c>
      <c r="J337">
        <v>364375.23487429484</v>
      </c>
      <c r="K337">
        <v>2234.2497545495635</v>
      </c>
      <c r="L337">
        <v>-1.5144638260459544</v>
      </c>
      <c r="M337">
        <v>-32523.526275468699</v>
      </c>
    </row>
    <row r="338" spans="4:13" x14ac:dyDescent="0.55000000000000004">
      <c r="D338">
        <v>333</v>
      </c>
      <c r="E338">
        <v>593.99010187605256</v>
      </c>
      <c r="F338">
        <v>20.616910886184353</v>
      </c>
      <c r="G338">
        <v>411744.22762181103</v>
      </c>
      <c r="H338">
        <v>2711.5249195425295</v>
      </c>
      <c r="I338">
        <v>17.907367314944825</v>
      </c>
      <c r="J338">
        <v>355435.82137935393</v>
      </c>
      <c r="K338">
        <v>2117.534817666477</v>
      </c>
      <c r="L338">
        <v>-2.7095435712395286</v>
      </c>
      <c r="M338">
        <v>-56308.406242457102</v>
      </c>
    </row>
    <row r="339" spans="4:13" x14ac:dyDescent="0.55000000000000004">
      <c r="D339">
        <v>334</v>
      </c>
      <c r="E339">
        <v>788.00830402659153</v>
      </c>
      <c r="F339">
        <v>18.895544412715477</v>
      </c>
      <c r="G339">
        <v>377122.87995028292</v>
      </c>
      <c r="H339">
        <v>2737.4798387435308</v>
      </c>
      <c r="I339">
        <v>17.439740618164489</v>
      </c>
      <c r="J339">
        <v>346057.33252454625</v>
      </c>
      <c r="K339">
        <v>1949.4715347169392</v>
      </c>
      <c r="L339">
        <v>-1.4558037945509881</v>
      </c>
      <c r="M339">
        <v>-31065.547425736673</v>
      </c>
    </row>
    <row r="340" spans="4:13" x14ac:dyDescent="0.55000000000000004">
      <c r="D340">
        <v>335</v>
      </c>
      <c r="E340">
        <v>1352.2763368116086</v>
      </c>
      <c r="F340">
        <v>16.457896043147532</v>
      </c>
      <c r="G340">
        <v>327805.64452613902</v>
      </c>
      <c r="H340">
        <v>2802.1473142752084</v>
      </c>
      <c r="I340">
        <v>16.04341514911059</v>
      </c>
      <c r="J340">
        <v>318066.1556679366</v>
      </c>
      <c r="K340">
        <v>1449.8709774635997</v>
      </c>
      <c r="L340">
        <v>-0.41448089403694155</v>
      </c>
      <c r="M340">
        <v>-9739.4888582024141</v>
      </c>
    </row>
    <row r="341" spans="4:13" x14ac:dyDescent="0.55000000000000004">
      <c r="D341">
        <v>336</v>
      </c>
      <c r="E341">
        <v>679.9097788269529</v>
      </c>
      <c r="F341">
        <v>18.120633577255731</v>
      </c>
      <c r="G341">
        <v>361732.76176628767</v>
      </c>
      <c r="H341">
        <v>2952.9968700342743</v>
      </c>
      <c r="I341">
        <v>15.964991366093349</v>
      </c>
      <c r="J341">
        <v>316346.83045183273</v>
      </c>
      <c r="K341">
        <v>2273.0870912073215</v>
      </c>
      <c r="L341">
        <v>-2.1556422111623821</v>
      </c>
      <c r="M341">
        <v>-45385.931314454938</v>
      </c>
    </row>
    <row r="342" spans="4:13" x14ac:dyDescent="0.55000000000000004">
      <c r="D342">
        <v>337</v>
      </c>
      <c r="E342">
        <v>706.98663883566348</v>
      </c>
      <c r="F342">
        <v>18.424657443678139</v>
      </c>
      <c r="G342">
        <v>367786.16223472712</v>
      </c>
      <c r="H342">
        <v>2821.8355433327233</v>
      </c>
      <c r="I342">
        <v>16.743962739637702</v>
      </c>
      <c r="J342">
        <v>332057.41924942128</v>
      </c>
      <c r="K342">
        <v>2114.8489044970597</v>
      </c>
      <c r="L342">
        <v>-1.6806947040404374</v>
      </c>
      <c r="M342">
        <v>-35728.742985305842</v>
      </c>
    </row>
    <row r="343" spans="4:13" x14ac:dyDescent="0.55000000000000004">
      <c r="D343">
        <v>338</v>
      </c>
      <c r="E343">
        <v>710.55982225808236</v>
      </c>
      <c r="F343">
        <v>17.447869758721378</v>
      </c>
      <c r="G343">
        <v>348246.83535216947</v>
      </c>
      <c r="H343">
        <v>2780.758625114363</v>
      </c>
      <c r="I343">
        <v>15.250144074510683</v>
      </c>
      <c r="J343">
        <v>302222.12286509934</v>
      </c>
      <c r="K343">
        <v>2070.1988028562805</v>
      </c>
      <c r="L343">
        <v>-2.1977256842106954</v>
      </c>
      <c r="M343">
        <v>-46024.712487070123</v>
      </c>
    </row>
    <row r="344" spans="4:13" x14ac:dyDescent="0.55000000000000004">
      <c r="D344">
        <v>339</v>
      </c>
      <c r="E344">
        <v>930.21610465292383</v>
      </c>
      <c r="F344">
        <v>19.884823919373755</v>
      </c>
      <c r="G344">
        <v>396766.26228282216</v>
      </c>
      <c r="H344">
        <v>2664.3871892927964</v>
      </c>
      <c r="I344">
        <v>18.983136278624229</v>
      </c>
      <c r="J344">
        <v>376998.33838319179</v>
      </c>
      <c r="K344">
        <v>1734.1710846398726</v>
      </c>
      <c r="L344">
        <v>-0.90168764074952534</v>
      </c>
      <c r="M344">
        <v>-19767.923899630376</v>
      </c>
    </row>
    <row r="345" spans="4:13" x14ac:dyDescent="0.55000000000000004">
      <c r="D345">
        <v>340</v>
      </c>
      <c r="E345">
        <v>847.69552328972179</v>
      </c>
      <c r="F345">
        <v>20.059429018698587</v>
      </c>
      <c r="G345">
        <v>400340.88485068199</v>
      </c>
      <c r="H345">
        <v>3262.7542334624368</v>
      </c>
      <c r="I345">
        <v>18.091246986078307</v>
      </c>
      <c r="J345">
        <v>358562.18548810371</v>
      </c>
      <c r="K345">
        <v>2415.0587101727151</v>
      </c>
      <c r="L345">
        <v>-1.9681820326202804</v>
      </c>
      <c r="M345">
        <v>-41778.699362578278</v>
      </c>
    </row>
    <row r="346" spans="4:13" x14ac:dyDescent="0.55000000000000004">
      <c r="D346">
        <v>341</v>
      </c>
      <c r="E346">
        <v>668.76121990058823</v>
      </c>
      <c r="F346">
        <v>21.340647629547345</v>
      </c>
      <c r="G346">
        <v>426144.1913710463</v>
      </c>
      <c r="H346">
        <v>2924.3128542192726</v>
      </c>
      <c r="I346">
        <v>18.898288329690889</v>
      </c>
      <c r="J346">
        <v>375041.45373959851</v>
      </c>
      <c r="K346">
        <v>2255.5516343186846</v>
      </c>
      <c r="L346">
        <v>-2.4423592998564558</v>
      </c>
      <c r="M346">
        <v>-51102.737631447788</v>
      </c>
    </row>
    <row r="347" spans="4:13" x14ac:dyDescent="0.55000000000000004">
      <c r="D347">
        <v>342</v>
      </c>
      <c r="E347">
        <v>668.57304832951763</v>
      </c>
      <c r="F347">
        <v>15.532681624240537</v>
      </c>
      <c r="G347">
        <v>309985.05943648121</v>
      </c>
      <c r="H347">
        <v>2624.9467252468803</v>
      </c>
      <c r="I347">
        <v>14.486868750155763</v>
      </c>
      <c r="J347">
        <v>287112.42827786837</v>
      </c>
      <c r="K347">
        <v>1956.3736769173627</v>
      </c>
      <c r="L347">
        <v>-1.0458128740847741</v>
      </c>
      <c r="M347">
        <v>-22872.631158612843</v>
      </c>
    </row>
    <row r="348" spans="4:13" x14ac:dyDescent="0.55000000000000004">
      <c r="D348">
        <v>343</v>
      </c>
      <c r="E348">
        <v>491.29086563533309</v>
      </c>
      <c r="F348">
        <v>19.993395138439212</v>
      </c>
      <c r="G348">
        <v>399376.61190314894</v>
      </c>
      <c r="H348">
        <v>2829.0804863501953</v>
      </c>
      <c r="I348">
        <v>18.479127007765072</v>
      </c>
      <c r="J348">
        <v>366753.45966895128</v>
      </c>
      <c r="K348">
        <v>2337.7896207148624</v>
      </c>
      <c r="L348">
        <v>-1.5142681306741395</v>
      </c>
      <c r="M348">
        <v>-32623.152234197652</v>
      </c>
    </row>
    <row r="349" spans="4:13" x14ac:dyDescent="0.55000000000000004">
      <c r="D349">
        <v>344</v>
      </c>
      <c r="E349">
        <v>599.53699848687461</v>
      </c>
      <c r="F349">
        <v>19.036639358763836</v>
      </c>
      <c r="G349">
        <v>380133.25017678982</v>
      </c>
      <c r="H349">
        <v>2802.3754040340127</v>
      </c>
      <c r="I349">
        <v>16.677609382138186</v>
      </c>
      <c r="J349">
        <v>330749.81223872973</v>
      </c>
      <c r="K349">
        <v>2202.8384055471379</v>
      </c>
      <c r="L349">
        <v>-2.3590299766256493</v>
      </c>
      <c r="M349">
        <v>-49383.437938060088</v>
      </c>
    </row>
    <row r="350" spans="4:13" x14ac:dyDescent="0.55000000000000004">
      <c r="D350">
        <v>345</v>
      </c>
      <c r="E350">
        <v>755.79208996798377</v>
      </c>
      <c r="F350">
        <v>21.271802197686153</v>
      </c>
      <c r="G350">
        <v>424680.25186375505</v>
      </c>
      <c r="H350">
        <v>2744.9423334393637</v>
      </c>
      <c r="I350">
        <v>19.571861033309649</v>
      </c>
      <c r="J350">
        <v>388692.27833275363</v>
      </c>
      <c r="K350">
        <v>1989.1502434713798</v>
      </c>
      <c r="L350">
        <v>-1.6999411643765043</v>
      </c>
      <c r="M350">
        <v>-35987.973531001422</v>
      </c>
    </row>
    <row r="351" spans="4:13" x14ac:dyDescent="0.55000000000000004">
      <c r="D351">
        <v>346</v>
      </c>
      <c r="E351">
        <v>752.48536477800781</v>
      </c>
      <c r="F351">
        <v>19.034542934340536</v>
      </c>
      <c r="G351">
        <v>379938.37332203268</v>
      </c>
      <c r="H351">
        <v>2693.1555132778067</v>
      </c>
      <c r="I351">
        <v>17.135544137550404</v>
      </c>
      <c r="J351">
        <v>340017.72723773029</v>
      </c>
      <c r="K351">
        <v>1940.6701484997989</v>
      </c>
      <c r="L351">
        <v>-1.8989987967901314</v>
      </c>
      <c r="M351">
        <v>-39920.646084302396</v>
      </c>
    </row>
    <row r="352" spans="4:13" x14ac:dyDescent="0.55000000000000004">
      <c r="D352">
        <v>347</v>
      </c>
      <c r="E352">
        <v>789.90399724119118</v>
      </c>
      <c r="F352">
        <v>20.389340337064862</v>
      </c>
      <c r="G352">
        <v>406996.90274405607</v>
      </c>
      <c r="H352">
        <v>2672.2482388164403</v>
      </c>
      <c r="I352">
        <v>18.093189606433945</v>
      </c>
      <c r="J352">
        <v>359191.54388986249</v>
      </c>
      <c r="K352">
        <v>1882.3442415752493</v>
      </c>
      <c r="L352">
        <v>-2.2961507306309166</v>
      </c>
      <c r="M352">
        <v>-47805.35885419359</v>
      </c>
    </row>
    <row r="353" spans="4:13" x14ac:dyDescent="0.55000000000000004">
      <c r="D353">
        <v>348</v>
      </c>
      <c r="E353">
        <v>792.95969067109127</v>
      </c>
      <c r="F353">
        <v>20.816230386769139</v>
      </c>
      <c r="G353">
        <v>415531.64804471168</v>
      </c>
      <c r="H353">
        <v>2895.126674099472</v>
      </c>
      <c r="I353">
        <v>18.599169428054999</v>
      </c>
      <c r="J353">
        <v>369088.26188700052</v>
      </c>
      <c r="K353">
        <v>2102.1669834283807</v>
      </c>
      <c r="L353">
        <v>-2.2170609587141392</v>
      </c>
      <c r="M353">
        <v>-46443.386157711153</v>
      </c>
    </row>
    <row r="354" spans="4:13" x14ac:dyDescent="0.55000000000000004">
      <c r="D354">
        <v>349</v>
      </c>
      <c r="E354">
        <v>657.63738152016458</v>
      </c>
      <c r="F354">
        <v>19.445661428240602</v>
      </c>
      <c r="G354">
        <v>388255.59118329186</v>
      </c>
      <c r="H354">
        <v>2640.4524100027602</v>
      </c>
      <c r="I354">
        <v>18.762129028046882</v>
      </c>
      <c r="J354">
        <v>372602.12815093488</v>
      </c>
      <c r="K354">
        <v>1982.8150284825956</v>
      </c>
      <c r="L354">
        <v>-0.68353240019371952</v>
      </c>
      <c r="M354">
        <v>-15653.463032356987</v>
      </c>
    </row>
    <row r="355" spans="4:13" x14ac:dyDescent="0.55000000000000004">
      <c r="D355">
        <v>350</v>
      </c>
      <c r="E355">
        <v>796.02177961439952</v>
      </c>
      <c r="F355">
        <v>20.043201319165</v>
      </c>
      <c r="G355">
        <v>400068.00460368564</v>
      </c>
      <c r="H355">
        <v>2751.1181688548404</v>
      </c>
      <c r="I355">
        <v>18.624322317037286</v>
      </c>
      <c r="J355">
        <v>369735.32817189087</v>
      </c>
      <c r="K355">
        <v>1955.0963892404409</v>
      </c>
      <c r="L355">
        <v>-1.4188790021277136</v>
      </c>
      <c r="M355">
        <v>-30332.676431794767</v>
      </c>
    </row>
    <row r="356" spans="4:13" x14ac:dyDescent="0.55000000000000004">
      <c r="D356">
        <v>351</v>
      </c>
      <c r="E356">
        <v>783.7699706313017</v>
      </c>
      <c r="F356">
        <v>18.219470786468154</v>
      </c>
      <c r="G356">
        <v>363605.64575873181</v>
      </c>
      <c r="H356">
        <v>2756.0663512728961</v>
      </c>
      <c r="I356">
        <v>17.632816528702477</v>
      </c>
      <c r="J356">
        <v>349900.26422277663</v>
      </c>
      <c r="K356">
        <v>1972.2963806415944</v>
      </c>
      <c r="L356">
        <v>-0.58665425776567659</v>
      </c>
      <c r="M356">
        <v>-13705.381535955181</v>
      </c>
    </row>
    <row r="357" spans="4:13" x14ac:dyDescent="0.55000000000000004">
      <c r="D357">
        <v>352</v>
      </c>
      <c r="E357">
        <v>636.76259605096482</v>
      </c>
      <c r="F357">
        <v>17.415828805895046</v>
      </c>
      <c r="G357">
        <v>347679.81352184992</v>
      </c>
      <c r="H357">
        <v>2717.7094037220213</v>
      </c>
      <c r="I357">
        <v>16.227355229450019</v>
      </c>
      <c r="J357">
        <v>321829.39518527838</v>
      </c>
      <c r="K357">
        <v>2080.9468076710564</v>
      </c>
      <c r="L357">
        <v>-1.1884735764450269</v>
      </c>
      <c r="M357">
        <v>-25850.418336571543</v>
      </c>
    </row>
    <row r="358" spans="4:13" x14ac:dyDescent="0.55000000000000004">
      <c r="D358">
        <v>353</v>
      </c>
      <c r="E358">
        <v>891.87625438093346</v>
      </c>
      <c r="F358">
        <v>19.036625475160758</v>
      </c>
      <c r="G358">
        <v>379840.63324883423</v>
      </c>
      <c r="H358">
        <v>2693.4422611817999</v>
      </c>
      <c r="I358">
        <v>17.229278812729376</v>
      </c>
      <c r="J358">
        <v>341892.13399340573</v>
      </c>
      <c r="K358">
        <v>1801.5660068008665</v>
      </c>
      <c r="L358">
        <v>-1.8073466624313816</v>
      </c>
      <c r="M358">
        <v>-37948.499255428498</v>
      </c>
    </row>
    <row r="359" spans="4:13" x14ac:dyDescent="0.55000000000000004">
      <c r="D359">
        <v>354</v>
      </c>
      <c r="E359">
        <v>615.50972478682002</v>
      </c>
      <c r="F359">
        <v>17.594115183537998</v>
      </c>
      <c r="G359">
        <v>351266.79394597316</v>
      </c>
      <c r="H359">
        <v>2746.1713774562686</v>
      </c>
      <c r="I359">
        <v>16.134671083170971</v>
      </c>
      <c r="J359">
        <v>319947.25028596312</v>
      </c>
      <c r="K359">
        <v>2130.6616526694488</v>
      </c>
      <c r="L359">
        <v>-1.4594441003670262</v>
      </c>
      <c r="M359">
        <v>-31319.543660010037</v>
      </c>
    </row>
    <row r="360" spans="4:13" x14ac:dyDescent="0.55000000000000004">
      <c r="D360">
        <v>355</v>
      </c>
      <c r="E360">
        <v>747.81331819032175</v>
      </c>
      <c r="F360">
        <v>18.921876106744339</v>
      </c>
      <c r="G360">
        <v>377689.70881669642</v>
      </c>
      <c r="H360">
        <v>2823.9780670268847</v>
      </c>
      <c r="I360">
        <v>16.581643356147726</v>
      </c>
      <c r="J360">
        <v>328808.88905592763</v>
      </c>
      <c r="K360">
        <v>2076.1647488365629</v>
      </c>
      <c r="L360">
        <v>-2.3402327505966127</v>
      </c>
      <c r="M360">
        <v>-48880.819760768791</v>
      </c>
    </row>
    <row r="361" spans="4:13" x14ac:dyDescent="0.55000000000000004">
      <c r="D361">
        <v>356</v>
      </c>
      <c r="E361">
        <v>694.35470199951214</v>
      </c>
      <c r="F361">
        <v>18.794678362247513</v>
      </c>
      <c r="G361">
        <v>375199.21254295076</v>
      </c>
      <c r="H361">
        <v>3012.3656953135378</v>
      </c>
      <c r="I361">
        <v>16.951431854884948</v>
      </c>
      <c r="J361">
        <v>336016.27140238544</v>
      </c>
      <c r="K361">
        <v>2318.0109933140257</v>
      </c>
      <c r="L361">
        <v>-1.843246507362565</v>
      </c>
      <c r="M361">
        <v>-39182.941140565323</v>
      </c>
    </row>
    <row r="362" spans="4:13" x14ac:dyDescent="0.55000000000000004">
      <c r="D362">
        <v>357</v>
      </c>
      <c r="E362">
        <v>749.20918054609933</v>
      </c>
      <c r="F362">
        <v>19.893063517213776</v>
      </c>
      <c r="G362">
        <v>397112.06116372941</v>
      </c>
      <c r="H362">
        <v>2703.2851929720864</v>
      </c>
      <c r="I362">
        <v>17.96869181109766</v>
      </c>
      <c r="J362">
        <v>356670.55102898111</v>
      </c>
      <c r="K362">
        <v>1954.0760124259871</v>
      </c>
      <c r="L362">
        <v>-1.9243717061161156</v>
      </c>
      <c r="M362">
        <v>-40441.5101347483</v>
      </c>
    </row>
    <row r="363" spans="4:13" x14ac:dyDescent="0.55000000000000004">
      <c r="D363">
        <v>358</v>
      </c>
      <c r="E363">
        <v>768.02700421097381</v>
      </c>
      <c r="F363">
        <v>21.104410797067132</v>
      </c>
      <c r="G363">
        <v>421320.18893713166</v>
      </c>
      <c r="H363">
        <v>2680.5403087534614</v>
      </c>
      <c r="I363">
        <v>19.399582059288839</v>
      </c>
      <c r="J363">
        <v>385311.10087702336</v>
      </c>
      <c r="K363">
        <v>1912.5133045424877</v>
      </c>
      <c r="L363">
        <v>-1.7048287377782927</v>
      </c>
      <c r="M363">
        <v>-36009.088060108304</v>
      </c>
    </row>
    <row r="364" spans="4:13" x14ac:dyDescent="0.55000000000000004">
      <c r="D364">
        <v>359</v>
      </c>
      <c r="E364">
        <v>983.21698090576729</v>
      </c>
      <c r="F364">
        <v>17.796846041327978</v>
      </c>
      <c r="G364">
        <v>354953.70384565374</v>
      </c>
      <c r="H364">
        <v>2969.3120785977508</v>
      </c>
      <c r="I364">
        <v>16.801237942951719</v>
      </c>
      <c r="J364">
        <v>333055.44678043667</v>
      </c>
      <c r="K364">
        <v>1986.0950976919835</v>
      </c>
      <c r="L364">
        <v>-0.99560809837625897</v>
      </c>
      <c r="M364">
        <v>-21898.257065217069</v>
      </c>
    </row>
    <row r="365" spans="4:13" x14ac:dyDescent="0.55000000000000004">
      <c r="D365">
        <v>360</v>
      </c>
      <c r="E365">
        <v>628.26080603707101</v>
      </c>
      <c r="F365">
        <v>19.017808704239506</v>
      </c>
      <c r="G365">
        <v>379727.91327875305</v>
      </c>
      <c r="H365">
        <v>2749.4195371000228</v>
      </c>
      <c r="I365">
        <v>18.041193687936651</v>
      </c>
      <c r="J365">
        <v>358074.45422163303</v>
      </c>
      <c r="K365">
        <v>2121.158731062952</v>
      </c>
      <c r="L365">
        <v>-0.97661501630285485</v>
      </c>
      <c r="M365">
        <v>-21653.459057120024</v>
      </c>
    </row>
    <row r="366" spans="4:13" x14ac:dyDescent="0.55000000000000004">
      <c r="D366">
        <v>361</v>
      </c>
      <c r="E366">
        <v>687.90884764560315</v>
      </c>
      <c r="F366">
        <v>18.103842830209668</v>
      </c>
      <c r="G366">
        <v>361388.94775654777</v>
      </c>
      <c r="H366">
        <v>2776.8848985414274</v>
      </c>
      <c r="I366">
        <v>16.382014751113843</v>
      </c>
      <c r="J366">
        <v>324863.41012373543</v>
      </c>
      <c r="K366">
        <v>2088.9760508958243</v>
      </c>
      <c r="L366">
        <v>-1.7218280790958254</v>
      </c>
      <c r="M366">
        <v>-36525.537632812338</v>
      </c>
    </row>
    <row r="367" spans="4:13" x14ac:dyDescent="0.55000000000000004">
      <c r="D367">
        <v>362</v>
      </c>
      <c r="E367">
        <v>584.6643591555727</v>
      </c>
      <c r="F367">
        <v>18.348939202627424</v>
      </c>
      <c r="G367">
        <v>366394.11969339289</v>
      </c>
      <c r="H367">
        <v>2740.4229062465502</v>
      </c>
      <c r="I367">
        <v>17.460142836365286</v>
      </c>
      <c r="J367">
        <v>346462.43382105918</v>
      </c>
      <c r="K367">
        <v>2155.7585470909776</v>
      </c>
      <c r="L367">
        <v>-0.88879636626213809</v>
      </c>
      <c r="M367">
        <v>-19931.685872333706</v>
      </c>
    </row>
    <row r="368" spans="4:13" x14ac:dyDescent="0.55000000000000004">
      <c r="D368">
        <v>363</v>
      </c>
      <c r="E368">
        <v>789.66592200804223</v>
      </c>
      <c r="F368">
        <v>17.649548201682531</v>
      </c>
      <c r="G368">
        <v>352201.29811164259</v>
      </c>
      <c r="H368">
        <v>2677.699827240775</v>
      </c>
      <c r="I368">
        <v>16.443856830749315</v>
      </c>
      <c r="J368">
        <v>326199.43678774551</v>
      </c>
      <c r="K368">
        <v>1888.0339052327326</v>
      </c>
      <c r="L368">
        <v>-1.2056913709332164</v>
      </c>
      <c r="M368">
        <v>-26001.861323897087</v>
      </c>
    </row>
    <row r="369" spans="4:13" x14ac:dyDescent="0.55000000000000004">
      <c r="D369">
        <v>364</v>
      </c>
      <c r="E369">
        <v>651.26496045288184</v>
      </c>
      <c r="F369">
        <v>18.367650151108187</v>
      </c>
      <c r="G369">
        <v>366701.7380617109</v>
      </c>
      <c r="H369">
        <v>2667.0546366674857</v>
      </c>
      <c r="I369">
        <v>16.706446312674107</v>
      </c>
      <c r="J369">
        <v>331461.87161681463</v>
      </c>
      <c r="K369">
        <v>2015.7896762146038</v>
      </c>
      <c r="L369">
        <v>-1.6612038384340799</v>
      </c>
      <c r="M369">
        <v>-35239.866444896266</v>
      </c>
    </row>
    <row r="370" spans="4:13" x14ac:dyDescent="0.55000000000000004">
      <c r="D370">
        <v>365</v>
      </c>
      <c r="E370">
        <v>994.49798676315982</v>
      </c>
      <c r="F370">
        <v>20.000356761142992</v>
      </c>
      <c r="G370">
        <v>399012.63723609672</v>
      </c>
      <c r="H370">
        <v>2711.0004327414376</v>
      </c>
      <c r="I370">
        <v>17.483440830997829</v>
      </c>
      <c r="J370">
        <v>346957.81618721515</v>
      </c>
      <c r="K370">
        <v>1716.5024459782778</v>
      </c>
      <c r="L370">
        <v>-2.5169159301451636</v>
      </c>
      <c r="M370">
        <v>-52054.821048881568</v>
      </c>
    </row>
    <row r="371" spans="4:13" x14ac:dyDescent="0.55000000000000004">
      <c r="D371">
        <v>366</v>
      </c>
      <c r="E371">
        <v>543.80124669560109</v>
      </c>
      <c r="F371">
        <v>19.644850102206025</v>
      </c>
      <c r="G371">
        <v>392353.20079742488</v>
      </c>
      <c r="H371">
        <v>2724.8338510388394</v>
      </c>
      <c r="I371">
        <v>18.717542320516586</v>
      </c>
      <c r="J371">
        <v>371626.0125592929</v>
      </c>
      <c r="K371">
        <v>2181.0326043432383</v>
      </c>
      <c r="L371">
        <v>-0.92730778168943928</v>
      </c>
      <c r="M371">
        <v>-20727.188238131988</v>
      </c>
    </row>
    <row r="372" spans="4:13" x14ac:dyDescent="0.55000000000000004">
      <c r="D372">
        <v>367</v>
      </c>
      <c r="E372">
        <v>675.64448621952704</v>
      </c>
      <c r="F372">
        <v>22.096735667793808</v>
      </c>
      <c r="G372">
        <v>441259.06886965665</v>
      </c>
      <c r="H372">
        <v>2729.5557530561532</v>
      </c>
      <c r="I372">
        <v>19.440170997979628</v>
      </c>
      <c r="J372">
        <v>386073.86420653644</v>
      </c>
      <c r="K372">
        <v>2053.9112668366261</v>
      </c>
      <c r="L372">
        <v>-2.6565646698141805</v>
      </c>
      <c r="M372">
        <v>-55185.20466312021</v>
      </c>
    </row>
    <row r="373" spans="4:13" x14ac:dyDescent="0.55000000000000004">
      <c r="D373">
        <v>368</v>
      </c>
      <c r="E373">
        <v>488.0985386649981</v>
      </c>
      <c r="F373">
        <v>17.324912497338271</v>
      </c>
      <c r="G373">
        <v>346010.15140810044</v>
      </c>
      <c r="H373">
        <v>2701.8764192842436</v>
      </c>
      <c r="I373">
        <v>15.957998025422437</v>
      </c>
      <c r="J373">
        <v>316458.08408916451</v>
      </c>
      <c r="K373">
        <v>2213.7778806192455</v>
      </c>
      <c r="L373">
        <v>-1.3669144719158339</v>
      </c>
      <c r="M373">
        <v>-29552.067318935937</v>
      </c>
    </row>
    <row r="374" spans="4:13" x14ac:dyDescent="0.55000000000000004">
      <c r="D374">
        <v>369</v>
      </c>
      <c r="E374">
        <v>658.25623917990913</v>
      </c>
      <c r="F374">
        <v>20.622196068810368</v>
      </c>
      <c r="G374">
        <v>411785.66513702745</v>
      </c>
      <c r="H374">
        <v>2843.3154055460691</v>
      </c>
      <c r="I374">
        <v>19.006626132342131</v>
      </c>
      <c r="J374">
        <v>377289.20724129659</v>
      </c>
      <c r="K374">
        <v>2185.0591663661598</v>
      </c>
      <c r="L374">
        <v>-1.615569936468237</v>
      </c>
      <c r="M374">
        <v>-34496.457895730855</v>
      </c>
    </row>
    <row r="375" spans="4:13" x14ac:dyDescent="0.55000000000000004">
      <c r="D375">
        <v>370</v>
      </c>
      <c r="E375">
        <v>586.33025274657575</v>
      </c>
      <c r="F375">
        <v>21.881481366148229</v>
      </c>
      <c r="G375">
        <v>437043.29707021802</v>
      </c>
      <c r="H375">
        <v>2841.3573311426867</v>
      </c>
      <c r="I375">
        <v>20.325221064531142</v>
      </c>
      <c r="J375">
        <v>403663.06395948015</v>
      </c>
      <c r="K375">
        <v>2255.0270783961109</v>
      </c>
      <c r="L375">
        <v>-1.5562603016170868</v>
      </c>
      <c r="M375">
        <v>-33380.23311073787</v>
      </c>
    </row>
    <row r="376" spans="4:13" x14ac:dyDescent="0.55000000000000004">
      <c r="D376">
        <v>371</v>
      </c>
      <c r="E376">
        <v>577.60957677174883</v>
      </c>
      <c r="F376">
        <v>18.730507858025717</v>
      </c>
      <c r="G376">
        <v>374032.54758374259</v>
      </c>
      <c r="H376">
        <v>2756.1922025758513</v>
      </c>
      <c r="I376">
        <v>17.232403245270859</v>
      </c>
      <c r="J376">
        <v>341891.87270284136</v>
      </c>
      <c r="K376">
        <v>2178.5826258041025</v>
      </c>
      <c r="L376">
        <v>-1.4981046127548581</v>
      </c>
      <c r="M376">
        <v>-32140.674880901235</v>
      </c>
    </row>
    <row r="377" spans="4:13" x14ac:dyDescent="0.55000000000000004">
      <c r="D377">
        <v>372</v>
      </c>
      <c r="E377">
        <v>385.7508150983831</v>
      </c>
      <c r="F377">
        <v>19.80182795342758</v>
      </c>
      <c r="G377">
        <v>395650.80825345317</v>
      </c>
      <c r="H377">
        <v>2934.6704531136356</v>
      </c>
      <c r="I377">
        <v>17.83420270442647</v>
      </c>
      <c r="J377">
        <v>353749.38363541581</v>
      </c>
      <c r="K377">
        <v>2548.9196380152525</v>
      </c>
      <c r="L377">
        <v>-1.9676252490011095</v>
      </c>
      <c r="M377">
        <v>-41901.424618037359</v>
      </c>
    </row>
    <row r="378" spans="4:13" x14ac:dyDescent="0.55000000000000004">
      <c r="D378">
        <v>373</v>
      </c>
      <c r="E378">
        <v>493.6343545097784</v>
      </c>
      <c r="F378">
        <v>19.337009228990965</v>
      </c>
      <c r="G378">
        <v>386246.55022530956</v>
      </c>
      <c r="H378">
        <v>2827.0370494307776</v>
      </c>
      <c r="I378">
        <v>17.500828381289562</v>
      </c>
      <c r="J378">
        <v>347189.53057636047</v>
      </c>
      <c r="K378">
        <v>2333.4026949209992</v>
      </c>
      <c r="L378">
        <v>-1.836180847701403</v>
      </c>
      <c r="M378">
        <v>-39057.019648949092</v>
      </c>
    </row>
    <row r="379" spans="4:13" x14ac:dyDescent="0.55000000000000004">
      <c r="D379">
        <v>374</v>
      </c>
      <c r="E379">
        <v>578.68798857587853</v>
      </c>
      <c r="F379">
        <v>17.322529007052271</v>
      </c>
      <c r="G379">
        <v>345871.89215246955</v>
      </c>
      <c r="H379">
        <v>2779.0442096790184</v>
      </c>
      <c r="I379">
        <v>16.423795795751538</v>
      </c>
      <c r="J379">
        <v>325696.87170535175</v>
      </c>
      <c r="K379">
        <v>2200.3562211031399</v>
      </c>
      <c r="L379">
        <v>-0.89873321130073336</v>
      </c>
      <c r="M379">
        <v>-20175.0204471178</v>
      </c>
    </row>
    <row r="380" spans="4:13" x14ac:dyDescent="0.55000000000000004">
      <c r="D380">
        <v>375</v>
      </c>
      <c r="E380">
        <v>537.4628008948664</v>
      </c>
      <c r="F380">
        <v>20.812990886013864</v>
      </c>
      <c r="G380">
        <v>415722.35491938243</v>
      </c>
      <c r="H380">
        <v>2661.3762407464674</v>
      </c>
      <c r="I380">
        <v>19.606437203973062</v>
      </c>
      <c r="J380">
        <v>389467.3678387148</v>
      </c>
      <c r="K380">
        <v>2123.9134398516007</v>
      </c>
      <c r="L380">
        <v>-1.206553682040802</v>
      </c>
      <c r="M380">
        <v>-26254.987080667634</v>
      </c>
    </row>
    <row r="381" spans="4:13" x14ac:dyDescent="0.55000000000000004">
      <c r="D381">
        <v>376</v>
      </c>
      <c r="E381">
        <v>911.20112702329459</v>
      </c>
      <c r="F381">
        <v>18.560547700520377</v>
      </c>
      <c r="G381">
        <v>370299.75288338424</v>
      </c>
      <c r="H381">
        <v>2934.2002924931626</v>
      </c>
      <c r="I381">
        <v>17.575689182358438</v>
      </c>
      <c r="J381">
        <v>348579.58335467562</v>
      </c>
      <c r="K381">
        <v>2022.9991654698679</v>
      </c>
      <c r="L381">
        <v>-0.98485851816193914</v>
      </c>
      <c r="M381">
        <v>-21720.169528708619</v>
      </c>
    </row>
    <row r="382" spans="4:13" x14ac:dyDescent="0.55000000000000004">
      <c r="D382">
        <v>377</v>
      </c>
      <c r="E382">
        <v>828.38370902692964</v>
      </c>
      <c r="F382">
        <v>18.394260961807159</v>
      </c>
      <c r="G382">
        <v>367056.83552711626</v>
      </c>
      <c r="H382">
        <v>2760.5137118809507</v>
      </c>
      <c r="I382">
        <v>16.835720021464716</v>
      </c>
      <c r="J382">
        <v>333953.88671741338</v>
      </c>
      <c r="K382">
        <v>1932.1300028540211</v>
      </c>
      <c r="L382">
        <v>-1.5585409403424428</v>
      </c>
      <c r="M382">
        <v>-33102.948809702881</v>
      </c>
    </row>
    <row r="383" spans="4:13" x14ac:dyDescent="0.55000000000000004">
      <c r="D383">
        <v>378</v>
      </c>
      <c r="E383">
        <v>580.3684593056073</v>
      </c>
      <c r="F383">
        <v>20.189350394985951</v>
      </c>
      <c r="G383">
        <v>403206.63944041339</v>
      </c>
      <c r="H383">
        <v>2774.7416211655527</v>
      </c>
      <c r="I383">
        <v>19.161041074701579</v>
      </c>
      <c r="J383">
        <v>380446.07987286604</v>
      </c>
      <c r="K383">
        <v>2194.3731618599454</v>
      </c>
      <c r="L383">
        <v>-1.0283093202843716</v>
      </c>
      <c r="M383">
        <v>-22760.559567547345</v>
      </c>
    </row>
    <row r="384" spans="4:13" x14ac:dyDescent="0.55000000000000004">
      <c r="D384">
        <v>379</v>
      </c>
      <c r="E384">
        <v>514.12601537683963</v>
      </c>
      <c r="F384">
        <v>20.677578664102946</v>
      </c>
      <c r="G384">
        <v>413037.44726668211</v>
      </c>
      <c r="H384">
        <v>2934.8153023836921</v>
      </c>
      <c r="I384">
        <v>18.020877603558198</v>
      </c>
      <c r="J384">
        <v>357482.73676878028</v>
      </c>
      <c r="K384">
        <v>2420.6892870068523</v>
      </c>
      <c r="L384">
        <v>-2.6567010605447479</v>
      </c>
      <c r="M384">
        <v>-55554.710497901833</v>
      </c>
    </row>
    <row r="385" spans="4:13" x14ac:dyDescent="0.55000000000000004">
      <c r="D385">
        <v>380</v>
      </c>
      <c r="E385">
        <v>672.15983702653477</v>
      </c>
      <c r="F385">
        <v>19.540023830538928</v>
      </c>
      <c r="G385">
        <v>390128.31677375198</v>
      </c>
      <c r="H385">
        <v>2715.600231386506</v>
      </c>
      <c r="I385">
        <v>18.221995834986739</v>
      </c>
      <c r="J385">
        <v>361724.31646834832</v>
      </c>
      <c r="K385">
        <v>2043.4403943599714</v>
      </c>
      <c r="L385">
        <v>-1.318027995552189</v>
      </c>
      <c r="M385">
        <v>-28404.000305403664</v>
      </c>
    </row>
    <row r="386" spans="4:13" x14ac:dyDescent="0.55000000000000004">
      <c r="D386">
        <v>381</v>
      </c>
      <c r="E386">
        <v>1111.0070792990689</v>
      </c>
      <c r="F386">
        <v>18.021271739823327</v>
      </c>
      <c r="G386">
        <v>359314.42771716748</v>
      </c>
      <c r="H386">
        <v>2938.3701003870815</v>
      </c>
      <c r="I386">
        <v>16.604419210340573</v>
      </c>
      <c r="J386">
        <v>329150.01410642441</v>
      </c>
      <c r="K386">
        <v>1827.3630210880126</v>
      </c>
      <c r="L386">
        <v>-1.4168525294827532</v>
      </c>
      <c r="M386">
        <v>-30164.413610743068</v>
      </c>
    </row>
    <row r="387" spans="4:13" x14ac:dyDescent="0.55000000000000004">
      <c r="D387">
        <v>382</v>
      </c>
      <c r="E387">
        <v>613.64211167074973</v>
      </c>
      <c r="F387">
        <v>18.239734350028868</v>
      </c>
      <c r="G387">
        <v>364181.04488890665</v>
      </c>
      <c r="H387">
        <v>2664.5760562164996</v>
      </c>
      <c r="I387">
        <v>17.51864230141916</v>
      </c>
      <c r="J387">
        <v>347708.26997216669</v>
      </c>
      <c r="K387">
        <v>2050.9339445457499</v>
      </c>
      <c r="L387">
        <v>-0.72109204860970877</v>
      </c>
      <c r="M387">
        <v>-16472.77491673996</v>
      </c>
    </row>
    <row r="388" spans="4:13" x14ac:dyDescent="0.55000000000000004">
      <c r="D388">
        <v>383</v>
      </c>
      <c r="E388">
        <v>726.71002876208831</v>
      </c>
      <c r="F388">
        <v>16.438382766465363</v>
      </c>
      <c r="G388">
        <v>328040.94530054514</v>
      </c>
      <c r="H388">
        <v>2881.7802483923879</v>
      </c>
      <c r="I388">
        <v>15.041970972171656</v>
      </c>
      <c r="J388">
        <v>297957.63919504074</v>
      </c>
      <c r="K388">
        <v>2155.0702196302996</v>
      </c>
      <c r="L388">
        <v>-1.3964117942937069</v>
      </c>
      <c r="M388">
        <v>-30083.306105504395</v>
      </c>
    </row>
    <row r="389" spans="4:13" x14ac:dyDescent="0.55000000000000004">
      <c r="D389">
        <v>384</v>
      </c>
      <c r="E389">
        <v>780.91104468473679</v>
      </c>
      <c r="F389">
        <v>19.656791905654543</v>
      </c>
      <c r="G389">
        <v>392354.92706840613</v>
      </c>
      <c r="H389">
        <v>2811.1879547399476</v>
      </c>
      <c r="I389">
        <v>18.592403644578152</v>
      </c>
      <c r="J389">
        <v>369036.8849368231</v>
      </c>
      <c r="K389">
        <v>2030.2769100552109</v>
      </c>
      <c r="L389">
        <v>-1.0643882610763917</v>
      </c>
      <c r="M389">
        <v>-23318.042131583032</v>
      </c>
    </row>
    <row r="390" spans="4:13" x14ac:dyDescent="0.55000000000000004">
      <c r="D390">
        <v>385</v>
      </c>
      <c r="E390">
        <v>720.39370702285419</v>
      </c>
      <c r="F390">
        <v>19.665307798196658</v>
      </c>
      <c r="G390">
        <v>392585.76225691033</v>
      </c>
      <c r="H390">
        <v>2727.8325891378809</v>
      </c>
      <c r="I390">
        <v>18.182168973474095</v>
      </c>
      <c r="J390">
        <v>360915.54688034399</v>
      </c>
      <c r="K390">
        <v>2007.4388821150267</v>
      </c>
      <c r="L390">
        <v>-1.4831388247225625</v>
      </c>
      <c r="M390">
        <v>-31670.215376566339</v>
      </c>
    </row>
    <row r="391" spans="4:13" x14ac:dyDescent="0.55000000000000004">
      <c r="D391">
        <v>386</v>
      </c>
      <c r="E391">
        <v>539.46322165953666</v>
      </c>
      <c r="F391">
        <v>18.841270824280219</v>
      </c>
      <c r="G391">
        <v>376285.95326394483</v>
      </c>
      <c r="H391">
        <v>2832.7257143616016</v>
      </c>
      <c r="I391">
        <v>17.230181905310946</v>
      </c>
      <c r="J391">
        <v>341770.91239185736</v>
      </c>
      <c r="K391">
        <v>2293.2624927020652</v>
      </c>
      <c r="L391">
        <v>-1.6110889189692728</v>
      </c>
      <c r="M391">
        <v>-34515.040872087469</v>
      </c>
    </row>
    <row r="392" spans="4:13" x14ac:dyDescent="0.55000000000000004">
      <c r="D392">
        <v>387</v>
      </c>
      <c r="E392">
        <v>697.90492377155942</v>
      </c>
      <c r="F392">
        <v>20.655008842607671</v>
      </c>
      <c r="G392">
        <v>412402.27192838187</v>
      </c>
      <c r="H392">
        <v>2627.7722449905023</v>
      </c>
      <c r="I392">
        <v>19.625538673662785</v>
      </c>
      <c r="J392">
        <v>389883.00122826517</v>
      </c>
      <c r="K392">
        <v>1929.8673212189428</v>
      </c>
      <c r="L392">
        <v>-1.0294701689448864</v>
      </c>
      <c r="M392">
        <v>-22519.2707001167</v>
      </c>
    </row>
    <row r="393" spans="4:13" x14ac:dyDescent="0.55000000000000004">
      <c r="D393">
        <v>388</v>
      </c>
      <c r="E393">
        <v>547.72561248251327</v>
      </c>
      <c r="F393">
        <v>16.004183466426465</v>
      </c>
      <c r="G393">
        <v>319535.94371604675</v>
      </c>
      <c r="H393">
        <v>2783.1136090707978</v>
      </c>
      <c r="I393">
        <v>14.839824654091105</v>
      </c>
      <c r="J393">
        <v>294013.37947275135</v>
      </c>
      <c r="K393">
        <v>2235.3879965882843</v>
      </c>
      <c r="L393">
        <v>-1.1643588123353599</v>
      </c>
      <c r="M393">
        <v>-25522.564243295405</v>
      </c>
    </row>
    <row r="394" spans="4:13" x14ac:dyDescent="0.55000000000000004">
      <c r="D394">
        <v>389</v>
      </c>
      <c r="E394">
        <v>792.81346860154224</v>
      </c>
      <c r="F394">
        <v>19.608974361649121</v>
      </c>
      <c r="G394">
        <v>391386.67376438086</v>
      </c>
      <c r="H394">
        <v>2691.0044315273067</v>
      </c>
      <c r="I394">
        <v>18.202963733541552</v>
      </c>
      <c r="J394">
        <v>361368.27023930376</v>
      </c>
      <c r="K394">
        <v>1898.1909629257643</v>
      </c>
      <c r="L394">
        <v>-1.4060106281075697</v>
      </c>
      <c r="M394">
        <v>-30018.403525077098</v>
      </c>
    </row>
    <row r="395" spans="4:13" x14ac:dyDescent="0.55000000000000004">
      <c r="D395">
        <v>390</v>
      </c>
      <c r="E395">
        <v>818.30978354260742</v>
      </c>
      <c r="F395">
        <v>19.30959736999981</v>
      </c>
      <c r="G395">
        <v>385373.63761645363</v>
      </c>
      <c r="H395">
        <v>2707.7260519830934</v>
      </c>
      <c r="I395">
        <v>18.035224982022523</v>
      </c>
      <c r="J395">
        <v>357996.77358846739</v>
      </c>
      <c r="K395">
        <v>1889.416268440486</v>
      </c>
      <c r="L395">
        <v>-1.2743723879772872</v>
      </c>
      <c r="M395">
        <v>-27376.864027986245</v>
      </c>
    </row>
    <row r="396" spans="4:13" x14ac:dyDescent="0.55000000000000004">
      <c r="D396">
        <v>391</v>
      </c>
      <c r="E396">
        <v>625.12328999721035</v>
      </c>
      <c r="F396">
        <v>20.831846460483931</v>
      </c>
      <c r="G396">
        <v>416011.80591968138</v>
      </c>
      <c r="H396">
        <v>2745.3983605356402</v>
      </c>
      <c r="I396">
        <v>19.155479068745432</v>
      </c>
      <c r="J396">
        <v>380364.183014373</v>
      </c>
      <c r="K396">
        <v>2120.2750705384296</v>
      </c>
      <c r="L396">
        <v>-1.6763673917384985</v>
      </c>
      <c r="M396">
        <v>-35647.622905308381</v>
      </c>
    </row>
    <row r="397" spans="4:13" x14ac:dyDescent="0.55000000000000004">
      <c r="D397">
        <v>392</v>
      </c>
      <c r="E397">
        <v>728.51990543050522</v>
      </c>
      <c r="F397">
        <v>20.232279536474209</v>
      </c>
      <c r="G397">
        <v>403917.07082405366</v>
      </c>
      <c r="H397">
        <v>2738.7298442907363</v>
      </c>
      <c r="I397">
        <v>17.977369863849717</v>
      </c>
      <c r="J397">
        <v>356808.66743270354</v>
      </c>
      <c r="K397">
        <v>2010.209938860231</v>
      </c>
      <c r="L397">
        <v>-2.2549096726244926</v>
      </c>
      <c r="M397">
        <v>-47108.403391350119</v>
      </c>
    </row>
    <row r="398" spans="4:13" x14ac:dyDescent="0.55000000000000004">
      <c r="D398">
        <v>393</v>
      </c>
      <c r="E398">
        <v>989.49239596722703</v>
      </c>
      <c r="F398">
        <v>18.306270022133823</v>
      </c>
      <c r="G398">
        <v>365135.9080467092</v>
      </c>
      <c r="H398">
        <v>2940.1912931670122</v>
      </c>
      <c r="I398">
        <v>17.38235257191679</v>
      </c>
      <c r="J398">
        <v>344706.86014516879</v>
      </c>
      <c r="K398">
        <v>1950.6988971997853</v>
      </c>
      <c r="L398">
        <v>-0.92391745021703287</v>
      </c>
      <c r="M398">
        <v>-20429.047901540413</v>
      </c>
    </row>
    <row r="399" spans="4:13" x14ac:dyDescent="0.55000000000000004">
      <c r="D399">
        <v>394</v>
      </c>
      <c r="E399">
        <v>946.21954847149163</v>
      </c>
      <c r="F399">
        <v>18.453863661849798</v>
      </c>
      <c r="G399">
        <v>368131.05368852447</v>
      </c>
      <c r="H399">
        <v>2697.5424153169374</v>
      </c>
      <c r="I399">
        <v>17.034489249795403</v>
      </c>
      <c r="J399">
        <v>337992.24258059112</v>
      </c>
      <c r="K399">
        <v>1751.3228668454458</v>
      </c>
      <c r="L399">
        <v>-1.4193744120543954</v>
      </c>
      <c r="M399">
        <v>-30138.811107933347</v>
      </c>
    </row>
    <row r="400" spans="4:13" x14ac:dyDescent="0.55000000000000004">
      <c r="D400">
        <v>395</v>
      </c>
      <c r="E400">
        <v>554.07183590701015</v>
      </c>
      <c r="F400">
        <v>21.958851034356009</v>
      </c>
      <c r="G400">
        <v>438622.94885121315</v>
      </c>
      <c r="H400">
        <v>2713.8579741847252</v>
      </c>
      <c r="I400">
        <v>18.757162739208201</v>
      </c>
      <c r="J400">
        <v>372429.39680997928</v>
      </c>
      <c r="K400">
        <v>2159.7861382777151</v>
      </c>
      <c r="L400">
        <v>-3.2016882951478074</v>
      </c>
      <c r="M400">
        <v>-66193.552041233866</v>
      </c>
    </row>
    <row r="401" spans="4:13" x14ac:dyDescent="0.55000000000000004">
      <c r="D401">
        <v>396</v>
      </c>
      <c r="E401">
        <v>783.32355524131276</v>
      </c>
      <c r="F401">
        <v>20.060894411622876</v>
      </c>
      <c r="G401">
        <v>400434.56467721617</v>
      </c>
      <c r="H401">
        <v>2746.7196877322076</v>
      </c>
      <c r="I401">
        <v>18.541218442662625</v>
      </c>
      <c r="J401">
        <v>368077.64916552027</v>
      </c>
      <c r="K401">
        <v>1963.3961324908948</v>
      </c>
      <c r="L401">
        <v>-1.5196759689602501</v>
      </c>
      <c r="M401">
        <v>-32356.915511695901</v>
      </c>
    </row>
    <row r="402" spans="4:13" x14ac:dyDescent="0.55000000000000004">
      <c r="D402">
        <v>397</v>
      </c>
      <c r="E402">
        <v>415.37107796198688</v>
      </c>
      <c r="F402">
        <v>17.641039080946502</v>
      </c>
      <c r="G402">
        <v>352405.41054096806</v>
      </c>
      <c r="H402">
        <v>2799.60629799664</v>
      </c>
      <c r="I402">
        <v>16.240306711477412</v>
      </c>
      <c r="J402">
        <v>322006.52793155162</v>
      </c>
      <c r="K402">
        <v>2384.2352200346531</v>
      </c>
      <c r="L402">
        <v>-1.4007323694690896</v>
      </c>
      <c r="M402">
        <v>-30398.88260941644</v>
      </c>
    </row>
    <row r="403" spans="4:13" x14ac:dyDescent="0.55000000000000004">
      <c r="D403">
        <v>398</v>
      </c>
      <c r="E403">
        <v>479.69381237639988</v>
      </c>
      <c r="F403">
        <v>19.606017632656584</v>
      </c>
      <c r="G403">
        <v>391640.65884075529</v>
      </c>
      <c r="H403">
        <v>2713.5575122394666</v>
      </c>
      <c r="I403">
        <v>17.646870500357839</v>
      </c>
      <c r="J403">
        <v>350223.85249491729</v>
      </c>
      <c r="K403">
        <v>2233.8636998630668</v>
      </c>
      <c r="L403">
        <v>-1.9591471322987459</v>
      </c>
      <c r="M403">
        <v>-41416.806345838006</v>
      </c>
    </row>
    <row r="404" spans="4:13" x14ac:dyDescent="0.55000000000000004">
      <c r="D404">
        <v>399</v>
      </c>
      <c r="E404">
        <v>812.37535657350816</v>
      </c>
      <c r="F404">
        <v>16.127815779816146</v>
      </c>
      <c r="G404">
        <v>321743.94023974944</v>
      </c>
      <c r="H404">
        <v>2798.8484905030418</v>
      </c>
      <c r="I404">
        <v>14.992581960786804</v>
      </c>
      <c r="J404">
        <v>297052.79072523303</v>
      </c>
      <c r="K404">
        <v>1986.4731339295336</v>
      </c>
      <c r="L404">
        <v>-1.1352338190293416</v>
      </c>
      <c r="M404">
        <v>-24691.149514516408</v>
      </c>
    </row>
    <row r="405" spans="4:13" x14ac:dyDescent="0.55000000000000004">
      <c r="D405">
        <v>400</v>
      </c>
      <c r="E405">
        <v>566.67306496341962</v>
      </c>
      <c r="F405">
        <v>18.206726076951554</v>
      </c>
      <c r="G405">
        <v>363567.84847406764</v>
      </c>
      <c r="H405">
        <v>2781.9057429505856</v>
      </c>
      <c r="I405">
        <v>17.03567061111001</v>
      </c>
      <c r="J405">
        <v>337931.50647924963</v>
      </c>
      <c r="K405">
        <v>2215.232677987166</v>
      </c>
      <c r="L405">
        <v>-1.171055465841544</v>
      </c>
      <c r="M405">
        <v>-25636.341994818009</v>
      </c>
    </row>
    <row r="406" spans="4:13" x14ac:dyDescent="0.55000000000000004">
      <c r="D406">
        <v>401</v>
      </c>
      <c r="E406">
        <v>613.66689317783948</v>
      </c>
      <c r="F406">
        <v>18.649387589047123</v>
      </c>
      <c r="G406">
        <v>372374.08488776459</v>
      </c>
      <c r="H406">
        <v>2769.0855215813867</v>
      </c>
      <c r="I406">
        <v>16.691955660291903</v>
      </c>
      <c r="J406">
        <v>331070.02768425667</v>
      </c>
      <c r="K406">
        <v>2155.4186284035472</v>
      </c>
      <c r="L406">
        <v>-1.95743192875522</v>
      </c>
      <c r="M406">
        <v>-41304.057203507924</v>
      </c>
    </row>
    <row r="407" spans="4:13" x14ac:dyDescent="0.55000000000000004">
      <c r="D407">
        <v>402</v>
      </c>
      <c r="E407">
        <v>615.84455885995055</v>
      </c>
      <c r="F407">
        <v>19.088536656782118</v>
      </c>
      <c r="G407">
        <v>381154.88857678242</v>
      </c>
      <c r="H407">
        <v>2692.3089287065341</v>
      </c>
      <c r="I407">
        <v>17.453404485004697</v>
      </c>
      <c r="J407">
        <v>346375.78077138745</v>
      </c>
      <c r="K407">
        <v>2076.4643698465834</v>
      </c>
      <c r="L407">
        <v>-1.6351321717774212</v>
      </c>
      <c r="M407">
        <v>-34779.107805394975</v>
      </c>
    </row>
    <row r="408" spans="4:13" x14ac:dyDescent="0.55000000000000004">
      <c r="D408">
        <v>403</v>
      </c>
      <c r="E408">
        <v>835.24443851384217</v>
      </c>
      <c r="F408">
        <v>20.265200031037406</v>
      </c>
      <c r="G408">
        <v>404468.75618223427</v>
      </c>
      <c r="H408">
        <v>2708.1149946064306</v>
      </c>
      <c r="I408">
        <v>18.520940903435363</v>
      </c>
      <c r="J408">
        <v>367710.70307410083</v>
      </c>
      <c r="K408">
        <v>1872.8705560925885</v>
      </c>
      <c r="L408">
        <v>-1.7442591276020423</v>
      </c>
      <c r="M408">
        <v>-36758.053108133434</v>
      </c>
    </row>
    <row r="409" spans="4:13" x14ac:dyDescent="0.55000000000000004">
      <c r="D409">
        <v>404</v>
      </c>
      <c r="E409">
        <v>757.78101436472639</v>
      </c>
      <c r="F409">
        <v>17.758725969559311</v>
      </c>
      <c r="G409">
        <v>354416.73837682151</v>
      </c>
      <c r="H409">
        <v>2680.0689856971726</v>
      </c>
      <c r="I409">
        <v>16.122721399031992</v>
      </c>
      <c r="J409">
        <v>319774.35899494268</v>
      </c>
      <c r="K409">
        <v>1922.2879713324462</v>
      </c>
      <c r="L409">
        <v>-1.6360045705273194</v>
      </c>
      <c r="M409">
        <v>-34642.379381878825</v>
      </c>
    </row>
    <row r="410" spans="4:13" x14ac:dyDescent="0.55000000000000004">
      <c r="D410">
        <v>405</v>
      </c>
      <c r="E410">
        <v>901.42216340036646</v>
      </c>
      <c r="F410">
        <v>18.059558302386591</v>
      </c>
      <c r="G410">
        <v>360289.74388433143</v>
      </c>
      <c r="H410">
        <v>2771.1247641252221</v>
      </c>
      <c r="I410">
        <v>17.595050157602497</v>
      </c>
      <c r="J410">
        <v>349129.87838792475</v>
      </c>
      <c r="K410">
        <v>1869.7026007248555</v>
      </c>
      <c r="L410">
        <v>-0.46450814478409441</v>
      </c>
      <c r="M410">
        <v>-11159.865496406681</v>
      </c>
    </row>
    <row r="411" spans="4:13" x14ac:dyDescent="0.55000000000000004">
      <c r="D411">
        <v>406</v>
      </c>
      <c r="E411">
        <v>431.04462402054571</v>
      </c>
      <c r="F411">
        <v>18.004234357601781</v>
      </c>
      <c r="G411">
        <v>359653.64252801513</v>
      </c>
      <c r="H411">
        <v>2968.7854859441404</v>
      </c>
      <c r="I411">
        <v>15.980020051524393</v>
      </c>
      <c r="J411">
        <v>316631.61554454372</v>
      </c>
      <c r="K411">
        <v>2537.7408619235948</v>
      </c>
      <c r="L411">
        <v>-2.0242143060773881</v>
      </c>
      <c r="M411">
        <v>-43022.026983471413</v>
      </c>
    </row>
    <row r="412" spans="4:13" x14ac:dyDescent="0.55000000000000004">
      <c r="D412">
        <v>407</v>
      </c>
      <c r="E412">
        <v>626.32430310503185</v>
      </c>
      <c r="F412">
        <v>20.305659740004803</v>
      </c>
      <c r="G412">
        <v>405486.87049699103</v>
      </c>
      <c r="H412">
        <v>2736.7131222323542</v>
      </c>
      <c r="I412">
        <v>18.620465910726484</v>
      </c>
      <c r="J412">
        <v>369672.60509229731</v>
      </c>
      <c r="K412">
        <v>2110.3888191273222</v>
      </c>
      <c r="L412">
        <v>-1.6851938292783188</v>
      </c>
      <c r="M412">
        <v>-35814.265404693724</v>
      </c>
    </row>
    <row r="413" spans="4:13" x14ac:dyDescent="0.55000000000000004">
      <c r="D413">
        <v>408</v>
      </c>
      <c r="E413">
        <v>851.94023844800904</v>
      </c>
      <c r="F413">
        <v>16.136222812109164</v>
      </c>
      <c r="G413">
        <v>321872.51600373525</v>
      </c>
      <c r="H413">
        <v>2784.0038811207087</v>
      </c>
      <c r="I413">
        <v>15.394891144457567</v>
      </c>
      <c r="J413">
        <v>305113.81900803064</v>
      </c>
      <c r="K413">
        <v>1932.0636426726996</v>
      </c>
      <c r="L413">
        <v>-0.74133166765159686</v>
      </c>
      <c r="M413">
        <v>-16758.696995704609</v>
      </c>
    </row>
    <row r="414" spans="4:13" x14ac:dyDescent="0.55000000000000004">
      <c r="D414">
        <v>409</v>
      </c>
      <c r="E414">
        <v>1141.9791337956226</v>
      </c>
      <c r="F414">
        <v>15.76509907661884</v>
      </c>
      <c r="G414">
        <v>314160.00239858119</v>
      </c>
      <c r="H414">
        <v>2715.1727259118998</v>
      </c>
      <c r="I414">
        <v>15.575271806402631</v>
      </c>
      <c r="J414">
        <v>308790.2634021407</v>
      </c>
      <c r="K414">
        <v>1573.1935921162772</v>
      </c>
      <c r="L414">
        <v>-0.1898272702162096</v>
      </c>
      <c r="M414">
        <v>-5369.7389964404865</v>
      </c>
    </row>
    <row r="415" spans="4:13" x14ac:dyDescent="0.55000000000000004">
      <c r="D415">
        <v>410</v>
      </c>
      <c r="E415">
        <v>724.8926523037361</v>
      </c>
      <c r="F415">
        <v>17.71461773157267</v>
      </c>
      <c r="G415">
        <v>353567.46197914967</v>
      </c>
      <c r="H415">
        <v>2711.0692510252138</v>
      </c>
      <c r="I415">
        <v>16.986033296337268</v>
      </c>
      <c r="J415">
        <v>337009.59667572018</v>
      </c>
      <c r="K415">
        <v>1986.1765987214776</v>
      </c>
      <c r="L415">
        <v>-0.72858443523540117</v>
      </c>
      <c r="M415">
        <v>-16557.865303429484</v>
      </c>
    </row>
    <row r="416" spans="4:13" x14ac:dyDescent="0.55000000000000004">
      <c r="D416">
        <v>411</v>
      </c>
      <c r="E416">
        <v>684.44308642640249</v>
      </c>
      <c r="F416">
        <v>20.397411804314352</v>
      </c>
      <c r="G416">
        <v>407263.7929998606</v>
      </c>
      <c r="H416">
        <v>2956.9078451823707</v>
      </c>
      <c r="I416">
        <v>18.176918565475802</v>
      </c>
      <c r="J416">
        <v>360581.46346433368</v>
      </c>
      <c r="K416">
        <v>2272.4647587559684</v>
      </c>
      <c r="L416">
        <v>-2.2204932388385501</v>
      </c>
      <c r="M416">
        <v>-46682.329535526922</v>
      </c>
    </row>
    <row r="417" spans="4:13" x14ac:dyDescent="0.55000000000000004">
      <c r="D417">
        <v>412</v>
      </c>
      <c r="E417">
        <v>862.7085211411619</v>
      </c>
      <c r="F417">
        <v>17.295640803533942</v>
      </c>
      <c r="G417">
        <v>345050.10754953767</v>
      </c>
      <c r="H417">
        <v>2785.3086538028197</v>
      </c>
      <c r="I417">
        <v>16.119153075668585</v>
      </c>
      <c r="J417">
        <v>319597.75285956886</v>
      </c>
      <c r="K417">
        <v>1922.6001326616579</v>
      </c>
      <c r="L417">
        <v>-1.1764877278653572</v>
      </c>
      <c r="M417">
        <v>-25452.354689968808</v>
      </c>
    </row>
    <row r="418" spans="4:13" x14ac:dyDescent="0.55000000000000004">
      <c r="D418">
        <v>413</v>
      </c>
      <c r="E418">
        <v>647.94703209206602</v>
      </c>
      <c r="F418">
        <v>17.901108905495906</v>
      </c>
      <c r="G418">
        <v>357374.23107782606</v>
      </c>
      <c r="H418">
        <v>3000.0364183078227</v>
      </c>
      <c r="I418">
        <v>15.718356105460781</v>
      </c>
      <c r="J418">
        <v>311367.08569090784</v>
      </c>
      <c r="K418">
        <v>2352.0893862157568</v>
      </c>
      <c r="L418">
        <v>-2.1827528000351251</v>
      </c>
      <c r="M418">
        <v>-46007.145386918215</v>
      </c>
    </row>
    <row r="419" spans="4:13" x14ac:dyDescent="0.55000000000000004">
      <c r="D419">
        <v>414</v>
      </c>
      <c r="E419">
        <v>684.63718773532605</v>
      </c>
      <c r="F419">
        <v>19.21972458449326</v>
      </c>
      <c r="G419">
        <v>383709.85450212983</v>
      </c>
      <c r="H419">
        <v>2651.7824019030149</v>
      </c>
      <c r="I419">
        <v>18.420013749925296</v>
      </c>
      <c r="J419">
        <v>365748.49259660294</v>
      </c>
      <c r="K419">
        <v>1967.1452141676889</v>
      </c>
      <c r="L419">
        <v>-0.79971083456796421</v>
      </c>
      <c r="M419">
        <v>-17961.361905526894</v>
      </c>
    </row>
    <row r="420" spans="4:13" x14ac:dyDescent="0.55000000000000004">
      <c r="D420">
        <v>415</v>
      </c>
      <c r="E420">
        <v>650.87331882457568</v>
      </c>
      <c r="F420">
        <v>19.57910100355366</v>
      </c>
      <c r="G420">
        <v>390931.14675224863</v>
      </c>
      <c r="H420">
        <v>2755.9322469772837</v>
      </c>
      <c r="I420">
        <v>17.172220020381431</v>
      </c>
      <c r="J420">
        <v>340688.46816065133</v>
      </c>
      <c r="K420">
        <v>2105.0589281527082</v>
      </c>
      <c r="L420">
        <v>-2.4068809831722291</v>
      </c>
      <c r="M420">
        <v>-50242.678591597301</v>
      </c>
    </row>
    <row r="421" spans="4:13" x14ac:dyDescent="0.55000000000000004">
      <c r="D421">
        <v>416</v>
      </c>
      <c r="E421">
        <v>932.59005754468001</v>
      </c>
      <c r="F421">
        <v>20.951691344271133</v>
      </c>
      <c r="G421">
        <v>418101.23682787793</v>
      </c>
      <c r="H421">
        <v>2673.347012131615</v>
      </c>
      <c r="I421">
        <v>19.945279568917833</v>
      </c>
      <c r="J421">
        <v>396232.24436622509</v>
      </c>
      <c r="K421">
        <v>1740.7569545869351</v>
      </c>
      <c r="L421">
        <v>-1.0064117753532997</v>
      </c>
      <c r="M421">
        <v>-21868.992461652844</v>
      </c>
    </row>
    <row r="422" spans="4:13" x14ac:dyDescent="0.55000000000000004">
      <c r="D422">
        <v>417</v>
      </c>
      <c r="E422">
        <v>526.42253261187716</v>
      </c>
      <c r="F422">
        <v>13.274954302587938</v>
      </c>
      <c r="G422">
        <v>264972.66351914691</v>
      </c>
      <c r="H422">
        <v>2813.2830825027531</v>
      </c>
      <c r="I422">
        <v>12.915271176525945</v>
      </c>
      <c r="J422">
        <v>255492.14044801614</v>
      </c>
      <c r="K422">
        <v>2286.860549890876</v>
      </c>
      <c r="L422">
        <v>-0.35968312606199326</v>
      </c>
      <c r="M422">
        <v>-9480.5230711307668</v>
      </c>
    </row>
    <row r="423" spans="4:13" x14ac:dyDescent="0.55000000000000004">
      <c r="D423">
        <v>418</v>
      </c>
      <c r="E423">
        <v>728.01992381690457</v>
      </c>
      <c r="F423">
        <v>18.548709270232834</v>
      </c>
      <c r="G423">
        <v>370246.16548083979</v>
      </c>
      <c r="H423">
        <v>2829.8997641768178</v>
      </c>
      <c r="I423">
        <v>17.324788347709166</v>
      </c>
      <c r="J423">
        <v>343665.86719000654</v>
      </c>
      <c r="K423">
        <v>2101.879840359913</v>
      </c>
      <c r="L423">
        <v>-1.2239209225236678</v>
      </c>
      <c r="M423">
        <v>-26580.298290833249</v>
      </c>
    </row>
    <row r="424" spans="4:13" x14ac:dyDescent="0.55000000000000004">
      <c r="D424">
        <v>419</v>
      </c>
      <c r="E424">
        <v>514.69563303526934</v>
      </c>
      <c r="F424">
        <v>19.174111509344943</v>
      </c>
      <c r="G424">
        <v>382967.53455386357</v>
      </c>
      <c r="H424">
        <v>2871.1919769547894</v>
      </c>
      <c r="I424">
        <v>17.774848962080867</v>
      </c>
      <c r="J424">
        <v>352625.7872646625</v>
      </c>
      <c r="K424">
        <v>2356.4963439195199</v>
      </c>
      <c r="L424">
        <v>-1.3992625472640761</v>
      </c>
      <c r="M424">
        <v>-30341.74728920107</v>
      </c>
    </row>
    <row r="425" spans="4:13" x14ac:dyDescent="0.55000000000000004">
      <c r="D425">
        <v>420</v>
      </c>
      <c r="E425">
        <v>626.99347799830616</v>
      </c>
      <c r="F425">
        <v>16.340860676902484</v>
      </c>
      <c r="G425">
        <v>326190.22006005136</v>
      </c>
      <c r="H425">
        <v>3072.7844022661775</v>
      </c>
      <c r="I425">
        <v>14.559051524750066</v>
      </c>
      <c r="J425">
        <v>288108.24609273509</v>
      </c>
      <c r="K425">
        <v>2445.7909242678716</v>
      </c>
      <c r="L425">
        <v>-1.7818091521524178</v>
      </c>
      <c r="M425">
        <v>-38081.973967316269</v>
      </c>
    </row>
    <row r="426" spans="4:13" x14ac:dyDescent="0.55000000000000004">
      <c r="D426">
        <v>421</v>
      </c>
      <c r="E426">
        <v>902.58815120320173</v>
      </c>
      <c r="F426">
        <v>19.450448122458038</v>
      </c>
      <c r="G426">
        <v>388106.37429795758</v>
      </c>
      <c r="H426">
        <v>2757.808049715924</v>
      </c>
      <c r="I426">
        <v>19.104288955988398</v>
      </c>
      <c r="J426">
        <v>379327.97107005201</v>
      </c>
      <c r="K426">
        <v>1855.2198985127222</v>
      </c>
      <c r="L426">
        <v>-0.34615916646963996</v>
      </c>
      <c r="M426">
        <v>-8778.4032279055682</v>
      </c>
    </row>
    <row r="427" spans="4:13" x14ac:dyDescent="0.55000000000000004">
      <c r="D427">
        <v>422</v>
      </c>
      <c r="E427">
        <v>748.02149584604877</v>
      </c>
      <c r="F427">
        <v>19.593691176520281</v>
      </c>
      <c r="G427">
        <v>391125.8020345596</v>
      </c>
      <c r="H427">
        <v>2672.1018940263416</v>
      </c>
      <c r="I427">
        <v>18.204848544659598</v>
      </c>
      <c r="J427">
        <v>361424.8689991656</v>
      </c>
      <c r="K427">
        <v>1924.0803981802928</v>
      </c>
      <c r="L427">
        <v>-1.3888426318606832</v>
      </c>
      <c r="M427">
        <v>-29700.933035394002</v>
      </c>
    </row>
    <row r="428" spans="4:13" x14ac:dyDescent="0.55000000000000004">
      <c r="D428">
        <v>423</v>
      </c>
      <c r="E428">
        <v>851.06045466458943</v>
      </c>
      <c r="F428">
        <v>17.021962257785429</v>
      </c>
      <c r="G428">
        <v>339588.184701044</v>
      </c>
      <c r="H428">
        <v>2616.1769916198941</v>
      </c>
      <c r="I428">
        <v>16.591854514932269</v>
      </c>
      <c r="J428">
        <v>329220.9133070255</v>
      </c>
      <c r="K428">
        <v>1765.1165369553046</v>
      </c>
      <c r="L428">
        <v>-0.43010774285315989</v>
      </c>
      <c r="M428">
        <v>-10367.271394018491</v>
      </c>
    </row>
    <row r="429" spans="4:13" x14ac:dyDescent="0.55000000000000004">
      <c r="D429">
        <v>424</v>
      </c>
      <c r="E429">
        <v>907.621459043698</v>
      </c>
      <c r="F429">
        <v>18.877018867452826</v>
      </c>
      <c r="G429">
        <v>376632.75589001284</v>
      </c>
      <c r="H429">
        <v>2751.0868000230616</v>
      </c>
      <c r="I429">
        <v>18.117730004303702</v>
      </c>
      <c r="J429">
        <v>359603.51328605099</v>
      </c>
      <c r="K429">
        <v>1843.4653409793636</v>
      </c>
      <c r="L429">
        <v>-0.75928886314912347</v>
      </c>
      <c r="M429">
        <v>-17029.242603961844</v>
      </c>
    </row>
    <row r="430" spans="4:13" x14ac:dyDescent="0.55000000000000004">
      <c r="D430">
        <v>425</v>
      </c>
      <c r="E430">
        <v>518.78713065585316</v>
      </c>
      <c r="F430">
        <v>17.624390000896458</v>
      </c>
      <c r="G430">
        <v>351969.01288727333</v>
      </c>
      <c r="H430">
        <v>2647.4476981008238</v>
      </c>
      <c r="I430">
        <v>16.117721234394775</v>
      </c>
      <c r="J430">
        <v>319706.9769897947</v>
      </c>
      <c r="K430">
        <v>2128.6605674449706</v>
      </c>
      <c r="L430">
        <v>-1.5066687665016829</v>
      </c>
      <c r="M430">
        <v>-32262.035897478636</v>
      </c>
    </row>
    <row r="431" spans="4:13" x14ac:dyDescent="0.55000000000000004">
      <c r="D431">
        <v>426</v>
      </c>
      <c r="E431">
        <v>840.99740833924716</v>
      </c>
      <c r="F431">
        <v>21.64275796981061</v>
      </c>
      <c r="G431">
        <v>432014.16198787297</v>
      </c>
      <c r="H431">
        <v>2855.099244343126</v>
      </c>
      <c r="I431">
        <v>18.420622860090607</v>
      </c>
      <c r="J431">
        <v>365557.35795746901</v>
      </c>
      <c r="K431">
        <v>2014.1018360038788</v>
      </c>
      <c r="L431">
        <v>-3.2221351097200035</v>
      </c>
      <c r="M431">
        <v>-66456.80403040396</v>
      </c>
    </row>
    <row r="432" spans="4:13" x14ac:dyDescent="0.55000000000000004">
      <c r="D432">
        <v>427</v>
      </c>
      <c r="E432">
        <v>858.00473440469227</v>
      </c>
      <c r="F432">
        <v>17.635269584430795</v>
      </c>
      <c r="G432">
        <v>351847.38695421122</v>
      </c>
      <c r="H432">
        <v>2712.290162020915</v>
      </c>
      <c r="I432">
        <v>16.550247291107311</v>
      </c>
      <c r="J432">
        <v>328292.65566012531</v>
      </c>
      <c r="K432">
        <v>1854.2854276162227</v>
      </c>
      <c r="L432">
        <v>-1.0850222933234832</v>
      </c>
      <c r="M432">
        <v>-23554.731294085912</v>
      </c>
    </row>
    <row r="433" spans="4:13" x14ac:dyDescent="0.55000000000000004">
      <c r="D433">
        <v>428</v>
      </c>
      <c r="E433">
        <v>590.27059143627309</v>
      </c>
      <c r="F433">
        <v>19.62014641560955</v>
      </c>
      <c r="G433">
        <v>391812.65772075474</v>
      </c>
      <c r="H433">
        <v>2872.5764931696062</v>
      </c>
      <c r="I433">
        <v>16.131332819418486</v>
      </c>
      <c r="J433">
        <v>319754.07989520015</v>
      </c>
      <c r="K433">
        <v>2282.305901733333</v>
      </c>
      <c r="L433">
        <v>-3.4888135961910649</v>
      </c>
      <c r="M433">
        <v>-72058.577825554588</v>
      </c>
    </row>
    <row r="434" spans="4:13" x14ac:dyDescent="0.55000000000000004">
      <c r="D434">
        <v>429</v>
      </c>
      <c r="E434">
        <v>616.5560372408662</v>
      </c>
      <c r="F434">
        <v>18.49669793951815</v>
      </c>
      <c r="G434">
        <v>369317.40275312209</v>
      </c>
      <c r="H434">
        <v>2741.0234756200934</v>
      </c>
      <c r="I434">
        <v>17.662983438558843</v>
      </c>
      <c r="J434">
        <v>350518.64529555681</v>
      </c>
      <c r="K434">
        <v>2124.4674383792271</v>
      </c>
      <c r="L434">
        <v>-0.83371450095930655</v>
      </c>
      <c r="M434">
        <v>-18798.757457565283</v>
      </c>
    </row>
    <row r="435" spans="4:13" x14ac:dyDescent="0.55000000000000004">
      <c r="D435">
        <v>430</v>
      </c>
      <c r="E435">
        <v>480.82424536614315</v>
      </c>
      <c r="F435">
        <v>19.588320381780271</v>
      </c>
      <c r="G435">
        <v>391285.58339023928</v>
      </c>
      <c r="H435">
        <v>2773.0193842114786</v>
      </c>
      <c r="I435">
        <v>18.243927450421534</v>
      </c>
      <c r="J435">
        <v>362105.52962421923</v>
      </c>
      <c r="K435">
        <v>2292.1951388453354</v>
      </c>
      <c r="L435">
        <v>-1.3443929313587368</v>
      </c>
      <c r="M435">
        <v>-29180.05376602005</v>
      </c>
    </row>
    <row r="436" spans="4:13" x14ac:dyDescent="0.55000000000000004">
      <c r="D436">
        <v>431</v>
      </c>
      <c r="E436">
        <v>617.80774979295791</v>
      </c>
      <c r="F436">
        <v>17.24686960596922</v>
      </c>
      <c r="G436">
        <v>344319.58436959144</v>
      </c>
      <c r="H436">
        <v>2659.6073650784306</v>
      </c>
      <c r="I436">
        <v>16.232248530384624</v>
      </c>
      <c r="J436">
        <v>321985.36324261408</v>
      </c>
      <c r="K436">
        <v>2041.7996152854726</v>
      </c>
      <c r="L436">
        <v>-1.0146210755845964</v>
      </c>
      <c r="M436">
        <v>-22334.221126977354</v>
      </c>
    </row>
    <row r="437" spans="4:13" x14ac:dyDescent="0.55000000000000004">
      <c r="D437">
        <v>432</v>
      </c>
      <c r="E437">
        <v>936.32645844156548</v>
      </c>
      <c r="F437">
        <v>19.658770560321017</v>
      </c>
      <c r="G437">
        <v>392239.08474797878</v>
      </c>
      <c r="H437">
        <v>2855.0534157992915</v>
      </c>
      <c r="I437">
        <v>17.903635687029627</v>
      </c>
      <c r="J437">
        <v>355217.66032479325</v>
      </c>
      <c r="K437">
        <v>1918.726957357726</v>
      </c>
      <c r="L437">
        <v>-1.7551348732913894</v>
      </c>
      <c r="M437">
        <v>-37021.424423185526</v>
      </c>
    </row>
    <row r="438" spans="4:13" x14ac:dyDescent="0.55000000000000004">
      <c r="D438">
        <v>433</v>
      </c>
      <c r="E438">
        <v>461.84951850461192</v>
      </c>
      <c r="F438">
        <v>19.161723735478613</v>
      </c>
      <c r="G438">
        <v>382772.62519106764</v>
      </c>
      <c r="H438">
        <v>2716.9083751638641</v>
      </c>
      <c r="I438">
        <v>17.366996131179622</v>
      </c>
      <c r="J438">
        <v>344623.01424842858</v>
      </c>
      <c r="K438">
        <v>2255.0588566592523</v>
      </c>
      <c r="L438">
        <v>-1.7947276042989913</v>
      </c>
      <c r="M438">
        <v>-38149.610942639061</v>
      </c>
    </row>
    <row r="439" spans="4:13" x14ac:dyDescent="0.55000000000000004">
      <c r="D439">
        <v>434</v>
      </c>
      <c r="E439">
        <v>988.11674249535076</v>
      </c>
      <c r="F439">
        <v>18.667492085951924</v>
      </c>
      <c r="G439">
        <v>372361.72497654316</v>
      </c>
      <c r="H439">
        <v>2637.624079228457</v>
      </c>
      <c r="I439">
        <v>17.635818426313122</v>
      </c>
      <c r="J439">
        <v>350078.74444703403</v>
      </c>
      <c r="K439">
        <v>1649.5073367331063</v>
      </c>
      <c r="L439">
        <v>-1.0316736596388019</v>
      </c>
      <c r="M439">
        <v>-22282.980529509136</v>
      </c>
    </row>
    <row r="440" spans="4:13" x14ac:dyDescent="0.55000000000000004">
      <c r="D440">
        <v>435</v>
      </c>
      <c r="E440">
        <v>691.36313081002766</v>
      </c>
      <c r="F440">
        <v>21.413801881886624</v>
      </c>
      <c r="G440">
        <v>427584.67450692243</v>
      </c>
      <c r="H440">
        <v>2723.2780056447195</v>
      </c>
      <c r="I440">
        <v>18.986671918186659</v>
      </c>
      <c r="J440">
        <v>377010.16035808844</v>
      </c>
      <c r="K440">
        <v>2031.914874834692</v>
      </c>
      <c r="L440">
        <v>-2.427129963699965</v>
      </c>
      <c r="M440">
        <v>-50574.514148833987</v>
      </c>
    </row>
    <row r="441" spans="4:13" x14ac:dyDescent="0.55000000000000004">
      <c r="D441">
        <v>436</v>
      </c>
      <c r="E441">
        <v>690.78343876777399</v>
      </c>
      <c r="F441">
        <v>17.837895783161109</v>
      </c>
      <c r="G441">
        <v>356067.13222445443</v>
      </c>
      <c r="H441">
        <v>2738.5381279699468</v>
      </c>
      <c r="I441">
        <v>16.208428201270447</v>
      </c>
      <c r="J441">
        <v>321430.02589743899</v>
      </c>
      <c r="K441">
        <v>2047.7546892021728</v>
      </c>
      <c r="L441">
        <v>-1.6294675818906619</v>
      </c>
      <c r="M441">
        <v>-34637.106327015441</v>
      </c>
    </row>
    <row r="442" spans="4:13" x14ac:dyDescent="0.55000000000000004">
      <c r="D442">
        <v>437</v>
      </c>
      <c r="E442">
        <v>901.23558453469172</v>
      </c>
      <c r="F442">
        <v>18.71435456210131</v>
      </c>
      <c r="G442">
        <v>373385.85565749148</v>
      </c>
      <c r="H442">
        <v>2707.5834904151939</v>
      </c>
      <c r="I442">
        <v>17.234811191871565</v>
      </c>
      <c r="J442">
        <v>341988.6403470161</v>
      </c>
      <c r="K442">
        <v>1806.3479058805021</v>
      </c>
      <c r="L442">
        <v>-1.4795433702297451</v>
      </c>
      <c r="M442">
        <v>-31397.215310475382</v>
      </c>
    </row>
    <row r="443" spans="4:13" x14ac:dyDescent="0.55000000000000004">
      <c r="D443">
        <v>438</v>
      </c>
      <c r="E443">
        <v>445.77301926773225</v>
      </c>
      <c r="F443">
        <v>17.723655121314028</v>
      </c>
      <c r="G443">
        <v>354027.32940701285</v>
      </c>
      <c r="H443">
        <v>2719.8457897303097</v>
      </c>
      <c r="I443">
        <v>16.969486084230731</v>
      </c>
      <c r="J443">
        <v>336669.87589488429</v>
      </c>
      <c r="K443">
        <v>2274.0727704625774</v>
      </c>
      <c r="L443">
        <v>-0.75416903708329741</v>
      </c>
      <c r="M443">
        <v>-17357.453512128559</v>
      </c>
    </row>
    <row r="444" spans="4:13" x14ac:dyDescent="0.55000000000000004">
      <c r="D444">
        <v>439</v>
      </c>
      <c r="E444">
        <v>562.72908590947077</v>
      </c>
      <c r="F444">
        <v>19.252290611629537</v>
      </c>
      <c r="G444">
        <v>384483.08314668125</v>
      </c>
      <c r="H444">
        <v>2637.7290674681321</v>
      </c>
      <c r="I444">
        <v>17.918232311330083</v>
      </c>
      <c r="J444">
        <v>355726.91715913353</v>
      </c>
      <c r="K444">
        <v>2074.9999815586616</v>
      </c>
      <c r="L444">
        <v>-1.3340583002994535</v>
      </c>
      <c r="M444">
        <v>-28756.16598754772</v>
      </c>
    </row>
    <row r="445" spans="4:13" x14ac:dyDescent="0.55000000000000004">
      <c r="D445">
        <v>440</v>
      </c>
      <c r="E445">
        <v>433.32125413560408</v>
      </c>
      <c r="F445">
        <v>18.597913457634974</v>
      </c>
      <c r="G445">
        <v>371524.94789856387</v>
      </c>
      <c r="H445">
        <v>2819.6729617578221</v>
      </c>
      <c r="I445">
        <v>16.564667529574496</v>
      </c>
      <c r="J445">
        <v>328473.67762973212</v>
      </c>
      <c r="K445">
        <v>2386.3517076222179</v>
      </c>
      <c r="L445">
        <v>-2.0332459280604773</v>
      </c>
      <c r="M445">
        <v>-43051.270268831751</v>
      </c>
    </row>
    <row r="446" spans="4:13" x14ac:dyDescent="0.55000000000000004">
      <c r="D446">
        <v>441</v>
      </c>
      <c r="E446">
        <v>1152.0559622482392</v>
      </c>
      <c r="F446">
        <v>18.016064850552034</v>
      </c>
      <c r="G446">
        <v>359169.24104879244</v>
      </c>
      <c r="H446">
        <v>2727.7345960269672</v>
      </c>
      <c r="I446">
        <v>16.338155047254244</v>
      </c>
      <c r="J446">
        <v>324035.36634905793</v>
      </c>
      <c r="K446">
        <v>1575.678633778728</v>
      </c>
      <c r="L446">
        <v>-1.6779098032977906</v>
      </c>
      <c r="M446">
        <v>-35133.874699734501</v>
      </c>
    </row>
    <row r="447" spans="4:13" x14ac:dyDescent="0.55000000000000004">
      <c r="D447">
        <v>442</v>
      </c>
      <c r="E447">
        <v>962.41267646774656</v>
      </c>
      <c r="F447">
        <v>18.887423851124289</v>
      </c>
      <c r="G447">
        <v>376786.06434601807</v>
      </c>
      <c r="H447">
        <v>2682.0045493137186</v>
      </c>
      <c r="I447">
        <v>17.382699540840939</v>
      </c>
      <c r="J447">
        <v>344971.98626750504</v>
      </c>
      <c r="K447">
        <v>1719.5918728459719</v>
      </c>
      <c r="L447">
        <v>-1.5047243102833505</v>
      </c>
      <c r="M447">
        <v>-31814.078078513034</v>
      </c>
    </row>
    <row r="448" spans="4:13" x14ac:dyDescent="0.55000000000000004">
      <c r="D448">
        <v>443</v>
      </c>
      <c r="E448">
        <v>628.86293629052216</v>
      </c>
      <c r="F448">
        <v>18.514520594606143</v>
      </c>
      <c r="G448">
        <v>369661.54895583238</v>
      </c>
      <c r="H448">
        <v>2823.0636040607478</v>
      </c>
      <c r="I448">
        <v>17.010212407431947</v>
      </c>
      <c r="J448">
        <v>337381.18454457819</v>
      </c>
      <c r="K448">
        <v>2194.2006677702257</v>
      </c>
      <c r="L448">
        <v>-1.5043081871741961</v>
      </c>
      <c r="M448">
        <v>-32280.364411254181</v>
      </c>
    </row>
    <row r="449" spans="4:13" x14ac:dyDescent="0.55000000000000004">
      <c r="D449">
        <v>444</v>
      </c>
      <c r="E449">
        <v>571.5652467205332</v>
      </c>
      <c r="F449">
        <v>20.446866333722557</v>
      </c>
      <c r="G449">
        <v>408365.76142773061</v>
      </c>
      <c r="H449">
        <v>2745.8785175305015</v>
      </c>
      <c r="I449">
        <v>18.204612600469645</v>
      </c>
      <c r="J449">
        <v>361346.37349186238</v>
      </c>
      <c r="K449">
        <v>2174.3132708099683</v>
      </c>
      <c r="L449">
        <v>-2.2422537332529124</v>
      </c>
      <c r="M449">
        <v>-47019.387935868232</v>
      </c>
    </row>
    <row r="450" spans="4:13" x14ac:dyDescent="0.55000000000000004">
      <c r="D450">
        <v>445</v>
      </c>
      <c r="E450">
        <v>864.02450615957741</v>
      </c>
      <c r="F450">
        <v>17.446319766903947</v>
      </c>
      <c r="G450">
        <v>348062.37083191937</v>
      </c>
      <c r="H450">
        <v>2673.0807439340228</v>
      </c>
      <c r="I450">
        <v>16.893481567590307</v>
      </c>
      <c r="J450">
        <v>335196.55060787208</v>
      </c>
      <c r="K450">
        <v>1809.0562377744454</v>
      </c>
      <c r="L450">
        <v>-0.55283819931364064</v>
      </c>
      <c r="M450">
        <v>-12865.820224047289</v>
      </c>
    </row>
    <row r="451" spans="4:13" x14ac:dyDescent="0.55000000000000004">
      <c r="D451">
        <v>446</v>
      </c>
      <c r="E451">
        <v>532.19506703825664</v>
      </c>
      <c r="F451">
        <v>22.001868788159378</v>
      </c>
      <c r="G451">
        <v>439505.1806961493</v>
      </c>
      <c r="H451">
        <v>2666.4911433907291</v>
      </c>
      <c r="I451">
        <v>20.032315874826999</v>
      </c>
      <c r="J451">
        <v>397979.82635314926</v>
      </c>
      <c r="K451">
        <v>2134.2960763524725</v>
      </c>
      <c r="L451">
        <v>-1.9695529133323788</v>
      </c>
      <c r="M451">
        <v>-41525.354343000043</v>
      </c>
    </row>
    <row r="452" spans="4:13" x14ac:dyDescent="0.55000000000000004">
      <c r="D452">
        <v>447</v>
      </c>
      <c r="E452">
        <v>740.44928828319053</v>
      </c>
      <c r="F452">
        <v>17.007933789074254</v>
      </c>
      <c r="G452">
        <v>339418.22649320192</v>
      </c>
      <c r="H452">
        <v>2732.2981550193526</v>
      </c>
      <c r="I452">
        <v>16.42134589593433</v>
      </c>
      <c r="J452">
        <v>325694.61976366723</v>
      </c>
      <c r="K452">
        <v>1991.8488667361621</v>
      </c>
      <c r="L452">
        <v>-0.58658789313992443</v>
      </c>
      <c r="M452">
        <v>-13723.606729534687</v>
      </c>
    </row>
    <row r="453" spans="4:13" x14ac:dyDescent="0.55000000000000004">
      <c r="D453">
        <v>448</v>
      </c>
      <c r="E453">
        <v>530.85225899334296</v>
      </c>
      <c r="F453">
        <v>19.889800261609242</v>
      </c>
      <c r="G453">
        <v>397265.15297319146</v>
      </c>
      <c r="H453">
        <v>2905.4167471528085</v>
      </c>
      <c r="I453">
        <v>17.776686557590235</v>
      </c>
      <c r="J453">
        <v>352628.31440465187</v>
      </c>
      <c r="K453">
        <v>2374.5644881594653</v>
      </c>
      <c r="L453">
        <v>-2.1131137040190069</v>
      </c>
      <c r="M453">
        <v>-44636.838568539592</v>
      </c>
    </row>
    <row r="454" spans="4:13" x14ac:dyDescent="0.55000000000000004">
      <c r="D454">
        <v>449</v>
      </c>
      <c r="E454">
        <v>692.41716234494504</v>
      </c>
      <c r="F454">
        <v>19.783240690526522</v>
      </c>
      <c r="G454">
        <v>394972.3966481855</v>
      </c>
      <c r="H454">
        <v>2684.0278818706042</v>
      </c>
      <c r="I454">
        <v>18.827701157686832</v>
      </c>
      <c r="J454">
        <v>373869.99527186604</v>
      </c>
      <c r="K454">
        <v>1991.6107195256591</v>
      </c>
      <c r="L454">
        <v>-0.95553953283969051</v>
      </c>
      <c r="M454">
        <v>-21102.401376319467</v>
      </c>
    </row>
    <row r="455" spans="4:13" x14ac:dyDescent="0.55000000000000004">
      <c r="D455">
        <v>450</v>
      </c>
      <c r="E455">
        <v>1094.1849044967951</v>
      </c>
      <c r="F455">
        <v>18.694910437091448</v>
      </c>
      <c r="G455">
        <v>372804.02383733221</v>
      </c>
      <c r="H455">
        <v>2806.4056059536701</v>
      </c>
      <c r="I455">
        <v>17.27480386837372</v>
      </c>
      <c r="J455">
        <v>342689.67176152073</v>
      </c>
      <c r="K455">
        <v>1712.2207014568751</v>
      </c>
      <c r="L455">
        <v>-1.4201065687177277</v>
      </c>
      <c r="M455">
        <v>-30114.352075811476</v>
      </c>
    </row>
    <row r="456" spans="4:13" x14ac:dyDescent="0.55000000000000004">
      <c r="D456">
        <v>451</v>
      </c>
      <c r="E456">
        <v>842.39534999152511</v>
      </c>
      <c r="F456">
        <v>20.112010725313571</v>
      </c>
      <c r="G456">
        <v>401397.8191562799</v>
      </c>
      <c r="H456">
        <v>2717.3496956555773</v>
      </c>
      <c r="I456">
        <v>18.778454424489912</v>
      </c>
      <c r="J456">
        <v>372851.73879414267</v>
      </c>
      <c r="K456">
        <v>1874.9543456640522</v>
      </c>
      <c r="L456">
        <v>-1.3335563008236591</v>
      </c>
      <c r="M456">
        <v>-28546.080362137232</v>
      </c>
    </row>
    <row r="457" spans="4:13" x14ac:dyDescent="0.55000000000000004">
      <c r="D457">
        <v>452</v>
      </c>
      <c r="E457">
        <v>648.50071706575238</v>
      </c>
      <c r="F457">
        <v>17.669563900347466</v>
      </c>
      <c r="G457">
        <v>352742.77728988358</v>
      </c>
      <c r="H457">
        <v>2640.9679622609033</v>
      </c>
      <c r="I457">
        <v>16.990062711618624</v>
      </c>
      <c r="J457">
        <v>337160.28627011157</v>
      </c>
      <c r="K457">
        <v>1992.467245195151</v>
      </c>
      <c r="L457">
        <v>-0.67950118872884246</v>
      </c>
      <c r="M457">
        <v>-15582.491019772016</v>
      </c>
    </row>
    <row r="458" spans="4:13" x14ac:dyDescent="0.55000000000000004">
      <c r="D458">
        <v>453</v>
      </c>
      <c r="E458">
        <v>624.45341816161215</v>
      </c>
      <c r="F458">
        <v>18.166371081816827</v>
      </c>
      <c r="G458">
        <v>362702.96821817494</v>
      </c>
      <c r="H458">
        <v>2771.1359432086238</v>
      </c>
      <c r="I458">
        <v>16.49299101026315</v>
      </c>
      <c r="J458">
        <v>327088.68426205433</v>
      </c>
      <c r="K458">
        <v>2146.6825250470115</v>
      </c>
      <c r="L458">
        <v>-1.6733800715536766</v>
      </c>
      <c r="M458">
        <v>-35614.283956120606</v>
      </c>
    </row>
    <row r="459" spans="4:13" x14ac:dyDescent="0.55000000000000004">
      <c r="D459">
        <v>454</v>
      </c>
      <c r="E459">
        <v>714.08880088882097</v>
      </c>
      <c r="F459">
        <v>20.225779191445032</v>
      </c>
      <c r="G459">
        <v>403801.49502801185</v>
      </c>
      <c r="H459">
        <v>2676.3354299026801</v>
      </c>
      <c r="I459">
        <v>17.793911209007227</v>
      </c>
      <c r="J459">
        <v>353201.88875024189</v>
      </c>
      <c r="K459">
        <v>1962.2466290138591</v>
      </c>
      <c r="L459">
        <v>-2.4318679824378044</v>
      </c>
      <c r="M459">
        <v>-50599.606277769955</v>
      </c>
    </row>
    <row r="460" spans="4:13" x14ac:dyDescent="0.55000000000000004">
      <c r="D460">
        <v>455</v>
      </c>
      <c r="E460">
        <v>962.60337927412729</v>
      </c>
      <c r="F460">
        <v>19.386375862256131</v>
      </c>
      <c r="G460">
        <v>386764.9138658485</v>
      </c>
      <c r="H460">
        <v>2798.8354820817976</v>
      </c>
      <c r="I460">
        <v>18.071710424347398</v>
      </c>
      <c r="J460">
        <v>358635.37300486612</v>
      </c>
      <c r="K460">
        <v>1836.2321028076703</v>
      </c>
      <c r="L460">
        <v>-1.314665437908733</v>
      </c>
      <c r="M460">
        <v>-28129.540860982379</v>
      </c>
    </row>
    <row r="461" spans="4:13" x14ac:dyDescent="0.55000000000000004">
      <c r="D461">
        <v>456</v>
      </c>
      <c r="E461">
        <v>595.89727252161015</v>
      </c>
      <c r="F461">
        <v>20.543749623791786</v>
      </c>
      <c r="G461">
        <v>410279.09520331409</v>
      </c>
      <c r="H461">
        <v>2690.4130217906259</v>
      </c>
      <c r="I461">
        <v>19.310729466122122</v>
      </c>
      <c r="J461">
        <v>383524.1763006518</v>
      </c>
      <c r="K461">
        <v>2094.5157492690159</v>
      </c>
      <c r="L461">
        <v>-1.2330201576696638</v>
      </c>
      <c r="M461">
        <v>-26754.918902662292</v>
      </c>
    </row>
    <row r="462" spans="4:13" x14ac:dyDescent="0.55000000000000004">
      <c r="D462">
        <v>457</v>
      </c>
      <c r="E462">
        <v>699.57234742879825</v>
      </c>
      <c r="F462">
        <v>17.939432997455885</v>
      </c>
      <c r="G462">
        <v>358089.08760168887</v>
      </c>
      <c r="H462">
        <v>2690.1170350339785</v>
      </c>
      <c r="I462">
        <v>17.364051568010467</v>
      </c>
      <c r="J462">
        <v>344590.91432517534</v>
      </c>
      <c r="K462">
        <v>1990.5446876051801</v>
      </c>
      <c r="L462">
        <v>-0.57538142944541804</v>
      </c>
      <c r="M462">
        <v>-13498.173276513524</v>
      </c>
    </row>
    <row r="463" spans="4:13" x14ac:dyDescent="0.55000000000000004">
      <c r="D463">
        <v>458</v>
      </c>
      <c r="E463">
        <v>1093.4294272693453</v>
      </c>
      <c r="F463">
        <v>20.730244979290624</v>
      </c>
      <c r="G463">
        <v>413511.47015854315</v>
      </c>
      <c r="H463">
        <v>2728.9883631666135</v>
      </c>
      <c r="I463">
        <v>18.784765949849334</v>
      </c>
      <c r="J463">
        <v>372966.33063382003</v>
      </c>
      <c r="K463">
        <v>1635.5589358972682</v>
      </c>
      <c r="L463">
        <v>-1.9454790294412909</v>
      </c>
      <c r="M463">
        <v>-40545.139524723112</v>
      </c>
    </row>
    <row r="464" spans="4:13" x14ac:dyDescent="0.55000000000000004">
      <c r="D464">
        <v>459</v>
      </c>
      <c r="E464">
        <v>753.14735990074882</v>
      </c>
      <c r="F464">
        <v>16.872031719788467</v>
      </c>
      <c r="G464">
        <v>336687.48703586857</v>
      </c>
      <c r="H464">
        <v>2779.9362811146357</v>
      </c>
      <c r="I464">
        <v>16.004682646547465</v>
      </c>
      <c r="J464">
        <v>317313.71664983465</v>
      </c>
      <c r="K464">
        <v>2026.7889212138869</v>
      </c>
      <c r="L464">
        <v>-0.86734907324100163</v>
      </c>
      <c r="M464">
        <v>-19373.770386033924</v>
      </c>
    </row>
    <row r="465" spans="4:13" x14ac:dyDescent="0.55000000000000004">
      <c r="D465">
        <v>460</v>
      </c>
      <c r="E465">
        <v>841.62983367348659</v>
      </c>
      <c r="F465">
        <v>19.105914085950033</v>
      </c>
      <c r="G465">
        <v>381276.65188532718</v>
      </c>
      <c r="H465">
        <v>2692.5947597411327</v>
      </c>
      <c r="I465">
        <v>17.999836380662245</v>
      </c>
      <c r="J465">
        <v>357304.13285350375</v>
      </c>
      <c r="K465">
        <v>1850.964926067646</v>
      </c>
      <c r="L465">
        <v>-1.1060777052877881</v>
      </c>
      <c r="M465">
        <v>-23972.519031823438</v>
      </c>
    </row>
    <row r="466" spans="4:13" x14ac:dyDescent="0.55000000000000004">
      <c r="D466">
        <v>461</v>
      </c>
      <c r="E466">
        <v>669.86749151746858</v>
      </c>
      <c r="F466">
        <v>15.297992513150483</v>
      </c>
      <c r="G466">
        <v>305289.98277149221</v>
      </c>
      <c r="H466">
        <v>2670.0780456593766</v>
      </c>
      <c r="I466">
        <v>13.798437082150679</v>
      </c>
      <c r="J466">
        <v>273298.66359735426</v>
      </c>
      <c r="K466">
        <v>2000.210554141908</v>
      </c>
      <c r="L466">
        <v>-1.4995554309998038</v>
      </c>
      <c r="M466">
        <v>-31991.319174137956</v>
      </c>
    </row>
    <row r="467" spans="4:13" x14ac:dyDescent="0.55000000000000004">
      <c r="D467">
        <v>462</v>
      </c>
      <c r="E467">
        <v>466.2868861316673</v>
      </c>
      <c r="F467">
        <v>20.675674205071548</v>
      </c>
      <c r="G467">
        <v>413047.1972152993</v>
      </c>
      <c r="H467">
        <v>2915.7157444298268</v>
      </c>
      <c r="I467">
        <v>17.672274486706883</v>
      </c>
      <c r="J467">
        <v>350529.77398970781</v>
      </c>
      <c r="K467">
        <v>2449.4288582981594</v>
      </c>
      <c r="L467">
        <v>-3.0033997183646655</v>
      </c>
      <c r="M467">
        <v>-62517.423225591483</v>
      </c>
    </row>
    <row r="468" spans="4:13" x14ac:dyDescent="0.55000000000000004">
      <c r="D468">
        <v>463</v>
      </c>
      <c r="E468">
        <v>901.86519193258925</v>
      </c>
      <c r="F468">
        <v>17.427370558038135</v>
      </c>
      <c r="G468">
        <v>347645.54596883012</v>
      </c>
      <c r="H468">
        <v>2786.7558030008454</v>
      </c>
      <c r="I468">
        <v>16.136489383741363</v>
      </c>
      <c r="J468">
        <v>319943.03187182645</v>
      </c>
      <c r="K468">
        <v>1884.890611068256</v>
      </c>
      <c r="L468">
        <v>-1.2908811742967714</v>
      </c>
      <c r="M468">
        <v>-27702.514097003674</v>
      </c>
    </row>
    <row r="469" spans="4:13" x14ac:dyDescent="0.55000000000000004">
      <c r="D469">
        <v>464</v>
      </c>
      <c r="E469">
        <v>679.36841918797609</v>
      </c>
      <c r="F469">
        <v>22.367411310778166</v>
      </c>
      <c r="G469">
        <v>446668.85779637535</v>
      </c>
      <c r="H469">
        <v>2681.6737151378529</v>
      </c>
      <c r="I469">
        <v>20.330387973251629</v>
      </c>
      <c r="J469">
        <v>403926.08574989467</v>
      </c>
      <c r="K469">
        <v>2002.3052959498768</v>
      </c>
      <c r="L469">
        <v>-2.0370233375265379</v>
      </c>
      <c r="M469">
        <v>-42742.772046480677</v>
      </c>
    </row>
    <row r="470" spans="4:13" x14ac:dyDescent="0.55000000000000004">
      <c r="D470">
        <v>465</v>
      </c>
      <c r="E470">
        <v>436.94718660194576</v>
      </c>
      <c r="F470">
        <v>21.436287960051576</v>
      </c>
      <c r="G470">
        <v>428288.8120144296</v>
      </c>
      <c r="H470">
        <v>3027.1932175946936</v>
      </c>
      <c r="I470">
        <v>18.282237030284346</v>
      </c>
      <c r="J470">
        <v>362617.54738809221</v>
      </c>
      <c r="K470">
        <v>2590.2460309927478</v>
      </c>
      <c r="L470">
        <v>-3.1540509297672301</v>
      </c>
      <c r="M470">
        <v>-65671.26462633739</v>
      </c>
    </row>
    <row r="471" spans="4:13" x14ac:dyDescent="0.55000000000000004">
      <c r="D471">
        <v>466</v>
      </c>
      <c r="E471">
        <v>796.93117341416087</v>
      </c>
      <c r="F471">
        <v>18.801548803239434</v>
      </c>
      <c r="G471">
        <v>375234.04489137453</v>
      </c>
      <c r="H471">
        <v>2800.4099981287154</v>
      </c>
      <c r="I471">
        <v>17.841400522584628</v>
      </c>
      <c r="J471">
        <v>354027.60045356385</v>
      </c>
      <c r="K471">
        <v>2003.4788247145545</v>
      </c>
      <c r="L471">
        <v>-0.96014828065480629</v>
      </c>
      <c r="M471">
        <v>-21206.444437810685</v>
      </c>
    </row>
    <row r="472" spans="4:13" x14ac:dyDescent="0.55000000000000004">
      <c r="D472">
        <v>467</v>
      </c>
      <c r="E472">
        <v>732.91978038956188</v>
      </c>
      <c r="F472">
        <v>18.929182707449144</v>
      </c>
      <c r="G472">
        <v>377850.73436859332</v>
      </c>
      <c r="H472">
        <v>2768.9064090661241</v>
      </c>
      <c r="I472">
        <v>17.592666711049933</v>
      </c>
      <c r="J472">
        <v>349084.42781193258</v>
      </c>
      <c r="K472">
        <v>2035.9866286765623</v>
      </c>
      <c r="L472">
        <v>-1.3365159963992106</v>
      </c>
      <c r="M472">
        <v>-28766.30655666074</v>
      </c>
    </row>
    <row r="473" spans="4:13" x14ac:dyDescent="0.55000000000000004">
      <c r="D473">
        <v>468</v>
      </c>
      <c r="E473">
        <v>509.3724662734615</v>
      </c>
      <c r="F473">
        <v>20.494182166555916</v>
      </c>
      <c r="G473">
        <v>409374.27086484485</v>
      </c>
      <c r="H473">
        <v>2810.7628881853307</v>
      </c>
      <c r="I473">
        <v>18.927595851129112</v>
      </c>
      <c r="J473">
        <v>375741.15413439693</v>
      </c>
      <c r="K473">
        <v>2301.390421911869</v>
      </c>
      <c r="L473">
        <v>-1.5665863154268038</v>
      </c>
      <c r="M473">
        <v>-33633.116730447917</v>
      </c>
    </row>
    <row r="474" spans="4:13" x14ac:dyDescent="0.55000000000000004">
      <c r="D474">
        <v>469</v>
      </c>
      <c r="E474">
        <v>698.90912540621093</v>
      </c>
      <c r="F474">
        <v>19.480826895210313</v>
      </c>
      <c r="G474">
        <v>388917.62877880002</v>
      </c>
      <c r="H474">
        <v>2916.0355927477922</v>
      </c>
      <c r="I474">
        <v>17.57746044643234</v>
      </c>
      <c r="J474">
        <v>348633.17333589902</v>
      </c>
      <c r="K474">
        <v>2217.1264673415812</v>
      </c>
      <c r="L474">
        <v>-1.9033664487779731</v>
      </c>
      <c r="M474">
        <v>-40284.455442901002</v>
      </c>
    </row>
    <row r="475" spans="4:13" x14ac:dyDescent="0.55000000000000004">
      <c r="D475">
        <v>470</v>
      </c>
      <c r="E475">
        <v>1288.0091698362157</v>
      </c>
      <c r="F475">
        <v>14.187387575348076</v>
      </c>
      <c r="G475">
        <v>282459.7423371253</v>
      </c>
      <c r="H475">
        <v>2869.7225498427447</v>
      </c>
      <c r="I475">
        <v>13.50582775773796</v>
      </c>
      <c r="J475">
        <v>267246.83260491648</v>
      </c>
      <c r="K475">
        <v>1581.713380006529</v>
      </c>
      <c r="L475">
        <v>-0.68155981761011653</v>
      </c>
      <c r="M475">
        <v>-15212.90973220882</v>
      </c>
    </row>
    <row r="476" spans="4:13" x14ac:dyDescent="0.55000000000000004">
      <c r="D476">
        <v>471</v>
      </c>
      <c r="E476">
        <v>637.20833696789896</v>
      </c>
      <c r="F476">
        <v>17.047101331870376</v>
      </c>
      <c r="G476">
        <v>340304.81830043963</v>
      </c>
      <c r="H476">
        <v>3034.2416525142407</v>
      </c>
      <c r="I476">
        <v>16.170841256523367</v>
      </c>
      <c r="J476">
        <v>320382.5834779531</v>
      </c>
      <c r="K476">
        <v>2397.0333155463418</v>
      </c>
      <c r="L476">
        <v>-0.87626007534700889</v>
      </c>
      <c r="M476">
        <v>-19922.234822486527</v>
      </c>
    </row>
    <row r="477" spans="4:13" x14ac:dyDescent="0.55000000000000004">
      <c r="D477">
        <v>472</v>
      </c>
      <c r="E477">
        <v>652.00729166434883</v>
      </c>
      <c r="F477">
        <v>16.44895081056287</v>
      </c>
      <c r="G477">
        <v>328327.008919593</v>
      </c>
      <c r="H477">
        <v>2685.3510429805406</v>
      </c>
      <c r="I477">
        <v>15.97793866398497</v>
      </c>
      <c r="J477">
        <v>316873.42223671882</v>
      </c>
      <c r="K477">
        <v>2033.3437513161916</v>
      </c>
      <c r="L477">
        <v>-0.47101214657790003</v>
      </c>
      <c r="M477">
        <v>-11453.586682874185</v>
      </c>
    </row>
    <row r="478" spans="4:13" x14ac:dyDescent="0.55000000000000004">
      <c r="D478">
        <v>473</v>
      </c>
      <c r="E478">
        <v>1132.7383269613115</v>
      </c>
      <c r="F478">
        <v>20.099936675822512</v>
      </c>
      <c r="G478">
        <v>400865.99518948898</v>
      </c>
      <c r="H478">
        <v>2676.5540546344951</v>
      </c>
      <c r="I478">
        <v>18.186662649884951</v>
      </c>
      <c r="J478">
        <v>361056.69894306455</v>
      </c>
      <c r="K478">
        <v>1543.8157276731836</v>
      </c>
      <c r="L478">
        <v>-1.9132740259375609</v>
      </c>
      <c r="M478">
        <v>-39809.296246424434</v>
      </c>
    </row>
    <row r="479" spans="4:13" x14ac:dyDescent="0.55000000000000004">
      <c r="D479">
        <v>474</v>
      </c>
      <c r="E479">
        <v>699.77553454300812</v>
      </c>
      <c r="F479">
        <v>20.248437507817766</v>
      </c>
      <c r="G479">
        <v>404268.97462181229</v>
      </c>
      <c r="H479">
        <v>2680.0214049705137</v>
      </c>
      <c r="I479">
        <v>18.153811662349966</v>
      </c>
      <c r="J479">
        <v>360396.21184202883</v>
      </c>
      <c r="K479">
        <v>1980.2458704275055</v>
      </c>
      <c r="L479">
        <v>-2.0946258454677995</v>
      </c>
      <c r="M479">
        <v>-43872.762779783458</v>
      </c>
    </row>
    <row r="480" spans="4:13" x14ac:dyDescent="0.55000000000000004">
      <c r="D480">
        <v>475</v>
      </c>
      <c r="E480">
        <v>661.27023261922648</v>
      </c>
      <c r="F480">
        <v>18.20300238410962</v>
      </c>
      <c r="G480">
        <v>363398.77744957316</v>
      </c>
      <c r="H480">
        <v>2695.1599334182392</v>
      </c>
      <c r="I480">
        <v>16.871276683413488</v>
      </c>
      <c r="J480">
        <v>334730.37373485148</v>
      </c>
      <c r="K480">
        <v>2033.8897007990126</v>
      </c>
      <c r="L480">
        <v>-1.3317257006961327</v>
      </c>
      <c r="M480">
        <v>-28668.403714721673</v>
      </c>
    </row>
    <row r="481" spans="4:13" x14ac:dyDescent="0.55000000000000004">
      <c r="D481">
        <v>476</v>
      </c>
      <c r="E481">
        <v>594.75393517592465</v>
      </c>
      <c r="F481">
        <v>19.890843002967831</v>
      </c>
      <c r="G481">
        <v>397222.10612418066</v>
      </c>
      <c r="H481">
        <v>2682.7086542482534</v>
      </c>
      <c r="I481">
        <v>18.12587335984206</v>
      </c>
      <c r="J481">
        <v>359834.75854259293</v>
      </c>
      <c r="K481">
        <v>2087.9547190723288</v>
      </c>
      <c r="L481">
        <v>-1.7649696431257702</v>
      </c>
      <c r="M481">
        <v>-37387.347581587732</v>
      </c>
    </row>
    <row r="482" spans="4:13" x14ac:dyDescent="0.55000000000000004">
      <c r="D482">
        <v>477</v>
      </c>
      <c r="E482">
        <v>1009.2143927959595</v>
      </c>
      <c r="F482">
        <v>18.303227225159603</v>
      </c>
      <c r="G482">
        <v>365055.33011039608</v>
      </c>
      <c r="H482">
        <v>2715.3409487393851</v>
      </c>
      <c r="I482">
        <v>17.190578636904434</v>
      </c>
      <c r="J482">
        <v>341096.23178934929</v>
      </c>
      <c r="K482">
        <v>1706.1265559434255</v>
      </c>
      <c r="L482">
        <v>-1.1126485882551691</v>
      </c>
      <c r="M482">
        <v>-23959.098321046797</v>
      </c>
    </row>
    <row r="483" spans="4:13" x14ac:dyDescent="0.55000000000000004">
      <c r="D483">
        <v>478</v>
      </c>
      <c r="E483">
        <v>1004.3900767961982</v>
      </c>
      <c r="F483">
        <v>19.968423104129897</v>
      </c>
      <c r="G483">
        <v>398364.07200580178</v>
      </c>
      <c r="H483">
        <v>2813.1418275859533</v>
      </c>
      <c r="I483">
        <v>18.894612410272948</v>
      </c>
      <c r="J483">
        <v>375079.10637787305</v>
      </c>
      <c r="K483">
        <v>1808.7517507897551</v>
      </c>
      <c r="L483">
        <v>-1.0738106938569487</v>
      </c>
      <c r="M483">
        <v>-23284.96562792873</v>
      </c>
    </row>
    <row r="484" spans="4:13" x14ac:dyDescent="0.55000000000000004">
      <c r="D484">
        <v>479</v>
      </c>
      <c r="E484">
        <v>489.90536909055601</v>
      </c>
      <c r="F484">
        <v>21.979742323824851</v>
      </c>
      <c r="G484">
        <v>439104.94110740646</v>
      </c>
      <c r="H484">
        <v>2764.3574140202727</v>
      </c>
      <c r="I484">
        <v>19.195553590628933</v>
      </c>
      <c r="J484">
        <v>381146.71439855837</v>
      </c>
      <c r="K484">
        <v>2274.4520449297165</v>
      </c>
      <c r="L484">
        <v>-2.7841887331959185</v>
      </c>
      <c r="M484">
        <v>-57958.226708848088</v>
      </c>
    </row>
    <row r="485" spans="4:13" x14ac:dyDescent="0.55000000000000004">
      <c r="D485">
        <v>480</v>
      </c>
      <c r="E485">
        <v>1316.1392279012703</v>
      </c>
      <c r="F485">
        <v>20.26079142278342</v>
      </c>
      <c r="G485">
        <v>403899.68922776711</v>
      </c>
      <c r="H485">
        <v>2809.8268272484456</v>
      </c>
      <c r="I485">
        <v>17.626773897028514</v>
      </c>
      <c r="J485">
        <v>349725.65111332183</v>
      </c>
      <c r="K485">
        <v>1493.6875993471754</v>
      </c>
      <c r="L485">
        <v>-2.6340175257549063</v>
      </c>
      <c r="M485">
        <v>-54174.038114445284</v>
      </c>
    </row>
    <row r="486" spans="4:13" x14ac:dyDescent="0.55000000000000004">
      <c r="D486">
        <v>481</v>
      </c>
      <c r="E486">
        <v>1037.9755456575397</v>
      </c>
      <c r="F486">
        <v>18.170952608573554</v>
      </c>
      <c r="G486">
        <v>362381.0766258135</v>
      </c>
      <c r="H486">
        <v>2775.5045007754138</v>
      </c>
      <c r="I486">
        <v>17.185212654400559</v>
      </c>
      <c r="J486">
        <v>340928.74858723575</v>
      </c>
      <c r="K486">
        <v>1737.5289551178741</v>
      </c>
      <c r="L486">
        <v>-0.98573995417299543</v>
      </c>
      <c r="M486">
        <v>-21452.328038577747</v>
      </c>
    </row>
    <row r="487" spans="4:13" x14ac:dyDescent="0.55000000000000004">
      <c r="D487">
        <v>482</v>
      </c>
      <c r="E487">
        <v>506.14160654712555</v>
      </c>
      <c r="F487">
        <v>16.927955363610312</v>
      </c>
      <c r="G487">
        <v>338052.96566565911</v>
      </c>
      <c r="H487">
        <v>2631.2286297856103</v>
      </c>
      <c r="I487">
        <v>16.17740612614816</v>
      </c>
      <c r="J487">
        <v>320916.89389317762</v>
      </c>
      <c r="K487">
        <v>2125.087023238485</v>
      </c>
      <c r="L487">
        <v>-0.75054923746215252</v>
      </c>
      <c r="M487">
        <v>-17136.071772481489</v>
      </c>
    </row>
    <row r="488" spans="4:13" x14ac:dyDescent="0.55000000000000004">
      <c r="D488">
        <v>483</v>
      </c>
      <c r="E488">
        <v>479.42852044177687</v>
      </c>
      <c r="F488">
        <v>22.706024268110394</v>
      </c>
      <c r="G488">
        <v>453641.05684176611</v>
      </c>
      <c r="H488">
        <v>2823.8699693172116</v>
      </c>
      <c r="I488">
        <v>20.114884081792411</v>
      </c>
      <c r="J488">
        <v>399473.81166653102</v>
      </c>
      <c r="K488">
        <v>2344.4414488754346</v>
      </c>
      <c r="L488">
        <v>-2.5911401863179826</v>
      </c>
      <c r="M488">
        <v>-54167.24517523509</v>
      </c>
    </row>
    <row r="489" spans="4:13" x14ac:dyDescent="0.55000000000000004">
      <c r="D489">
        <v>484</v>
      </c>
      <c r="E489">
        <v>497.075735669815</v>
      </c>
      <c r="F489">
        <v>21.062774790446841</v>
      </c>
      <c r="G489">
        <v>420758.42007326701</v>
      </c>
      <c r="H489">
        <v>2675.628041882841</v>
      </c>
      <c r="I489">
        <v>19.099447421245415</v>
      </c>
      <c r="J489">
        <v>379313.32038302545</v>
      </c>
      <c r="K489">
        <v>2178.552306213026</v>
      </c>
      <c r="L489">
        <v>-1.9633273692014264</v>
      </c>
      <c r="M489">
        <v>-41445.099690241565</v>
      </c>
    </row>
    <row r="490" spans="4:13" x14ac:dyDescent="0.55000000000000004">
      <c r="D490">
        <v>485</v>
      </c>
      <c r="E490">
        <v>476.10103346475103</v>
      </c>
      <c r="F490">
        <v>17.516438648455626</v>
      </c>
      <c r="G490">
        <v>349852.67193564773</v>
      </c>
      <c r="H490">
        <v>2837.4788701848784</v>
      </c>
      <c r="I490">
        <v>16.310669593732143</v>
      </c>
      <c r="J490">
        <v>323375.91300445801</v>
      </c>
      <c r="K490">
        <v>2361.3778367201276</v>
      </c>
      <c r="L490">
        <v>-1.2057690547234827</v>
      </c>
      <c r="M490">
        <v>-26476.758931189717</v>
      </c>
    </row>
    <row r="491" spans="4:13" x14ac:dyDescent="0.55000000000000004">
      <c r="D491">
        <v>486</v>
      </c>
      <c r="E491">
        <v>895.41369573468694</v>
      </c>
      <c r="F491">
        <v>18.074094258100004</v>
      </c>
      <c r="G491">
        <v>360586.47146626539</v>
      </c>
      <c r="H491">
        <v>2715.072904439302</v>
      </c>
      <c r="I491">
        <v>16.680200734594198</v>
      </c>
      <c r="J491">
        <v>330888.9417874447</v>
      </c>
      <c r="K491">
        <v>1819.6592087046151</v>
      </c>
      <c r="L491">
        <v>-1.3938935235058061</v>
      </c>
      <c r="M491">
        <v>-29697.529678820691</v>
      </c>
    </row>
    <row r="492" spans="4:13" x14ac:dyDescent="0.55000000000000004">
      <c r="D492">
        <v>487</v>
      </c>
      <c r="E492">
        <v>615.01182254319383</v>
      </c>
      <c r="F492">
        <v>17.705304060707014</v>
      </c>
      <c r="G492">
        <v>353491.06939159712</v>
      </c>
      <c r="H492">
        <v>2690.5735252921249</v>
      </c>
      <c r="I492">
        <v>16.51464441726608</v>
      </c>
      <c r="J492">
        <v>327602.31482002948</v>
      </c>
      <c r="K492">
        <v>2075.5617027489311</v>
      </c>
      <c r="L492">
        <v>-1.1906596434409344</v>
      </c>
      <c r="M492">
        <v>-25888.754571567639</v>
      </c>
    </row>
    <row r="493" spans="4:13" x14ac:dyDescent="0.55000000000000004">
      <c r="D493">
        <v>488</v>
      </c>
      <c r="E493">
        <v>790.72112578241365</v>
      </c>
      <c r="F493">
        <v>18.719977501906133</v>
      </c>
      <c r="G493">
        <v>373608.82891234022</v>
      </c>
      <c r="H493">
        <v>2792.8457248406276</v>
      </c>
      <c r="I493">
        <v>17.054069747955115</v>
      </c>
      <c r="J493">
        <v>338288.54923426168</v>
      </c>
      <c r="K493">
        <v>2002.1245990582138</v>
      </c>
      <c r="L493">
        <v>-1.6659077539510179</v>
      </c>
      <c r="M493">
        <v>-35320.279678078543</v>
      </c>
    </row>
    <row r="494" spans="4:13" x14ac:dyDescent="0.55000000000000004">
      <c r="D494">
        <v>489</v>
      </c>
      <c r="E494">
        <v>686.69532439310342</v>
      </c>
      <c r="F494">
        <v>17.963943847091954</v>
      </c>
      <c r="G494">
        <v>358592.18161744595</v>
      </c>
      <c r="H494">
        <v>2695.7122150377218</v>
      </c>
      <c r="I494">
        <v>16.759294740973299</v>
      </c>
      <c r="J494">
        <v>332490.18260442826</v>
      </c>
      <c r="K494">
        <v>2009.0168906446183</v>
      </c>
      <c r="L494">
        <v>-1.2046491061186551</v>
      </c>
      <c r="M494">
        <v>-26101.999013017688</v>
      </c>
    </row>
    <row r="495" spans="4:13" x14ac:dyDescent="0.55000000000000004">
      <c r="D495">
        <v>490</v>
      </c>
      <c r="E495">
        <v>401.35569765557079</v>
      </c>
      <c r="F495">
        <v>15.008926518843476</v>
      </c>
      <c r="G495">
        <v>299777.1746792139</v>
      </c>
      <c r="H495">
        <v>2697.393553830002</v>
      </c>
      <c r="I495">
        <v>14.031904808802153</v>
      </c>
      <c r="J495">
        <v>277940.70262221305</v>
      </c>
      <c r="K495">
        <v>2296.037856174431</v>
      </c>
      <c r="L495">
        <v>-0.97702171004132232</v>
      </c>
      <c r="M495">
        <v>-21836.47205700085</v>
      </c>
    </row>
    <row r="496" spans="4:13" x14ac:dyDescent="0.55000000000000004">
      <c r="D496">
        <v>491</v>
      </c>
      <c r="E496">
        <v>719.09721949742857</v>
      </c>
      <c r="F496">
        <v>18.508130194800085</v>
      </c>
      <c r="G496">
        <v>369443.50667650427</v>
      </c>
      <c r="H496">
        <v>2948.4203832568273</v>
      </c>
      <c r="I496">
        <v>17.49375684916502</v>
      </c>
      <c r="J496">
        <v>346926.71660004358</v>
      </c>
      <c r="K496">
        <v>2229.323163759399</v>
      </c>
      <c r="L496">
        <v>-1.0143733456350645</v>
      </c>
      <c r="M496">
        <v>-22516.790076460689</v>
      </c>
    </row>
    <row r="497" spans="4:13" x14ac:dyDescent="0.55000000000000004">
      <c r="D497">
        <v>492</v>
      </c>
      <c r="E497">
        <v>666.11057500080449</v>
      </c>
      <c r="F497">
        <v>17.419869548546849</v>
      </c>
      <c r="G497">
        <v>347731.28039593616</v>
      </c>
      <c r="H497">
        <v>2901.9043327128111</v>
      </c>
      <c r="I497">
        <v>16.191790942356086</v>
      </c>
      <c r="J497">
        <v>320933.91451440891</v>
      </c>
      <c r="K497">
        <v>2235.7937577120065</v>
      </c>
      <c r="L497">
        <v>-1.2280786061907634</v>
      </c>
      <c r="M497">
        <v>-26797.36588152725</v>
      </c>
    </row>
    <row r="498" spans="4:13" x14ac:dyDescent="0.55000000000000004">
      <c r="D498">
        <v>493</v>
      </c>
      <c r="E498">
        <v>739.53975414170361</v>
      </c>
      <c r="F498">
        <v>16.871850723040815</v>
      </c>
      <c r="G498">
        <v>336697.47470667458</v>
      </c>
      <c r="H498">
        <v>2691.1785928495842</v>
      </c>
      <c r="I498">
        <v>15.619997139105998</v>
      </c>
      <c r="J498">
        <v>309708.76418927038</v>
      </c>
      <c r="K498">
        <v>1951.6388387078805</v>
      </c>
      <c r="L498">
        <v>-1.2518535839348175</v>
      </c>
      <c r="M498">
        <v>-26988.710517404194</v>
      </c>
    </row>
    <row r="499" spans="4:13" x14ac:dyDescent="0.55000000000000004">
      <c r="D499">
        <v>494</v>
      </c>
      <c r="E499">
        <v>893.9458257793832</v>
      </c>
      <c r="F499">
        <v>21.118892040017752</v>
      </c>
      <c r="G499">
        <v>421483.89497457561</v>
      </c>
      <c r="H499">
        <v>2766.6944048165883</v>
      </c>
      <c r="I499">
        <v>20.023044171355373</v>
      </c>
      <c r="J499">
        <v>397694.18902229087</v>
      </c>
      <c r="K499">
        <v>1872.7485790372052</v>
      </c>
      <c r="L499">
        <v>-1.0958478686623785</v>
      </c>
      <c r="M499">
        <v>-23789.705952284741</v>
      </c>
    </row>
    <row r="500" spans="4:13" x14ac:dyDescent="0.55000000000000004">
      <c r="D500">
        <v>495</v>
      </c>
      <c r="E500">
        <v>627.61133663543194</v>
      </c>
      <c r="F500">
        <v>16.673725510061594</v>
      </c>
      <c r="G500">
        <v>332846.89886459644</v>
      </c>
      <c r="H500">
        <v>2807.4988201499382</v>
      </c>
      <c r="I500">
        <v>15.174799676026742</v>
      </c>
      <c r="J500">
        <v>300688.49470038491</v>
      </c>
      <c r="K500">
        <v>2179.8874835145061</v>
      </c>
      <c r="L500">
        <v>-1.4989258340348517</v>
      </c>
      <c r="M500">
        <v>-32158.404164211533</v>
      </c>
    </row>
    <row r="501" spans="4:13" x14ac:dyDescent="0.55000000000000004">
      <c r="D501">
        <v>496</v>
      </c>
      <c r="E501">
        <v>871.04892591694636</v>
      </c>
      <c r="F501">
        <v>19.661988652330152</v>
      </c>
      <c r="G501">
        <v>392368.72412068606</v>
      </c>
      <c r="H501">
        <v>2759.9218560075192</v>
      </c>
      <c r="I501">
        <v>18.490610847542172</v>
      </c>
      <c r="J501">
        <v>367052.29509483592</v>
      </c>
      <c r="K501">
        <v>1888.8729300905729</v>
      </c>
      <c r="L501">
        <v>-1.1713778047879799</v>
      </c>
      <c r="M501">
        <v>-25316.429025850142</v>
      </c>
    </row>
    <row r="502" spans="4:13" x14ac:dyDescent="0.55000000000000004">
      <c r="D502">
        <v>497</v>
      </c>
      <c r="E502">
        <v>705.67278164554716</v>
      </c>
      <c r="F502">
        <v>18.330047346927888</v>
      </c>
      <c r="G502">
        <v>365895.27415691223</v>
      </c>
      <c r="H502">
        <v>2798.7744420129802</v>
      </c>
      <c r="I502">
        <v>16.644767773739492</v>
      </c>
      <c r="J502">
        <v>330096.58103277686</v>
      </c>
      <c r="K502">
        <v>2093.1016603674329</v>
      </c>
      <c r="L502">
        <v>-1.6852795731883958</v>
      </c>
      <c r="M502">
        <v>-35798.693124135374</v>
      </c>
    </row>
    <row r="503" spans="4:13" x14ac:dyDescent="0.55000000000000004">
      <c r="D503">
        <v>498</v>
      </c>
      <c r="E503">
        <v>636.21868380870637</v>
      </c>
      <c r="F503">
        <v>19.284169614767507</v>
      </c>
      <c r="G503">
        <v>385047.17361154145</v>
      </c>
      <c r="H503">
        <v>2821.8042682268988</v>
      </c>
      <c r="I503">
        <v>17.480103034808721</v>
      </c>
      <c r="J503">
        <v>346780.25642794749</v>
      </c>
      <c r="K503">
        <v>2185.5855844181924</v>
      </c>
      <c r="L503">
        <v>-1.8040665799587856</v>
      </c>
      <c r="M503">
        <v>-38266.917183593963</v>
      </c>
    </row>
    <row r="504" spans="4:13" x14ac:dyDescent="0.55000000000000004">
      <c r="D504">
        <v>499</v>
      </c>
      <c r="E504">
        <v>642.46735102868752</v>
      </c>
      <c r="F504">
        <v>19.930702845435761</v>
      </c>
      <c r="G504">
        <v>397971.58955768653</v>
      </c>
      <c r="H504">
        <v>2667.7681049443245</v>
      </c>
      <c r="I504">
        <v>18.712998524405968</v>
      </c>
      <c r="J504">
        <v>371592.20238317503</v>
      </c>
      <c r="K504">
        <v>2025.300753915637</v>
      </c>
      <c r="L504">
        <v>-1.2177043210297924</v>
      </c>
      <c r="M504">
        <v>-26379.387174511503</v>
      </c>
    </row>
    <row r="505" spans="4:13" x14ac:dyDescent="0.55000000000000004">
      <c r="D505">
        <v>500</v>
      </c>
      <c r="E505">
        <v>612.46973526523482</v>
      </c>
      <c r="F505">
        <v>18.088871819891402</v>
      </c>
      <c r="G505">
        <v>361164.9666625628</v>
      </c>
      <c r="H505">
        <v>2740.7123182148721</v>
      </c>
      <c r="I505">
        <v>16.880111733419035</v>
      </c>
      <c r="J505">
        <v>334861.52235016582</v>
      </c>
      <c r="K505">
        <v>2128.2425829496374</v>
      </c>
      <c r="L505">
        <v>-1.2087600864723669</v>
      </c>
      <c r="M505">
        <v>-26303.444312396983</v>
      </c>
    </row>
    <row r="506" spans="4:13" x14ac:dyDescent="0.55000000000000004">
      <c r="D506">
        <v>501</v>
      </c>
      <c r="E506">
        <v>574.11682363038051</v>
      </c>
      <c r="F506">
        <v>14.261303240014218</v>
      </c>
      <c r="G506">
        <v>284651.94797665393</v>
      </c>
      <c r="H506">
        <v>2699.0137290766252</v>
      </c>
      <c r="I506">
        <v>13.910311500684969</v>
      </c>
      <c r="J506">
        <v>275507.21628462279</v>
      </c>
      <c r="K506">
        <v>2124.8969054462445</v>
      </c>
      <c r="L506">
        <v>-0.35099173932924899</v>
      </c>
      <c r="M506">
        <v>-9144.7316920311423</v>
      </c>
    </row>
    <row r="507" spans="4:13" x14ac:dyDescent="0.55000000000000004">
      <c r="D507">
        <v>502</v>
      </c>
      <c r="E507">
        <v>676.33238748859912</v>
      </c>
      <c r="F507">
        <v>19.230543823488361</v>
      </c>
      <c r="G507">
        <v>383934.54408227862</v>
      </c>
      <c r="H507">
        <v>2810.9791447577354</v>
      </c>
      <c r="I507">
        <v>17.256567726706479</v>
      </c>
      <c r="J507">
        <v>342320.37538937182</v>
      </c>
      <c r="K507">
        <v>2134.6467572691363</v>
      </c>
      <c r="L507">
        <v>-1.9739760967818825</v>
      </c>
      <c r="M507">
        <v>-41614.168692906795</v>
      </c>
    </row>
    <row r="508" spans="4:13" x14ac:dyDescent="0.55000000000000004">
      <c r="D508">
        <v>503</v>
      </c>
      <c r="E508">
        <v>1085.3182963183308</v>
      </c>
      <c r="F508">
        <v>17.293999628339108</v>
      </c>
      <c r="G508">
        <v>344794.67427046382</v>
      </c>
      <c r="H508">
        <v>2764.687142669728</v>
      </c>
      <c r="I508">
        <v>16.453223002918971</v>
      </c>
      <c r="J508">
        <v>326299.77291570971</v>
      </c>
      <c r="K508">
        <v>1679.3688463513972</v>
      </c>
      <c r="L508">
        <v>-0.84077662542013698</v>
      </c>
      <c r="M508">
        <v>-18494.901354754111</v>
      </c>
    </row>
    <row r="509" spans="4:13" x14ac:dyDescent="0.55000000000000004">
      <c r="D509">
        <v>504</v>
      </c>
      <c r="E509">
        <v>538.64019499227038</v>
      </c>
      <c r="F509">
        <v>22.49978652601045</v>
      </c>
      <c r="G509">
        <v>449457.09032521676</v>
      </c>
      <c r="H509">
        <v>2760.7782634314217</v>
      </c>
      <c r="I509">
        <v>19.855579271405311</v>
      </c>
      <c r="J509">
        <v>394350.8071646748</v>
      </c>
      <c r="K509">
        <v>2222.1380684391515</v>
      </c>
      <c r="L509">
        <v>-2.6442072546051385</v>
      </c>
      <c r="M509">
        <v>-55106.283160541963</v>
      </c>
    </row>
    <row r="510" spans="4:13" x14ac:dyDescent="0.55000000000000004">
      <c r="D510">
        <v>505</v>
      </c>
      <c r="E510">
        <v>930.11104408697804</v>
      </c>
      <c r="F510">
        <v>19.107027876006864</v>
      </c>
      <c r="G510">
        <v>381210.4464760503</v>
      </c>
      <c r="H510">
        <v>2727.4066602076236</v>
      </c>
      <c r="I510">
        <v>18.092756199657032</v>
      </c>
      <c r="J510">
        <v>359127.71733293304</v>
      </c>
      <c r="K510">
        <v>1797.2956161206457</v>
      </c>
      <c r="L510">
        <v>-1.0142716763498321</v>
      </c>
      <c r="M510">
        <v>-22082.729143117263</v>
      </c>
    </row>
    <row r="511" spans="4:13" x14ac:dyDescent="0.55000000000000004">
      <c r="D511">
        <v>506</v>
      </c>
      <c r="E511">
        <v>537.98573405184277</v>
      </c>
      <c r="F511">
        <v>19.900929904707226</v>
      </c>
      <c r="G511">
        <v>397480.61236009269</v>
      </c>
      <c r="H511">
        <v>2682.2291110650835</v>
      </c>
      <c r="I511">
        <v>18.518701448991461</v>
      </c>
      <c r="J511">
        <v>367691.79986876412</v>
      </c>
      <c r="K511">
        <v>2144.2433770132407</v>
      </c>
      <c r="L511">
        <v>-1.3822284557157651</v>
      </c>
      <c r="M511">
        <v>-29788.812491328572</v>
      </c>
    </row>
    <row r="512" spans="4:13" x14ac:dyDescent="0.55000000000000004">
      <c r="D512">
        <v>507</v>
      </c>
      <c r="E512">
        <v>763.98935348178634</v>
      </c>
      <c r="F512">
        <v>19.146177977908447</v>
      </c>
      <c r="G512">
        <v>382159.57020468713</v>
      </c>
      <c r="H512">
        <v>2740.9340960967284</v>
      </c>
      <c r="I512">
        <v>18.344293867492969</v>
      </c>
      <c r="J512">
        <v>364144.94325376267</v>
      </c>
      <c r="K512">
        <v>1976.944742614942</v>
      </c>
      <c r="L512">
        <v>-0.8018841104154788</v>
      </c>
      <c r="M512">
        <v>-18014.626950924459</v>
      </c>
    </row>
    <row r="513" spans="4:13" x14ac:dyDescent="0.55000000000000004">
      <c r="D513">
        <v>508</v>
      </c>
      <c r="E513">
        <v>684.72874726078987</v>
      </c>
      <c r="F513">
        <v>17.215580418079739</v>
      </c>
      <c r="G513">
        <v>343626.87961433397</v>
      </c>
      <c r="H513">
        <v>2644.9039683645615</v>
      </c>
      <c r="I513">
        <v>16.323597828806651</v>
      </c>
      <c r="J513">
        <v>323827.05260776845</v>
      </c>
      <c r="K513">
        <v>1960.1752211037715</v>
      </c>
      <c r="L513">
        <v>-0.89198258927308771</v>
      </c>
      <c r="M513">
        <v>-19799.827006565523</v>
      </c>
    </row>
    <row r="514" spans="4:13" x14ac:dyDescent="0.55000000000000004">
      <c r="D514">
        <v>509</v>
      </c>
      <c r="E514">
        <v>620.02588318343794</v>
      </c>
      <c r="F514">
        <v>16.400564080738231</v>
      </c>
      <c r="G514">
        <v>327391.25573158119</v>
      </c>
      <c r="H514">
        <v>2656.8657998965236</v>
      </c>
      <c r="I514">
        <v>15.288260968975244</v>
      </c>
      <c r="J514">
        <v>303108.35357960837</v>
      </c>
      <c r="K514">
        <v>2036.8399167130856</v>
      </c>
      <c r="L514">
        <v>-1.1123031117629871</v>
      </c>
      <c r="M514">
        <v>-24282.902151972812</v>
      </c>
    </row>
    <row r="515" spans="4:13" x14ac:dyDescent="0.55000000000000004">
      <c r="D515">
        <v>510</v>
      </c>
      <c r="E515">
        <v>575.74567206785673</v>
      </c>
      <c r="F515">
        <v>17.352197202085048</v>
      </c>
      <c r="G515">
        <v>346468.19836963312</v>
      </c>
      <c r="H515">
        <v>3004.8667078833378</v>
      </c>
      <c r="I515">
        <v>16.024846132732534</v>
      </c>
      <c r="J515">
        <v>317492.05594676739</v>
      </c>
      <c r="K515">
        <v>2429.1210358154813</v>
      </c>
      <c r="L515">
        <v>-1.3273510693525132</v>
      </c>
      <c r="M515">
        <v>-28976.142422865727</v>
      </c>
    </row>
    <row r="516" spans="4:13" x14ac:dyDescent="0.55000000000000004">
      <c r="D516">
        <v>511</v>
      </c>
      <c r="E516">
        <v>660.06912060594982</v>
      </c>
      <c r="F516">
        <v>19.687174938867678</v>
      </c>
      <c r="G516">
        <v>393083.42965674761</v>
      </c>
      <c r="H516">
        <v>2802.8817405914269</v>
      </c>
      <c r="I516">
        <v>18.017957989325858</v>
      </c>
      <c r="J516">
        <v>357556.27804592572</v>
      </c>
      <c r="K516">
        <v>2142.8126199854769</v>
      </c>
      <c r="L516">
        <v>-1.6692169495418199</v>
      </c>
      <c r="M516">
        <v>-35527.151610821893</v>
      </c>
    </row>
    <row r="517" spans="4:13" x14ac:dyDescent="0.55000000000000004">
      <c r="D517">
        <v>512</v>
      </c>
      <c r="E517">
        <v>666.55170248116201</v>
      </c>
      <c r="F517">
        <v>15.898356149594255</v>
      </c>
      <c r="G517">
        <v>317300.57128940395</v>
      </c>
      <c r="H517">
        <v>2633.3383091851756</v>
      </c>
      <c r="I517">
        <v>15.15500700094959</v>
      </c>
      <c r="J517">
        <v>300466.8017098066</v>
      </c>
      <c r="K517">
        <v>1966.7866067040136</v>
      </c>
      <c r="L517">
        <v>-0.74334914864466484</v>
      </c>
      <c r="M517">
        <v>-16833.769579597341</v>
      </c>
    </row>
    <row r="518" spans="4:13" x14ac:dyDescent="0.55000000000000004">
      <c r="D518">
        <v>513</v>
      </c>
      <c r="E518">
        <v>395.75822860376184</v>
      </c>
      <c r="F518">
        <v>20.025633483203023</v>
      </c>
      <c r="G518">
        <v>400116.91143545671</v>
      </c>
      <c r="H518">
        <v>2682.2562190027948</v>
      </c>
      <c r="I518">
        <v>17.381467973579511</v>
      </c>
      <c r="J518">
        <v>344947.10325258743</v>
      </c>
      <c r="K518">
        <v>2286.4979903990329</v>
      </c>
      <c r="L518">
        <v>-2.6441655096235124</v>
      </c>
      <c r="M518">
        <v>-55169.808182869281</v>
      </c>
    </row>
    <row r="519" spans="4:13" x14ac:dyDescent="0.55000000000000004">
      <c r="D519">
        <v>514</v>
      </c>
      <c r="E519">
        <v>556.94734732235293</v>
      </c>
      <c r="F519">
        <v>16.389443795365025</v>
      </c>
      <c r="G519">
        <v>327231.92855997814</v>
      </c>
      <c r="H519">
        <v>2827.7067606128253</v>
      </c>
      <c r="I519">
        <v>15.447451148038066</v>
      </c>
      <c r="J519">
        <v>306121.31620014849</v>
      </c>
      <c r="K519">
        <v>2270.7594132904724</v>
      </c>
      <c r="L519">
        <v>-0.94199264732695909</v>
      </c>
      <c r="M519">
        <v>-21110.612359829654</v>
      </c>
    </row>
    <row r="520" spans="4:13" x14ac:dyDescent="0.55000000000000004">
      <c r="D520">
        <v>515</v>
      </c>
      <c r="E520">
        <v>948.2713788205333</v>
      </c>
      <c r="F520">
        <v>20.822310205932475</v>
      </c>
      <c r="G520">
        <v>415497.93273982895</v>
      </c>
      <c r="H520">
        <v>2791.891613604841</v>
      </c>
      <c r="I520">
        <v>19.21356094319512</v>
      </c>
      <c r="J520">
        <v>381479.32725029753</v>
      </c>
      <c r="K520">
        <v>1843.6202347843077</v>
      </c>
      <c r="L520">
        <v>-1.608749262737355</v>
      </c>
      <c r="M520">
        <v>-34018.605489531416</v>
      </c>
    </row>
    <row r="521" spans="4:13" x14ac:dyDescent="0.55000000000000004">
      <c r="D521">
        <v>516</v>
      </c>
      <c r="E521">
        <v>661.26856132999637</v>
      </c>
      <c r="F521">
        <v>22.82142188786068</v>
      </c>
      <c r="G521">
        <v>455767.16919588362</v>
      </c>
      <c r="H521">
        <v>2724.9455888932816</v>
      </c>
      <c r="I521">
        <v>20.908548061441078</v>
      </c>
      <c r="J521">
        <v>415446.01563992829</v>
      </c>
      <c r="K521">
        <v>2063.6770275632853</v>
      </c>
      <c r="L521">
        <v>-1.9128738264196024</v>
      </c>
      <c r="M521">
        <v>-40321.15355595533</v>
      </c>
    </row>
    <row r="522" spans="4:13" x14ac:dyDescent="0.55000000000000004">
      <c r="D522">
        <v>517</v>
      </c>
      <c r="E522">
        <v>678.03466591578172</v>
      </c>
      <c r="F522">
        <v>18.636896873110324</v>
      </c>
      <c r="G522">
        <v>372059.9027962907</v>
      </c>
      <c r="H522">
        <v>2988.9077513727225</v>
      </c>
      <c r="I522">
        <v>17.249930497230938</v>
      </c>
      <c r="J522">
        <v>342009.70219324605</v>
      </c>
      <c r="K522">
        <v>2310.8730854569408</v>
      </c>
      <c r="L522">
        <v>-1.3869663758793855</v>
      </c>
      <c r="M522">
        <v>-30050.20060304465</v>
      </c>
    </row>
    <row r="523" spans="4:13" x14ac:dyDescent="0.55000000000000004">
      <c r="D523">
        <v>518</v>
      </c>
      <c r="E523">
        <v>801.84315843767297</v>
      </c>
      <c r="F523">
        <v>17.582436679184116</v>
      </c>
      <c r="G523">
        <v>350846.89042524464</v>
      </c>
      <c r="H523">
        <v>2815.5568850843124</v>
      </c>
      <c r="I523">
        <v>16.534482282066371</v>
      </c>
      <c r="J523">
        <v>327874.08875624312</v>
      </c>
      <c r="K523">
        <v>2013.7137266466393</v>
      </c>
      <c r="L523">
        <v>-1.0479543971177456</v>
      </c>
      <c r="M523">
        <v>-22972.801669001521</v>
      </c>
    </row>
    <row r="524" spans="4:13" x14ac:dyDescent="0.55000000000000004">
      <c r="D524">
        <v>519</v>
      </c>
      <c r="E524">
        <v>569.465210406903</v>
      </c>
      <c r="F524">
        <v>20.103923540543679</v>
      </c>
      <c r="G524">
        <v>401509.00560046668</v>
      </c>
      <c r="H524">
        <v>2735.8859594201685</v>
      </c>
      <c r="I524">
        <v>18.003550765273744</v>
      </c>
      <c r="J524">
        <v>357335.12934605469</v>
      </c>
      <c r="K524">
        <v>2166.4207490132658</v>
      </c>
      <c r="L524">
        <v>-2.1003727752699355</v>
      </c>
      <c r="M524">
        <v>-44173.876254411996</v>
      </c>
    </row>
    <row r="525" spans="4:13" x14ac:dyDescent="0.55000000000000004">
      <c r="D525">
        <v>520</v>
      </c>
      <c r="E525">
        <v>795.02712122200546</v>
      </c>
      <c r="F525">
        <v>17.41115080439225</v>
      </c>
      <c r="G525">
        <v>347427.98896662297</v>
      </c>
      <c r="H525">
        <v>2669.7391552955819</v>
      </c>
      <c r="I525">
        <v>16.836967238656339</v>
      </c>
      <c r="J525">
        <v>334069.60561783117</v>
      </c>
      <c r="K525">
        <v>1874.7120340735764</v>
      </c>
      <c r="L525">
        <v>-0.57418356573591112</v>
      </c>
      <c r="M525">
        <v>-13358.383348791802</v>
      </c>
    </row>
    <row r="526" spans="4:13" x14ac:dyDescent="0.55000000000000004">
      <c r="D526">
        <v>521</v>
      </c>
      <c r="E526">
        <v>668.7856562035787</v>
      </c>
      <c r="F526">
        <v>17.843913429313297</v>
      </c>
      <c r="G526">
        <v>356209.48293006234</v>
      </c>
      <c r="H526">
        <v>2690.4063319853212</v>
      </c>
      <c r="I526">
        <v>17.126460377051515</v>
      </c>
      <c r="J526">
        <v>339838.80120904499</v>
      </c>
      <c r="K526">
        <v>2021.6206757817426</v>
      </c>
      <c r="L526">
        <v>-0.71745305226178147</v>
      </c>
      <c r="M526">
        <v>-16370.681721017347</v>
      </c>
    </row>
    <row r="527" spans="4:13" x14ac:dyDescent="0.55000000000000004">
      <c r="D527">
        <v>522</v>
      </c>
      <c r="E527">
        <v>1189.9504983486099</v>
      </c>
      <c r="F527">
        <v>18.676754376170653</v>
      </c>
      <c r="G527">
        <v>372345.13702506444</v>
      </c>
      <c r="H527">
        <v>2654.0147515606945</v>
      </c>
      <c r="I527">
        <v>17.820679883935917</v>
      </c>
      <c r="J527">
        <v>353759.58292715764</v>
      </c>
      <c r="K527">
        <v>1464.0642532120846</v>
      </c>
      <c r="L527">
        <v>-0.85607449223473608</v>
      </c>
      <c r="M527">
        <v>-18585.554097906803</v>
      </c>
    </row>
    <row r="528" spans="4:13" x14ac:dyDescent="0.55000000000000004">
      <c r="D528">
        <v>523</v>
      </c>
      <c r="E528">
        <v>501.79537975720399</v>
      </c>
      <c r="F528">
        <v>19.920857516111052</v>
      </c>
      <c r="G528">
        <v>397915.35494246386</v>
      </c>
      <c r="H528">
        <v>2773.1897663851832</v>
      </c>
      <c r="I528">
        <v>17.191296230689591</v>
      </c>
      <c r="J528">
        <v>341052.73484740662</v>
      </c>
      <c r="K528">
        <v>2271.3943866279792</v>
      </c>
      <c r="L528">
        <v>-2.729561285421461</v>
      </c>
      <c r="M528">
        <v>-56862.620095057238</v>
      </c>
    </row>
    <row r="529" spans="4:13" x14ac:dyDescent="0.55000000000000004">
      <c r="D529">
        <v>524</v>
      </c>
      <c r="E529">
        <v>827.53932174349495</v>
      </c>
      <c r="F529">
        <v>17.716712623147913</v>
      </c>
      <c r="G529">
        <v>353506.7131412148</v>
      </c>
      <c r="H529">
        <v>2866.1182391077564</v>
      </c>
      <c r="I529">
        <v>17.008703887058136</v>
      </c>
      <c r="J529">
        <v>337307.95950205496</v>
      </c>
      <c r="K529">
        <v>2038.5789173642615</v>
      </c>
      <c r="L529">
        <v>-0.7080087360897771</v>
      </c>
      <c r="M529">
        <v>-16198.753639159841</v>
      </c>
    </row>
    <row r="530" spans="4:13" x14ac:dyDescent="0.55000000000000004">
      <c r="D530">
        <v>525</v>
      </c>
      <c r="E530">
        <v>698.32903328532234</v>
      </c>
      <c r="F530">
        <v>18.224036327476124</v>
      </c>
      <c r="G530">
        <v>363782.39751623716</v>
      </c>
      <c r="H530">
        <v>2764.2002078255946</v>
      </c>
      <c r="I530">
        <v>17.016320801728099</v>
      </c>
      <c r="J530">
        <v>337562.21582673641</v>
      </c>
      <c r="K530">
        <v>2065.8711745402725</v>
      </c>
      <c r="L530">
        <v>-1.207715525748025</v>
      </c>
      <c r="M530">
        <v>-26220.181689500751</v>
      </c>
    </row>
    <row r="531" spans="4:13" x14ac:dyDescent="0.55000000000000004">
      <c r="D531">
        <v>526</v>
      </c>
      <c r="E531">
        <v>549.79861177271141</v>
      </c>
      <c r="F531">
        <v>18.763380087093555</v>
      </c>
      <c r="G531">
        <v>374717.80313009839</v>
      </c>
      <c r="H531">
        <v>2778.9967893895819</v>
      </c>
      <c r="I531">
        <v>17.549027766343073</v>
      </c>
      <c r="J531">
        <v>348201.55853747186</v>
      </c>
      <c r="K531">
        <v>2229.1981776168705</v>
      </c>
      <c r="L531">
        <v>-1.2143523207504821</v>
      </c>
      <c r="M531">
        <v>-26516.244592626521</v>
      </c>
    </row>
    <row r="532" spans="4:13" x14ac:dyDescent="0.55000000000000004">
      <c r="D532">
        <v>527</v>
      </c>
      <c r="E532">
        <v>1007.9659861716414</v>
      </c>
      <c r="F532">
        <v>19.091033611319638</v>
      </c>
      <c r="G532">
        <v>380812.70624022116</v>
      </c>
      <c r="H532">
        <v>2795.6851175692127</v>
      </c>
      <c r="I532">
        <v>16.835772725944462</v>
      </c>
      <c r="J532">
        <v>333919.76940132002</v>
      </c>
      <c r="K532">
        <v>1787.7191313975713</v>
      </c>
      <c r="L532">
        <v>-2.2552608853751757</v>
      </c>
      <c r="M532">
        <v>-46892.936838901136</v>
      </c>
    </row>
    <row r="533" spans="4:13" x14ac:dyDescent="0.55000000000000004">
      <c r="D533">
        <v>528</v>
      </c>
      <c r="E533">
        <v>510.4442313467182</v>
      </c>
      <c r="F533">
        <v>18.441389252658308</v>
      </c>
      <c r="G533">
        <v>368317.34082181944</v>
      </c>
      <c r="H533">
        <v>2721.253531111618</v>
      </c>
      <c r="I533">
        <v>17.703244256107681</v>
      </c>
      <c r="J533">
        <v>351343.63159104198</v>
      </c>
      <c r="K533">
        <v>2210.8092997649001</v>
      </c>
      <c r="L533">
        <v>-0.73814499655062704</v>
      </c>
      <c r="M533">
        <v>-16973.709230777458</v>
      </c>
    </row>
    <row r="534" spans="4:13" x14ac:dyDescent="0.55000000000000004">
      <c r="D534">
        <v>529</v>
      </c>
      <c r="E534">
        <v>821.8650482222871</v>
      </c>
      <c r="F534">
        <v>17.728101804026952</v>
      </c>
      <c r="G534">
        <v>353740.17103231675</v>
      </c>
      <c r="H534">
        <v>2806.9105424221666</v>
      </c>
      <c r="I534">
        <v>16.594048225604048</v>
      </c>
      <c r="J534">
        <v>329074.05396965879</v>
      </c>
      <c r="K534">
        <v>1985.0454941998796</v>
      </c>
      <c r="L534">
        <v>-1.134053578422904</v>
      </c>
      <c r="M534">
        <v>-24666.117062657955</v>
      </c>
    </row>
    <row r="535" spans="4:13" x14ac:dyDescent="0.55000000000000004">
      <c r="D535">
        <v>530</v>
      </c>
      <c r="E535">
        <v>666.11124378867476</v>
      </c>
      <c r="F535">
        <v>17.463837577191558</v>
      </c>
      <c r="G535">
        <v>348610.64030004252</v>
      </c>
      <c r="H535">
        <v>2770.9325025958733</v>
      </c>
      <c r="I535">
        <v>15.893230446135576</v>
      </c>
      <c r="J535">
        <v>315093.67642011563</v>
      </c>
      <c r="K535">
        <v>2104.8212588071983</v>
      </c>
      <c r="L535">
        <v>-1.5706071310559828</v>
      </c>
      <c r="M535">
        <v>-33516.963879926887</v>
      </c>
    </row>
    <row r="536" spans="4:13" x14ac:dyDescent="0.55000000000000004">
      <c r="D536">
        <v>531</v>
      </c>
      <c r="E536">
        <v>732.2867706565371</v>
      </c>
      <c r="F536">
        <v>17.845318963802121</v>
      </c>
      <c r="G536">
        <v>356174.09250538592</v>
      </c>
      <c r="H536">
        <v>2780.4146138291599</v>
      </c>
      <c r="I536">
        <v>16.709492467458265</v>
      </c>
      <c r="J536">
        <v>331409.43473533611</v>
      </c>
      <c r="K536">
        <v>2048.1278431726228</v>
      </c>
      <c r="L536">
        <v>-1.1358264963438565</v>
      </c>
      <c r="M536">
        <v>-24764.657770049816</v>
      </c>
    </row>
    <row r="537" spans="4:13" x14ac:dyDescent="0.55000000000000004">
      <c r="D537">
        <v>532</v>
      </c>
      <c r="E537">
        <v>758.88534399467267</v>
      </c>
      <c r="F537">
        <v>17.040215132261267</v>
      </c>
      <c r="G537">
        <v>340045.41730123066</v>
      </c>
      <c r="H537">
        <v>2813.2695549867744</v>
      </c>
      <c r="I537">
        <v>16.014947844938618</v>
      </c>
      <c r="J537">
        <v>317485.68734378554</v>
      </c>
      <c r="K537">
        <v>2054.3842109921015</v>
      </c>
      <c r="L537">
        <v>-1.0252672873226487</v>
      </c>
      <c r="M537">
        <v>-22559.729957445117</v>
      </c>
    </row>
    <row r="538" spans="4:13" x14ac:dyDescent="0.55000000000000004">
      <c r="D538">
        <v>533</v>
      </c>
      <c r="E538">
        <v>927.21738689066376</v>
      </c>
      <c r="F538">
        <v>19.873078516470159</v>
      </c>
      <c r="G538">
        <v>396534.35294251249</v>
      </c>
      <c r="H538">
        <v>2674.2501548164655</v>
      </c>
      <c r="I538">
        <v>19.196057950501228</v>
      </c>
      <c r="J538">
        <v>381246.90885520808</v>
      </c>
      <c r="K538">
        <v>1747.0327679258016</v>
      </c>
      <c r="L538">
        <v>-0.67702056596893101</v>
      </c>
      <c r="M538">
        <v>-15287.444087304408</v>
      </c>
    </row>
    <row r="539" spans="4:13" x14ac:dyDescent="0.55000000000000004">
      <c r="D539">
        <v>534</v>
      </c>
      <c r="E539">
        <v>489.68352034443097</v>
      </c>
      <c r="F539">
        <v>19.932711349825233</v>
      </c>
      <c r="G539">
        <v>398164.54347616021</v>
      </c>
      <c r="H539">
        <v>2839.4631895155126</v>
      </c>
      <c r="I539">
        <v>17.899101735478972</v>
      </c>
      <c r="J539">
        <v>355142.57152006391</v>
      </c>
      <c r="K539">
        <v>2349.7796691710814</v>
      </c>
      <c r="L539">
        <v>-2.0336096143462612</v>
      </c>
      <c r="M539">
        <v>-43021.971956096299</v>
      </c>
    </row>
    <row r="540" spans="4:13" x14ac:dyDescent="0.55000000000000004">
      <c r="D540">
        <v>535</v>
      </c>
      <c r="E540">
        <v>835.48000624295685</v>
      </c>
      <c r="F540">
        <v>19.286503770477729</v>
      </c>
      <c r="G540">
        <v>384894.5954033116</v>
      </c>
      <c r="H540">
        <v>2932.4829643575831</v>
      </c>
      <c r="I540">
        <v>17.227904896908445</v>
      </c>
      <c r="J540">
        <v>341625.61497381132</v>
      </c>
      <c r="K540">
        <v>2097.0029581146264</v>
      </c>
      <c r="L540">
        <v>-2.0585988735692844</v>
      </c>
      <c r="M540">
        <v>-43268.980429500283</v>
      </c>
    </row>
    <row r="541" spans="4:13" x14ac:dyDescent="0.55000000000000004">
      <c r="D541">
        <v>536</v>
      </c>
      <c r="E541">
        <v>889.45000535213626</v>
      </c>
      <c r="F541">
        <v>19.20709028350046</v>
      </c>
      <c r="G541">
        <v>383252.35566465702</v>
      </c>
      <c r="H541">
        <v>2695.9627765849054</v>
      </c>
      <c r="I541">
        <v>17.666579125666928</v>
      </c>
      <c r="J541">
        <v>350635.61973675364</v>
      </c>
      <c r="K541">
        <v>1806.5127712327692</v>
      </c>
      <c r="L541">
        <v>-1.5405111578335315</v>
      </c>
      <c r="M541">
        <v>-32616.735927903384</v>
      </c>
    </row>
    <row r="542" spans="4:13" x14ac:dyDescent="0.55000000000000004">
      <c r="D542">
        <v>537</v>
      </c>
      <c r="E542">
        <v>622.59083953378297</v>
      </c>
      <c r="F542">
        <v>19.997734837364792</v>
      </c>
      <c r="G542">
        <v>399332.10590776207</v>
      </c>
      <c r="H542">
        <v>2711.0227038826633</v>
      </c>
      <c r="I542">
        <v>17.700163745584359</v>
      </c>
      <c r="J542">
        <v>351292.25220780453</v>
      </c>
      <c r="K542">
        <v>2088.4318643488805</v>
      </c>
      <c r="L542">
        <v>-2.2975710917804335</v>
      </c>
      <c r="M542">
        <v>-48039.853699957544</v>
      </c>
    </row>
    <row r="543" spans="4:13" x14ac:dyDescent="0.55000000000000004">
      <c r="D543">
        <v>538</v>
      </c>
      <c r="E543">
        <v>883.72723305575323</v>
      </c>
      <c r="F543">
        <v>18.214575116615833</v>
      </c>
      <c r="G543">
        <v>363407.77509926091</v>
      </c>
      <c r="H543">
        <v>2791.6750947136552</v>
      </c>
      <c r="I543">
        <v>17.114220354131866</v>
      </c>
      <c r="J543">
        <v>339492.73198792367</v>
      </c>
      <c r="K543">
        <v>1907.947861657902</v>
      </c>
      <c r="L543">
        <v>-1.1003547624839669</v>
      </c>
      <c r="M543">
        <v>-23915.043111337232</v>
      </c>
    </row>
    <row r="544" spans="4:13" x14ac:dyDescent="0.55000000000000004">
      <c r="D544">
        <v>539</v>
      </c>
      <c r="E544">
        <v>727.73747261861831</v>
      </c>
      <c r="F544">
        <v>18.271256805824436</v>
      </c>
      <c r="G544">
        <v>364697.39864387008</v>
      </c>
      <c r="H544">
        <v>2738.5030199601933</v>
      </c>
      <c r="I544">
        <v>16.323927954018824</v>
      </c>
      <c r="J544">
        <v>323740.05606041627</v>
      </c>
      <c r="K544">
        <v>2010.765547341575</v>
      </c>
      <c r="L544">
        <v>-1.9473288518056115</v>
      </c>
      <c r="M544">
        <v>-40957.342583453807</v>
      </c>
    </row>
    <row r="545" spans="4:13" x14ac:dyDescent="0.55000000000000004">
      <c r="D545">
        <v>540</v>
      </c>
      <c r="E545">
        <v>697.10248696177587</v>
      </c>
      <c r="F545">
        <v>20.667581976228959</v>
      </c>
      <c r="G545">
        <v>412654.53703761741</v>
      </c>
      <c r="H545">
        <v>3067.5967229698044</v>
      </c>
      <c r="I545">
        <v>18.693825716710098</v>
      </c>
      <c r="J545">
        <v>370808.91761123214</v>
      </c>
      <c r="K545">
        <v>2370.4942360080286</v>
      </c>
      <c r="L545">
        <v>-1.9737562595188614</v>
      </c>
      <c r="M545">
        <v>-41845.619426385267</v>
      </c>
    </row>
    <row r="546" spans="4:13" x14ac:dyDescent="0.55000000000000004">
      <c r="D546">
        <v>541</v>
      </c>
      <c r="E546">
        <v>604.25837510076713</v>
      </c>
      <c r="F546">
        <v>19.547499889031865</v>
      </c>
      <c r="G546">
        <v>390345.7394055365</v>
      </c>
      <c r="H546">
        <v>2705.5697268100494</v>
      </c>
      <c r="I546">
        <v>17.813163335078606</v>
      </c>
      <c r="J546">
        <v>353557.69697476208</v>
      </c>
      <c r="K546">
        <v>2101.3113517092825</v>
      </c>
      <c r="L546">
        <v>-1.7343365539532591</v>
      </c>
      <c r="M546">
        <v>-36788.042430774425</v>
      </c>
    </row>
    <row r="547" spans="4:13" x14ac:dyDescent="0.55000000000000004">
      <c r="D547">
        <v>542</v>
      </c>
      <c r="E547">
        <v>613.34817296882454</v>
      </c>
      <c r="F547">
        <v>17.85189013078265</v>
      </c>
      <c r="G547">
        <v>356424.45444268413</v>
      </c>
      <c r="H547">
        <v>2771.3015515201041</v>
      </c>
      <c r="I547">
        <v>16.416574545467991</v>
      </c>
      <c r="J547">
        <v>325560.1893578397</v>
      </c>
      <c r="K547">
        <v>2157.9533785512795</v>
      </c>
      <c r="L547">
        <v>-1.4353155853146582</v>
      </c>
      <c r="M547">
        <v>-30864.265084844432</v>
      </c>
    </row>
    <row r="548" spans="4:13" x14ac:dyDescent="0.55000000000000004">
      <c r="D548">
        <v>543</v>
      </c>
      <c r="E548">
        <v>797.03934124841123</v>
      </c>
      <c r="F548">
        <v>20.283604420626823</v>
      </c>
      <c r="G548">
        <v>404875.04907128803</v>
      </c>
      <c r="H548">
        <v>2788.8092244465488</v>
      </c>
      <c r="I548">
        <v>18.61746538555149</v>
      </c>
      <c r="J548">
        <v>369560.4984865833</v>
      </c>
      <c r="K548">
        <v>1991.7698831981374</v>
      </c>
      <c r="L548">
        <v>-1.6661390350753322</v>
      </c>
      <c r="M548">
        <v>-35314.550584704732</v>
      </c>
    </row>
    <row r="549" spans="4:13" x14ac:dyDescent="0.55000000000000004">
      <c r="D549">
        <v>544</v>
      </c>
      <c r="E549">
        <v>854.89534753924761</v>
      </c>
      <c r="F549">
        <v>17.439491933110716</v>
      </c>
      <c r="G549">
        <v>347934.94331467513</v>
      </c>
      <c r="H549">
        <v>2657.7083008531649</v>
      </c>
      <c r="I549">
        <v>16.785679061231178</v>
      </c>
      <c r="J549">
        <v>333055.8729237704</v>
      </c>
      <c r="K549">
        <v>1802.8129533139172</v>
      </c>
      <c r="L549">
        <v>-0.65381287187953774</v>
      </c>
      <c r="M549">
        <v>-14879.07039090473</v>
      </c>
    </row>
    <row r="550" spans="4:13" x14ac:dyDescent="0.55000000000000004">
      <c r="D550">
        <v>545</v>
      </c>
      <c r="E550">
        <v>915.75260005633595</v>
      </c>
      <c r="F550">
        <v>17.971266728452793</v>
      </c>
      <c r="G550">
        <v>358509.58196899953</v>
      </c>
      <c r="H550">
        <v>2812.8810308409006</v>
      </c>
      <c r="I550">
        <v>16.246516431300478</v>
      </c>
      <c r="J550">
        <v>322117.44759516866</v>
      </c>
      <c r="K550">
        <v>1897.1284307845647</v>
      </c>
      <c r="L550">
        <v>-1.7247502971523154</v>
      </c>
      <c r="M550">
        <v>-36392.134373830864</v>
      </c>
    </row>
    <row r="551" spans="4:13" x14ac:dyDescent="0.55000000000000004">
      <c r="D551">
        <v>546</v>
      </c>
      <c r="E551">
        <v>668.97631933363618</v>
      </c>
      <c r="F551">
        <v>19.258030770754804</v>
      </c>
      <c r="G551">
        <v>384491.6390957624</v>
      </c>
      <c r="H551">
        <v>2780.2113569838002</v>
      </c>
      <c r="I551">
        <v>18.249055761993631</v>
      </c>
      <c r="J551">
        <v>362200.90388288879</v>
      </c>
      <c r="K551">
        <v>2111.235037650164</v>
      </c>
      <c r="L551">
        <v>-1.0089750087611726</v>
      </c>
      <c r="M551">
        <v>-22290.735212873609</v>
      </c>
    </row>
    <row r="552" spans="4:13" x14ac:dyDescent="0.55000000000000004">
      <c r="D552">
        <v>547</v>
      </c>
      <c r="E552">
        <v>759.31525274672811</v>
      </c>
      <c r="F552">
        <v>19.544871007933047</v>
      </c>
      <c r="G552">
        <v>390138.10490591417</v>
      </c>
      <c r="H552">
        <v>2861.1255886371446</v>
      </c>
      <c r="I552">
        <v>17.311836535273862</v>
      </c>
      <c r="J552">
        <v>343375.6051168401</v>
      </c>
      <c r="K552">
        <v>2101.8103358904164</v>
      </c>
      <c r="L552">
        <v>-2.2330344726591846</v>
      </c>
      <c r="M552">
        <v>-46762.499789074063</v>
      </c>
    </row>
    <row r="553" spans="4:13" x14ac:dyDescent="0.55000000000000004">
      <c r="D553">
        <v>548</v>
      </c>
      <c r="E553">
        <v>723.85700286882616</v>
      </c>
      <c r="F553">
        <v>19.264039021370937</v>
      </c>
      <c r="G553">
        <v>384556.92342454992</v>
      </c>
      <c r="H553">
        <v>2819.5013834350402</v>
      </c>
      <c r="I553">
        <v>17.048209077713185</v>
      </c>
      <c r="J553">
        <v>338144.68017082865</v>
      </c>
      <c r="K553">
        <v>2095.6443805662138</v>
      </c>
      <c r="L553">
        <v>-2.2158299436577522</v>
      </c>
      <c r="M553">
        <v>-46412.243253721274</v>
      </c>
    </row>
    <row r="554" spans="4:13" x14ac:dyDescent="0.55000000000000004">
      <c r="D554">
        <v>549</v>
      </c>
      <c r="E554">
        <v>670.98703822671837</v>
      </c>
      <c r="F554">
        <v>20.168172191218751</v>
      </c>
      <c r="G554">
        <v>402692.45678614831</v>
      </c>
      <c r="H554">
        <v>2833.2524687560262</v>
      </c>
      <c r="I554">
        <v>18.726912426027479</v>
      </c>
      <c r="J554">
        <v>371704.99605179351</v>
      </c>
      <c r="K554">
        <v>2162.2654305293081</v>
      </c>
      <c r="L554">
        <v>-1.4412597651912726</v>
      </c>
      <c r="M554">
        <v>-30987.460734354798</v>
      </c>
    </row>
    <row r="555" spans="4:13" x14ac:dyDescent="0.55000000000000004">
      <c r="D555">
        <v>550</v>
      </c>
      <c r="E555">
        <v>653.94871669094778</v>
      </c>
      <c r="F555">
        <v>19.973983846420268</v>
      </c>
      <c r="G555">
        <v>398825.72821171442</v>
      </c>
      <c r="H555">
        <v>2696.5869181203325</v>
      </c>
      <c r="I555">
        <v>18.57805869247791</v>
      </c>
      <c r="J555">
        <v>368864.58693143789</v>
      </c>
      <c r="K555">
        <v>2042.6382014293847</v>
      </c>
      <c r="L555">
        <v>-1.3959251539423576</v>
      </c>
      <c r="M555">
        <v>-29961.141280276526</v>
      </c>
    </row>
    <row r="556" spans="4:13" x14ac:dyDescent="0.55000000000000004">
      <c r="D556">
        <v>551</v>
      </c>
      <c r="E556">
        <v>555.46025874407712</v>
      </c>
      <c r="F556">
        <v>19.224788250825</v>
      </c>
      <c r="G556">
        <v>383940.30475775595</v>
      </c>
      <c r="H556">
        <v>3034.8507243870772</v>
      </c>
      <c r="I556">
        <v>17.185683030949129</v>
      </c>
      <c r="J556">
        <v>340678.80989459547</v>
      </c>
      <c r="K556">
        <v>2479.390465643</v>
      </c>
      <c r="L556">
        <v>-2.0391052198758715</v>
      </c>
      <c r="M556">
        <v>-43261.494863160478</v>
      </c>
    </row>
    <row r="557" spans="4:13" x14ac:dyDescent="0.55000000000000004">
      <c r="D557">
        <v>552</v>
      </c>
      <c r="E557">
        <v>541.1009055721745</v>
      </c>
      <c r="F557">
        <v>20.182304931448297</v>
      </c>
      <c r="G557">
        <v>403104.99772339372</v>
      </c>
      <c r="H557">
        <v>2749.0730228010289</v>
      </c>
      <c r="I557">
        <v>18.671454855539793</v>
      </c>
      <c r="J557">
        <v>370680.02408799483</v>
      </c>
      <c r="K557">
        <v>2207.9721172288546</v>
      </c>
      <c r="L557">
        <v>-1.510850075908504</v>
      </c>
      <c r="M557">
        <v>-32424.973635398899</v>
      </c>
    </row>
    <row r="558" spans="4:13" x14ac:dyDescent="0.55000000000000004">
      <c r="D558">
        <v>553</v>
      </c>
      <c r="E558">
        <v>510.46579921371824</v>
      </c>
      <c r="F558">
        <v>20.29858506327518</v>
      </c>
      <c r="G558">
        <v>405461.23546628986</v>
      </c>
      <c r="H558">
        <v>2712.7221299338353</v>
      </c>
      <c r="I558">
        <v>18.315407127927024</v>
      </c>
      <c r="J558">
        <v>363595.42042860668</v>
      </c>
      <c r="K558">
        <v>2202.2563307201171</v>
      </c>
      <c r="L558">
        <v>-1.9831779353481558</v>
      </c>
      <c r="M558">
        <v>-41865.815037683176</v>
      </c>
    </row>
    <row r="559" spans="4:13" x14ac:dyDescent="0.55000000000000004">
      <c r="D559">
        <v>554</v>
      </c>
      <c r="E559">
        <v>667.30977298948972</v>
      </c>
      <c r="F559">
        <v>19.545368126247933</v>
      </c>
      <c r="G559">
        <v>390240.0527519692</v>
      </c>
      <c r="H559">
        <v>2702.2571358353689</v>
      </c>
      <c r="I559">
        <v>18.13922178804097</v>
      </c>
      <c r="J559">
        <v>360082.17862498405</v>
      </c>
      <c r="K559">
        <v>2034.9473628458791</v>
      </c>
      <c r="L559">
        <v>-1.4061463382069626</v>
      </c>
      <c r="M559">
        <v>-30157.874126985145</v>
      </c>
    </row>
    <row r="560" spans="4:13" x14ac:dyDescent="0.55000000000000004">
      <c r="D560">
        <v>555</v>
      </c>
      <c r="E560">
        <v>596.12039707197323</v>
      </c>
      <c r="F560">
        <v>19.977092245695093</v>
      </c>
      <c r="G560">
        <v>398945.72451682988</v>
      </c>
      <c r="H560">
        <v>2701.3679077309184</v>
      </c>
      <c r="I560">
        <v>18.632916274976765</v>
      </c>
      <c r="J560">
        <v>369956.95759180438</v>
      </c>
      <c r="K560">
        <v>2105.2475106589454</v>
      </c>
      <c r="L560">
        <v>-1.3441759707183287</v>
      </c>
      <c r="M560">
        <v>-28988.766925025498</v>
      </c>
    </row>
    <row r="561" spans="4:13" x14ac:dyDescent="0.55000000000000004">
      <c r="D561">
        <v>556</v>
      </c>
      <c r="E561">
        <v>613.73121062705843</v>
      </c>
      <c r="F561">
        <v>22.040628790827224</v>
      </c>
      <c r="G561">
        <v>440198.8446059174</v>
      </c>
      <c r="H561">
        <v>2660.1343805030492</v>
      </c>
      <c r="I561">
        <v>19.883819398943125</v>
      </c>
      <c r="J561">
        <v>395016.25359835947</v>
      </c>
      <c r="K561">
        <v>2046.4031698759909</v>
      </c>
      <c r="L561">
        <v>-2.1568093918840994</v>
      </c>
      <c r="M561">
        <v>-45182.59100755793</v>
      </c>
    </row>
    <row r="562" spans="4:13" x14ac:dyDescent="0.55000000000000004">
      <c r="D562">
        <v>557</v>
      </c>
      <c r="E562">
        <v>482.38324758957651</v>
      </c>
      <c r="F562">
        <v>16.419600912801002</v>
      </c>
      <c r="G562">
        <v>327909.63500843046</v>
      </c>
      <c r="H562">
        <v>2679.1472688406338</v>
      </c>
      <c r="I562">
        <v>14.818597642475725</v>
      </c>
      <c r="J562">
        <v>293692.80558067386</v>
      </c>
      <c r="K562">
        <v>2196.7640212510573</v>
      </c>
      <c r="L562">
        <v>-1.6010032703252772</v>
      </c>
      <c r="M562">
        <v>-34216.829427756602</v>
      </c>
    </row>
    <row r="563" spans="4:13" x14ac:dyDescent="0.55000000000000004">
      <c r="D563">
        <v>558</v>
      </c>
      <c r="E563">
        <v>652.49890269342848</v>
      </c>
      <c r="F563">
        <v>15.471257034450092</v>
      </c>
      <c r="G563">
        <v>308772.64178630838</v>
      </c>
      <c r="H563">
        <v>2682.4790201124956</v>
      </c>
      <c r="I563">
        <v>14.872392498525281</v>
      </c>
      <c r="J563">
        <v>294765.37095039315</v>
      </c>
      <c r="K563">
        <v>2029.980117419067</v>
      </c>
      <c r="L563">
        <v>-0.59886453592481104</v>
      </c>
      <c r="M563">
        <v>-14007.270835915231</v>
      </c>
    </row>
    <row r="564" spans="4:13" x14ac:dyDescent="0.55000000000000004">
      <c r="D564">
        <v>559</v>
      </c>
      <c r="E564">
        <v>504.06274604432576</v>
      </c>
      <c r="F564">
        <v>18.784418083747262</v>
      </c>
      <c r="G564">
        <v>375184.29892890091</v>
      </c>
      <c r="H564">
        <v>2649.3856872809247</v>
      </c>
      <c r="I564">
        <v>17.498197169832924</v>
      </c>
      <c r="J564">
        <v>347314.55770937755</v>
      </c>
      <c r="K564">
        <v>2145.322941236599</v>
      </c>
      <c r="L564">
        <v>-1.2862209139143381</v>
      </c>
      <c r="M564">
        <v>-27869.741219523363</v>
      </c>
    </row>
    <row r="565" spans="4:13" x14ac:dyDescent="0.55000000000000004">
      <c r="D565">
        <v>560</v>
      </c>
      <c r="E565">
        <v>534.77277878966311</v>
      </c>
      <c r="F565">
        <v>18.50101138766421</v>
      </c>
      <c r="G565">
        <v>369485.45497449453</v>
      </c>
      <c r="H565">
        <v>2658.6129120367746</v>
      </c>
      <c r="I565">
        <v>17.261364102861904</v>
      </c>
      <c r="J565">
        <v>342568.66914520133</v>
      </c>
      <c r="K565">
        <v>2123.8401332471112</v>
      </c>
      <c r="L565">
        <v>-1.2396472848023059</v>
      </c>
      <c r="M565">
        <v>-26916.785829293192</v>
      </c>
    </row>
    <row r="566" spans="4:13" x14ac:dyDescent="0.55000000000000004">
      <c r="D566">
        <v>561</v>
      </c>
      <c r="E566">
        <v>604.69153644073708</v>
      </c>
      <c r="F566">
        <v>18.38735016623902</v>
      </c>
      <c r="G566">
        <v>367142.31178833963</v>
      </c>
      <c r="H566">
        <v>2695.822060155313</v>
      </c>
      <c r="I566">
        <v>17.155229112011597</v>
      </c>
      <c r="J566">
        <v>340408.76018007658</v>
      </c>
      <c r="K566">
        <v>2091.1305237145762</v>
      </c>
      <c r="L566">
        <v>-1.2321210542274237</v>
      </c>
      <c r="M566">
        <v>-26733.551608263049</v>
      </c>
    </row>
    <row r="567" spans="4:13" x14ac:dyDescent="0.55000000000000004">
      <c r="D567">
        <v>562</v>
      </c>
      <c r="E567">
        <v>1201.7993472087508</v>
      </c>
      <c r="F567">
        <v>20.842940062716394</v>
      </c>
      <c r="G567">
        <v>415657.00190711912</v>
      </c>
      <c r="H567">
        <v>2656.5546807869478</v>
      </c>
      <c r="I567">
        <v>19.96499213668308</v>
      </c>
      <c r="J567">
        <v>396643.28805287462</v>
      </c>
      <c r="K567">
        <v>1454.755333578197</v>
      </c>
      <c r="L567">
        <v>-0.87794792603331473</v>
      </c>
      <c r="M567">
        <v>-19013.713854244503</v>
      </c>
    </row>
    <row r="568" spans="4:13" x14ac:dyDescent="0.55000000000000004">
      <c r="D568">
        <v>563</v>
      </c>
      <c r="E568">
        <v>696.73624682399168</v>
      </c>
      <c r="F568">
        <v>18.972702243222287</v>
      </c>
      <c r="G568">
        <v>378757.30861762178</v>
      </c>
      <c r="H568">
        <v>2661.6988478381063</v>
      </c>
      <c r="I568">
        <v>17.047241174425757</v>
      </c>
      <c r="J568">
        <v>338283.12464067707</v>
      </c>
      <c r="K568">
        <v>1964.9626010141146</v>
      </c>
      <c r="L568">
        <v>-1.9254610687965297</v>
      </c>
      <c r="M568">
        <v>-40474.183976944711</v>
      </c>
    </row>
    <row r="569" spans="4:13" x14ac:dyDescent="0.55000000000000004">
      <c r="D569">
        <v>564</v>
      </c>
      <c r="E569">
        <v>809.45711582613956</v>
      </c>
      <c r="F569">
        <v>18.001810331518431</v>
      </c>
      <c r="G569">
        <v>359226.74951454246</v>
      </c>
      <c r="H569">
        <v>2644.7807614965523</v>
      </c>
      <c r="I569">
        <v>16.908127325288998</v>
      </c>
      <c r="J569">
        <v>335517.76574428339</v>
      </c>
      <c r="K569">
        <v>1835.3236456704126</v>
      </c>
      <c r="L569">
        <v>-1.0936830062294334</v>
      </c>
      <c r="M569">
        <v>-23708.983770259074</v>
      </c>
    </row>
    <row r="570" spans="4:13" x14ac:dyDescent="0.55000000000000004">
      <c r="D570">
        <v>565</v>
      </c>
      <c r="E570">
        <v>981.48508247306768</v>
      </c>
      <c r="F570">
        <v>19.67861249861431</v>
      </c>
      <c r="G570">
        <v>392590.76488981314</v>
      </c>
      <c r="H570">
        <v>2748.2446805670352</v>
      </c>
      <c r="I570">
        <v>17.428344293168834</v>
      </c>
      <c r="J570">
        <v>345818.6411828096</v>
      </c>
      <c r="K570">
        <v>1766.7595980939675</v>
      </c>
      <c r="L570">
        <v>-2.2502682054454759</v>
      </c>
      <c r="M570">
        <v>-46772.123707003542</v>
      </c>
    </row>
    <row r="571" spans="4:13" x14ac:dyDescent="0.55000000000000004">
      <c r="D571">
        <v>566</v>
      </c>
      <c r="E571">
        <v>1236.1494544582133</v>
      </c>
      <c r="F571">
        <v>16.076172116488475</v>
      </c>
      <c r="G571">
        <v>320287.29287531128</v>
      </c>
      <c r="H571">
        <v>2930.0135475582579</v>
      </c>
      <c r="I571">
        <v>15.125602964059306</v>
      </c>
      <c r="J571">
        <v>299582.04573362786</v>
      </c>
      <c r="K571">
        <v>1693.8640931000446</v>
      </c>
      <c r="L571">
        <v>-0.95056915242916951</v>
      </c>
      <c r="M571">
        <v>-20705.247141683416</v>
      </c>
    </row>
    <row r="572" spans="4:13" x14ac:dyDescent="0.55000000000000004">
      <c r="D572">
        <v>567</v>
      </c>
      <c r="E572">
        <v>1134.6780186945773</v>
      </c>
      <c r="F572">
        <v>19.432486053848628</v>
      </c>
      <c r="G572">
        <v>387515.04305827798</v>
      </c>
      <c r="H572">
        <v>2634.8965575512475</v>
      </c>
      <c r="I572">
        <v>19.367595384228711</v>
      </c>
      <c r="J572">
        <v>384717.01112702297</v>
      </c>
      <c r="K572">
        <v>1500.2185388566702</v>
      </c>
      <c r="L572">
        <v>-6.4890669619916963E-2</v>
      </c>
      <c r="M572">
        <v>-2798.0319312550128</v>
      </c>
    </row>
    <row r="573" spans="4:13" x14ac:dyDescent="0.55000000000000004">
      <c r="D573">
        <v>568</v>
      </c>
      <c r="E573">
        <v>1082.2909167001917</v>
      </c>
      <c r="F573">
        <v>17.456642293907105</v>
      </c>
      <c r="G573">
        <v>348050.5549614419</v>
      </c>
      <c r="H573">
        <v>2825.1213390527864</v>
      </c>
      <c r="I573">
        <v>16.826985776824824</v>
      </c>
      <c r="J573">
        <v>333714.59419744369</v>
      </c>
      <c r="K573">
        <v>1742.8304223525947</v>
      </c>
      <c r="L573">
        <v>-0.62965651708228165</v>
      </c>
      <c r="M573">
        <v>-14335.960763998213</v>
      </c>
    </row>
    <row r="574" spans="4:13" x14ac:dyDescent="0.55000000000000004">
      <c r="D574">
        <v>569</v>
      </c>
      <c r="E574">
        <v>665.21901750331938</v>
      </c>
      <c r="F574">
        <v>17.313711514198111</v>
      </c>
      <c r="G574">
        <v>345609.0112664589</v>
      </c>
      <c r="H574">
        <v>2692.8677305447895</v>
      </c>
      <c r="I574">
        <v>15.902229296955916</v>
      </c>
      <c r="J574">
        <v>315351.71820857358</v>
      </c>
      <c r="K574">
        <v>2027.6487130414703</v>
      </c>
      <c r="L574">
        <v>-1.4114822172421952</v>
      </c>
      <c r="M574">
        <v>-30257.293057885312</v>
      </c>
    </row>
    <row r="575" spans="4:13" x14ac:dyDescent="0.55000000000000004">
      <c r="D575">
        <v>570</v>
      </c>
      <c r="E575">
        <v>539.74547489883003</v>
      </c>
      <c r="F575">
        <v>17.560479725920015</v>
      </c>
      <c r="G575">
        <v>350669.84904350148</v>
      </c>
      <c r="H575">
        <v>2871.8661555811095</v>
      </c>
      <c r="I575">
        <v>16.309635294957374</v>
      </c>
      <c r="J575">
        <v>323320.83974356641</v>
      </c>
      <c r="K575">
        <v>2332.1206806822793</v>
      </c>
      <c r="L575">
        <v>-1.2508444309626405</v>
      </c>
      <c r="M575">
        <v>-27349.009299935075</v>
      </c>
    </row>
    <row r="576" spans="4:13" x14ac:dyDescent="0.55000000000000004">
      <c r="D576">
        <v>571</v>
      </c>
      <c r="E576">
        <v>556.57496390347126</v>
      </c>
      <c r="F576">
        <v>17.873329576811141</v>
      </c>
      <c r="G576">
        <v>356910.01657231938</v>
      </c>
      <c r="H576">
        <v>2877.7054798348431</v>
      </c>
      <c r="I576">
        <v>16.344657013666851</v>
      </c>
      <c r="J576">
        <v>324015.43479350215</v>
      </c>
      <c r="K576">
        <v>2321.130515931372</v>
      </c>
      <c r="L576">
        <v>-1.5286725631442906</v>
      </c>
      <c r="M576">
        <v>-32894.581778817228</v>
      </c>
    </row>
    <row r="577" spans="4:13" x14ac:dyDescent="0.55000000000000004">
      <c r="D577">
        <v>572</v>
      </c>
      <c r="E577">
        <v>978.44547047947924</v>
      </c>
      <c r="F577">
        <v>21.669174719347453</v>
      </c>
      <c r="G577">
        <v>432405.04891646956</v>
      </c>
      <c r="H577">
        <v>2714.7032792145615</v>
      </c>
      <c r="I577">
        <v>19.944437464970846</v>
      </c>
      <c r="J577">
        <v>396174.04602020234</v>
      </c>
      <c r="K577">
        <v>1736.2578087350821</v>
      </c>
      <c r="L577">
        <v>-1.7247372543766062</v>
      </c>
      <c r="M577">
        <v>-36231.002896267222</v>
      </c>
    </row>
    <row r="578" spans="4:13" x14ac:dyDescent="0.55000000000000004">
      <c r="D578">
        <v>573</v>
      </c>
      <c r="E578">
        <v>695.69298700588433</v>
      </c>
      <c r="F578">
        <v>19.443659286812448</v>
      </c>
      <c r="G578">
        <v>388177.4927492431</v>
      </c>
      <c r="H578">
        <v>2933.1925952043212</v>
      </c>
      <c r="I578">
        <v>18.162173470701251</v>
      </c>
      <c r="J578">
        <v>360310.27681882068</v>
      </c>
      <c r="K578">
        <v>2237.4996081984368</v>
      </c>
      <c r="L578">
        <v>-1.2814858161111964</v>
      </c>
      <c r="M578">
        <v>-27867.215930422419</v>
      </c>
    </row>
    <row r="579" spans="4:13" x14ac:dyDescent="0.55000000000000004">
      <c r="D579">
        <v>574</v>
      </c>
      <c r="E579">
        <v>888.41129823476888</v>
      </c>
      <c r="F579">
        <v>16.567387688200458</v>
      </c>
      <c r="G579">
        <v>330459.34246577439</v>
      </c>
      <c r="H579">
        <v>2756.2595368143629</v>
      </c>
      <c r="I579">
        <v>15.467198576711787</v>
      </c>
      <c r="J579">
        <v>306587.7119974214</v>
      </c>
      <c r="K579">
        <v>1867.8482385795942</v>
      </c>
      <c r="L579">
        <v>-1.100189111488671</v>
      </c>
      <c r="M579">
        <v>-23871.630468352989</v>
      </c>
    </row>
    <row r="580" spans="4:13" x14ac:dyDescent="0.55000000000000004">
      <c r="D580">
        <v>575</v>
      </c>
      <c r="E580">
        <v>784.26567594796597</v>
      </c>
      <c r="F580">
        <v>19.473265944273276</v>
      </c>
      <c r="G580">
        <v>388681.05320951756</v>
      </c>
      <c r="H580">
        <v>2900.9686396315919</v>
      </c>
      <c r="I580">
        <v>17.515231306028092</v>
      </c>
      <c r="J580">
        <v>347403.65748093027</v>
      </c>
      <c r="K580">
        <v>2116.702963683626</v>
      </c>
      <c r="L580">
        <v>-1.9580346382451843</v>
      </c>
      <c r="M580">
        <v>-41277.395728587289</v>
      </c>
    </row>
    <row r="581" spans="4:13" x14ac:dyDescent="0.55000000000000004">
      <c r="D581">
        <v>576</v>
      </c>
      <c r="E581">
        <v>778.79932697021184</v>
      </c>
      <c r="F581">
        <v>18.857672633440195</v>
      </c>
      <c r="G581">
        <v>376374.65334183373</v>
      </c>
      <c r="H581">
        <v>2799.2202636290413</v>
      </c>
      <c r="I581">
        <v>16.878256780985513</v>
      </c>
      <c r="J581">
        <v>334765.91535608121</v>
      </c>
      <c r="K581">
        <v>2020.4209366588293</v>
      </c>
      <c r="L581">
        <v>-1.9794158524546823</v>
      </c>
      <c r="M581">
        <v>-41608.737985752523</v>
      </c>
    </row>
    <row r="582" spans="4:13" x14ac:dyDescent="0.55000000000000004">
      <c r="D582">
        <v>577</v>
      </c>
      <c r="E582">
        <v>644.45622981539293</v>
      </c>
      <c r="F582">
        <v>17.643773882220938</v>
      </c>
      <c r="G582">
        <v>352231.0214146034</v>
      </c>
      <c r="H582">
        <v>2735.1626598573712</v>
      </c>
      <c r="I582">
        <v>16.35406431467452</v>
      </c>
      <c r="J582">
        <v>324346.12363363302</v>
      </c>
      <c r="K582">
        <v>2090.7064300419784</v>
      </c>
      <c r="L582">
        <v>-1.2897095675464172</v>
      </c>
      <c r="M582">
        <v>-27884.897780970379</v>
      </c>
    </row>
    <row r="583" spans="4:13" x14ac:dyDescent="0.55000000000000004">
      <c r="D583">
        <v>578</v>
      </c>
      <c r="E583">
        <v>721.88813686964022</v>
      </c>
      <c r="F583">
        <v>19.069741553513737</v>
      </c>
      <c r="G583">
        <v>380672.94293340511</v>
      </c>
      <c r="H583">
        <v>3107.8432685900525</v>
      </c>
      <c r="I583">
        <v>17.460959876950373</v>
      </c>
      <c r="J583">
        <v>346111.35427041742</v>
      </c>
      <c r="K583">
        <v>2385.9551317204123</v>
      </c>
      <c r="L583">
        <v>-1.608781676563364</v>
      </c>
      <c r="M583">
        <v>-34561.588662987691</v>
      </c>
    </row>
    <row r="584" spans="4:13" x14ac:dyDescent="0.55000000000000004">
      <c r="D584">
        <v>579</v>
      </c>
      <c r="E584">
        <v>748.71316853506551</v>
      </c>
      <c r="F584">
        <v>21.048719585524008</v>
      </c>
      <c r="G584">
        <v>420225.67854194506</v>
      </c>
      <c r="H584">
        <v>2768.3706889041405</v>
      </c>
      <c r="I584">
        <v>18.013566632079925</v>
      </c>
      <c r="J584">
        <v>357502.96195269434</v>
      </c>
      <c r="K584">
        <v>2019.657520369075</v>
      </c>
      <c r="L584">
        <v>-3.0351529534440829</v>
      </c>
      <c r="M584">
        <v>-62722.716589250718</v>
      </c>
    </row>
    <row r="585" spans="4:13" x14ac:dyDescent="0.55000000000000004">
      <c r="D585">
        <v>580</v>
      </c>
      <c r="E585">
        <v>608.94322635518779</v>
      </c>
      <c r="F585">
        <v>20.269371591944644</v>
      </c>
      <c r="G585">
        <v>404778.48861253768</v>
      </c>
      <c r="H585">
        <v>2728.1027573648344</v>
      </c>
      <c r="I585">
        <v>19.304328306337624</v>
      </c>
      <c r="J585">
        <v>383358.46336938761</v>
      </c>
      <c r="K585">
        <v>2119.1595310096463</v>
      </c>
      <c r="L585">
        <v>-0.96504328560702035</v>
      </c>
      <c r="M585">
        <v>-21420.02524315007</v>
      </c>
    </row>
    <row r="586" spans="4:13" x14ac:dyDescent="0.55000000000000004">
      <c r="D586">
        <v>581</v>
      </c>
      <c r="E586">
        <v>976.5691703915121</v>
      </c>
      <c r="F586">
        <v>18.848066349610136</v>
      </c>
      <c r="G586">
        <v>375984.75782181119</v>
      </c>
      <c r="H586">
        <v>2845.9099692781351</v>
      </c>
      <c r="I586">
        <v>16.279690544534663</v>
      </c>
      <c r="J586">
        <v>322747.90092141513</v>
      </c>
      <c r="K586">
        <v>1869.3407988866229</v>
      </c>
      <c r="L586">
        <v>-2.5683758050754726</v>
      </c>
      <c r="M586">
        <v>-53236.856900396058</v>
      </c>
    </row>
    <row r="587" spans="4:13" x14ac:dyDescent="0.55000000000000004">
      <c r="D587">
        <v>582</v>
      </c>
      <c r="E587">
        <v>650.42142409009239</v>
      </c>
      <c r="F587">
        <v>20.345481744715226</v>
      </c>
      <c r="G587">
        <v>406259.2134702144</v>
      </c>
      <c r="H587">
        <v>2731.2610142387357</v>
      </c>
      <c r="I587">
        <v>18.960773208479043</v>
      </c>
      <c r="J587">
        <v>376484.20315534214</v>
      </c>
      <c r="K587">
        <v>2080.8395901486433</v>
      </c>
      <c r="L587">
        <v>-1.3847085362361824</v>
      </c>
      <c r="M587">
        <v>-29775.010314872256</v>
      </c>
    </row>
    <row r="588" spans="4:13" x14ac:dyDescent="0.55000000000000004">
      <c r="D588">
        <v>583</v>
      </c>
      <c r="E588">
        <v>791.51630260979994</v>
      </c>
      <c r="F588">
        <v>16.65280027744377</v>
      </c>
      <c r="G588">
        <v>332264.48924626561</v>
      </c>
      <c r="H588">
        <v>2894.7836191118554</v>
      </c>
      <c r="I588">
        <v>15.336712136617024</v>
      </c>
      <c r="J588">
        <v>303839.4591132286</v>
      </c>
      <c r="K588">
        <v>2103.2673165020556</v>
      </c>
      <c r="L588">
        <v>-1.3160881408267464</v>
      </c>
      <c r="M588">
        <v>-28425.030133037013</v>
      </c>
    </row>
    <row r="589" spans="4:13" x14ac:dyDescent="0.55000000000000004">
      <c r="D589">
        <v>584</v>
      </c>
      <c r="E589">
        <v>797.66819364545415</v>
      </c>
      <c r="F589">
        <v>20.021149135351983</v>
      </c>
      <c r="G589">
        <v>399625.31451339426</v>
      </c>
      <c r="H589">
        <v>2696.2782204141686</v>
      </c>
      <c r="I589">
        <v>18.891724293518646</v>
      </c>
      <c r="J589">
        <v>375138.20764995873</v>
      </c>
      <c r="K589">
        <v>1898.6100267687143</v>
      </c>
      <c r="L589">
        <v>-1.1294248418333375</v>
      </c>
      <c r="M589">
        <v>-24487.106863435532</v>
      </c>
    </row>
    <row r="590" spans="4:13" x14ac:dyDescent="0.55000000000000004">
      <c r="D590">
        <v>585</v>
      </c>
      <c r="E590">
        <v>1046.6472255435247</v>
      </c>
      <c r="F590">
        <v>18.702965451862443</v>
      </c>
      <c r="G590">
        <v>373012.66181170539</v>
      </c>
      <c r="H590">
        <v>2840.8530770059615</v>
      </c>
      <c r="I590">
        <v>17.253144037757366</v>
      </c>
      <c r="J590">
        <v>342222.02767814137</v>
      </c>
      <c r="K590">
        <v>1794.2058514624368</v>
      </c>
      <c r="L590">
        <v>-1.4498214141050774</v>
      </c>
      <c r="M590">
        <v>-30790.634133564017</v>
      </c>
    </row>
    <row r="591" spans="4:13" x14ac:dyDescent="0.55000000000000004">
      <c r="D591">
        <v>586</v>
      </c>
      <c r="E591">
        <v>459.42275049302498</v>
      </c>
      <c r="F591">
        <v>21.858751129750797</v>
      </c>
      <c r="G591">
        <v>436715.59984452289</v>
      </c>
      <c r="H591">
        <v>2837.9101883388698</v>
      </c>
      <c r="I591">
        <v>19.590228382402294</v>
      </c>
      <c r="J591">
        <v>388966.657459707</v>
      </c>
      <c r="K591">
        <v>2378.4874378458449</v>
      </c>
      <c r="L591">
        <v>-2.2685227473485021</v>
      </c>
      <c r="M591">
        <v>-47748.942384815891</v>
      </c>
    </row>
    <row r="592" spans="4:13" x14ac:dyDescent="0.55000000000000004">
      <c r="D592">
        <v>587</v>
      </c>
      <c r="E592">
        <v>493.11403358291381</v>
      </c>
      <c r="F592">
        <v>20.838549777280644</v>
      </c>
      <c r="G592">
        <v>416277.88151202997</v>
      </c>
      <c r="H592">
        <v>2787.8400672749131</v>
      </c>
      <c r="I592">
        <v>18.955892657792624</v>
      </c>
      <c r="J592">
        <v>376330.01308857754</v>
      </c>
      <c r="K592">
        <v>2294.7260336919994</v>
      </c>
      <c r="L592">
        <v>-1.8826571194880195</v>
      </c>
      <c r="M592">
        <v>-39947.868423452426</v>
      </c>
    </row>
    <row r="593" spans="4:13" x14ac:dyDescent="0.55000000000000004">
      <c r="D593">
        <v>588</v>
      </c>
      <c r="E593">
        <v>687.12292551038195</v>
      </c>
      <c r="F593">
        <v>18.901568380967902</v>
      </c>
      <c r="G593">
        <v>377344.24469384766</v>
      </c>
      <c r="H593">
        <v>2739.4303173364297</v>
      </c>
      <c r="I593">
        <v>16.609940947717945</v>
      </c>
      <c r="J593">
        <v>329459.38863702252</v>
      </c>
      <c r="K593">
        <v>2052.3073918260479</v>
      </c>
      <c r="L593">
        <v>-2.2916274332499569</v>
      </c>
      <c r="M593">
        <v>-47884.856056825141</v>
      </c>
    </row>
    <row r="594" spans="4:13" x14ac:dyDescent="0.55000000000000004">
      <c r="D594">
        <v>589</v>
      </c>
      <c r="E594">
        <v>805.45912670620669</v>
      </c>
      <c r="F594">
        <v>19.180106778136217</v>
      </c>
      <c r="G594">
        <v>382796.67643601808</v>
      </c>
      <c r="H594">
        <v>2738.6107503594762</v>
      </c>
      <c r="I594">
        <v>17.466162785393429</v>
      </c>
      <c r="J594">
        <v>346584.64495750912</v>
      </c>
      <c r="K594">
        <v>1933.1516236532696</v>
      </c>
      <c r="L594">
        <v>-1.713943992742788</v>
      </c>
      <c r="M594">
        <v>-36212.031478508958</v>
      </c>
    </row>
    <row r="595" spans="4:13" x14ac:dyDescent="0.55000000000000004">
      <c r="D595">
        <v>590</v>
      </c>
      <c r="E595">
        <v>813.55446614187758</v>
      </c>
      <c r="F595">
        <v>20.837309154487816</v>
      </c>
      <c r="G595">
        <v>415932.62862361444</v>
      </c>
      <c r="H595">
        <v>2647.0746257448682</v>
      </c>
      <c r="I595">
        <v>19.819409577308662</v>
      </c>
      <c r="J595">
        <v>393741.11692042835</v>
      </c>
      <c r="K595">
        <v>1833.5201596029906</v>
      </c>
      <c r="L595">
        <v>-1.0178995771791541</v>
      </c>
      <c r="M595">
        <v>-22191.511703186086</v>
      </c>
    </row>
    <row r="596" spans="4:13" x14ac:dyDescent="0.55000000000000004">
      <c r="D596">
        <v>591</v>
      </c>
      <c r="E596">
        <v>570.61898686454288</v>
      </c>
      <c r="F596">
        <v>15.279026302483004</v>
      </c>
      <c r="G596">
        <v>305009.90706279554</v>
      </c>
      <c r="H596">
        <v>2890.9258405033447</v>
      </c>
      <c r="I596">
        <v>14.49047397643095</v>
      </c>
      <c r="J596">
        <v>286918.55368811561</v>
      </c>
      <c r="K596">
        <v>2320.3068536388018</v>
      </c>
      <c r="L596">
        <v>-0.78855232605205394</v>
      </c>
      <c r="M596">
        <v>-18091.353374679922</v>
      </c>
    </row>
    <row r="597" spans="4:13" x14ac:dyDescent="0.55000000000000004">
      <c r="D597">
        <v>592</v>
      </c>
      <c r="E597">
        <v>1290.8073985688695</v>
      </c>
      <c r="F597">
        <v>18.858426703852079</v>
      </c>
      <c r="G597">
        <v>375877.72667847265</v>
      </c>
      <c r="H597">
        <v>2738.3990799407989</v>
      </c>
      <c r="I597">
        <v>17.897638201144392</v>
      </c>
      <c r="J597">
        <v>355214.36494294705</v>
      </c>
      <c r="K597">
        <v>1447.5916813719293</v>
      </c>
      <c r="L597">
        <v>-0.96078850270768612</v>
      </c>
      <c r="M597">
        <v>-20663.361735525599</v>
      </c>
    </row>
    <row r="598" spans="4:13" x14ac:dyDescent="0.55000000000000004">
      <c r="D598">
        <v>593</v>
      </c>
      <c r="E598">
        <v>722.43873150021352</v>
      </c>
      <c r="F598">
        <v>18.581651315323931</v>
      </c>
      <c r="G598">
        <v>370910.58757497836</v>
      </c>
      <c r="H598">
        <v>2625.3823792815351</v>
      </c>
      <c r="I598">
        <v>18.101156782248143</v>
      </c>
      <c r="J598">
        <v>359397.75326568133</v>
      </c>
      <c r="K598">
        <v>1902.9436477813215</v>
      </c>
      <c r="L598">
        <v>-0.48049453307578815</v>
      </c>
      <c r="M598">
        <v>-11512.834309297032</v>
      </c>
    </row>
    <row r="599" spans="4:13" x14ac:dyDescent="0.55000000000000004">
      <c r="D599">
        <v>594</v>
      </c>
      <c r="E599">
        <v>918.78975748635571</v>
      </c>
      <c r="F599">
        <v>16.829814231690957</v>
      </c>
      <c r="G599">
        <v>335677.49487633276</v>
      </c>
      <c r="H599">
        <v>3000.3044767340493</v>
      </c>
      <c r="I599">
        <v>15.462137756665744</v>
      </c>
      <c r="J599">
        <v>306242.4506565808</v>
      </c>
      <c r="K599">
        <v>2081.5147192476934</v>
      </c>
      <c r="L599">
        <v>-1.3676764750252133</v>
      </c>
      <c r="M599">
        <v>-29435.044219751959</v>
      </c>
    </row>
    <row r="600" spans="4:13" x14ac:dyDescent="0.55000000000000004">
      <c r="D600">
        <v>595</v>
      </c>
      <c r="E600">
        <v>1031.486733619337</v>
      </c>
      <c r="F600">
        <v>18.853655156037878</v>
      </c>
      <c r="G600">
        <v>376041.6163871382</v>
      </c>
      <c r="H600">
        <v>2672.8852523365495</v>
      </c>
      <c r="I600">
        <v>17.269203610995824</v>
      </c>
      <c r="J600">
        <v>342711.18696757994</v>
      </c>
      <c r="K600">
        <v>1641.3985187172125</v>
      </c>
      <c r="L600">
        <v>-1.5844515450420538</v>
      </c>
      <c r="M600">
        <v>-33330.429419558262</v>
      </c>
    </row>
    <row r="601" spans="4:13" x14ac:dyDescent="0.55000000000000004">
      <c r="D601">
        <v>596</v>
      </c>
      <c r="E601">
        <v>436.48726336654335</v>
      </c>
      <c r="F601">
        <v>20.185196820715852</v>
      </c>
      <c r="G601">
        <v>403267.44915095053</v>
      </c>
      <c r="H601">
        <v>2730.7049753531792</v>
      </c>
      <c r="I601">
        <v>17.916466490073521</v>
      </c>
      <c r="J601">
        <v>355598.62482611724</v>
      </c>
      <c r="K601">
        <v>2294.217711986636</v>
      </c>
      <c r="L601">
        <v>-2.268730330642331</v>
      </c>
      <c r="M601">
        <v>-47668.824324833287</v>
      </c>
    </row>
    <row r="602" spans="4:13" x14ac:dyDescent="0.55000000000000004">
      <c r="D602">
        <v>597</v>
      </c>
      <c r="E602">
        <v>534.10247991189658</v>
      </c>
      <c r="F602">
        <v>21.542426366364673</v>
      </c>
      <c r="G602">
        <v>430314.4248473816</v>
      </c>
      <c r="H602">
        <v>2887.5557143564201</v>
      </c>
      <c r="I602">
        <v>18.362358416384993</v>
      </c>
      <c r="J602">
        <v>364359.61261334346</v>
      </c>
      <c r="K602">
        <v>2353.4532344445233</v>
      </c>
      <c r="L602">
        <v>-3.18006794997968</v>
      </c>
      <c r="M602">
        <v>-65954.812234038138</v>
      </c>
    </row>
    <row r="603" spans="4:13" x14ac:dyDescent="0.55000000000000004">
      <c r="D603">
        <v>598</v>
      </c>
      <c r="E603">
        <v>666.08814743573612</v>
      </c>
      <c r="F603">
        <v>18.834732337810461</v>
      </c>
      <c r="G603">
        <v>376028.55860877346</v>
      </c>
      <c r="H603">
        <v>2722.411428388381</v>
      </c>
      <c r="I603">
        <v>17.290092178944843</v>
      </c>
      <c r="J603">
        <v>343079.43215050845</v>
      </c>
      <c r="K603">
        <v>2056.3232809526448</v>
      </c>
      <c r="L603">
        <v>-1.5446401588656187</v>
      </c>
      <c r="M603">
        <v>-32949.126458265004</v>
      </c>
    </row>
    <row r="604" spans="4:13" x14ac:dyDescent="0.55000000000000004">
      <c r="D604">
        <v>599</v>
      </c>
      <c r="E604">
        <v>815.29973790672602</v>
      </c>
      <c r="F604">
        <v>19.863781510266364</v>
      </c>
      <c r="G604">
        <v>396460.33046742057</v>
      </c>
      <c r="H604">
        <v>2813.298061894991</v>
      </c>
      <c r="I604">
        <v>18.677283461583485</v>
      </c>
      <c r="J604">
        <v>370732.37116977468</v>
      </c>
      <c r="K604">
        <v>1997.9983239882649</v>
      </c>
      <c r="L604">
        <v>-1.1864980486828784</v>
      </c>
      <c r="M604">
        <v>-25727.959297645895</v>
      </c>
    </row>
    <row r="605" spans="4:13" x14ac:dyDescent="0.55000000000000004">
      <c r="D605">
        <v>600</v>
      </c>
      <c r="E605">
        <v>713.48510394612174</v>
      </c>
      <c r="F605">
        <v>19.897295883299755</v>
      </c>
      <c r="G605">
        <v>397232.43256204895</v>
      </c>
      <c r="H605">
        <v>2686.984261996522</v>
      </c>
      <c r="I605">
        <v>18.773420697286419</v>
      </c>
      <c r="J605">
        <v>372781.42968373187</v>
      </c>
      <c r="K605">
        <v>1973.4991580504002</v>
      </c>
      <c r="L605">
        <v>-1.1238751860133362</v>
      </c>
      <c r="M605">
        <v>-24451.002878317086</v>
      </c>
    </row>
    <row r="606" spans="4:13" x14ac:dyDescent="0.55000000000000004">
      <c r="D606">
        <v>601</v>
      </c>
      <c r="E606">
        <v>444.03946965514956</v>
      </c>
      <c r="F606">
        <v>17.426539770775399</v>
      </c>
      <c r="G606">
        <v>348086.75594585284</v>
      </c>
      <c r="H606">
        <v>2764.1691820090628</v>
      </c>
      <c r="I606">
        <v>15.934415232475564</v>
      </c>
      <c r="J606">
        <v>315924.13546750223</v>
      </c>
      <c r="K606">
        <v>2320.1297123539134</v>
      </c>
      <c r="L606">
        <v>-1.4921245382998354</v>
      </c>
      <c r="M606">
        <v>-32162.620478350611</v>
      </c>
    </row>
    <row r="607" spans="4:13" x14ac:dyDescent="0.55000000000000004">
      <c r="D607">
        <v>602</v>
      </c>
      <c r="E607">
        <v>595.32864768622505</v>
      </c>
      <c r="F607">
        <v>17.089149294868928</v>
      </c>
      <c r="G607">
        <v>341187.65724969236</v>
      </c>
      <c r="H607">
        <v>2725.5802070559566</v>
      </c>
      <c r="I607">
        <v>16.075992334045235</v>
      </c>
      <c r="J607">
        <v>318794.26647384872</v>
      </c>
      <c r="K607">
        <v>2130.2515593697317</v>
      </c>
      <c r="L607">
        <v>-1.013156960823693</v>
      </c>
      <c r="M607">
        <v>-22393.39077584364</v>
      </c>
    </row>
    <row r="608" spans="4:13" x14ac:dyDescent="0.55000000000000004">
      <c r="D608">
        <v>603</v>
      </c>
      <c r="E608">
        <v>579.61541010103065</v>
      </c>
      <c r="F608">
        <v>19.165606823506483</v>
      </c>
      <c r="G608">
        <v>382732.52106002864</v>
      </c>
      <c r="H608">
        <v>2802.5161963452047</v>
      </c>
      <c r="I608">
        <v>17.100655982879299</v>
      </c>
      <c r="J608">
        <v>339210.60346124077</v>
      </c>
      <c r="K608">
        <v>2222.900786244174</v>
      </c>
      <c r="L608">
        <v>-2.0649508406271835</v>
      </c>
      <c r="M608">
        <v>-43521.91759878787</v>
      </c>
    </row>
    <row r="609" spans="4:13" x14ac:dyDescent="0.55000000000000004">
      <c r="D609">
        <v>604</v>
      </c>
      <c r="E609">
        <v>977.14748140544009</v>
      </c>
      <c r="F609">
        <v>16.640855650143351</v>
      </c>
      <c r="G609">
        <v>331839.96552146156</v>
      </c>
      <c r="H609">
        <v>2999.758456044392</v>
      </c>
      <c r="I609">
        <v>15.722244111335606</v>
      </c>
      <c r="J609">
        <v>311445.12377066776</v>
      </c>
      <c r="K609">
        <v>2022.610974638952</v>
      </c>
      <c r="L609">
        <v>-0.91861153880774538</v>
      </c>
      <c r="M609">
        <v>-20394.841750793799</v>
      </c>
    </row>
    <row r="610" spans="4:13" x14ac:dyDescent="0.55000000000000004">
      <c r="D610">
        <v>605</v>
      </c>
      <c r="E610">
        <v>1007.537362577009</v>
      </c>
      <c r="F610">
        <v>16.099234344972022</v>
      </c>
      <c r="G610">
        <v>320977.14953686344</v>
      </c>
      <c r="H610">
        <v>2655.2082859643219</v>
      </c>
      <c r="I610">
        <v>15.841488534601837</v>
      </c>
      <c r="J610">
        <v>314174.56240607239</v>
      </c>
      <c r="K610">
        <v>1647.670923387313</v>
      </c>
      <c r="L610">
        <v>-0.25774581037018507</v>
      </c>
      <c r="M610">
        <v>-6802.587130791042</v>
      </c>
    </row>
    <row r="611" spans="4:13" x14ac:dyDescent="0.55000000000000004">
      <c r="D611">
        <v>606</v>
      </c>
      <c r="E611">
        <v>764.18522231519501</v>
      </c>
      <c r="F611">
        <v>19.181745290651836</v>
      </c>
      <c r="G611">
        <v>382870.72059072152</v>
      </c>
      <c r="H611">
        <v>2729.691377362702</v>
      </c>
      <c r="I611">
        <v>18.331240609262068</v>
      </c>
      <c r="J611">
        <v>363895.12080787867</v>
      </c>
      <c r="K611">
        <v>1965.506155047507</v>
      </c>
      <c r="L611">
        <v>-0.85050468138976854</v>
      </c>
      <c r="M611">
        <v>-18975.599782842852</v>
      </c>
    </row>
    <row r="612" spans="4:13" x14ac:dyDescent="0.55000000000000004">
      <c r="D612">
        <v>607</v>
      </c>
      <c r="E612">
        <v>387.48904320187512</v>
      </c>
      <c r="F612">
        <v>17.725737775273874</v>
      </c>
      <c r="G612">
        <v>354127.26646227558</v>
      </c>
      <c r="H612">
        <v>2674.4521574645523</v>
      </c>
      <c r="I612">
        <v>16.959099685102913</v>
      </c>
      <c r="J612">
        <v>336507.5415445937</v>
      </c>
      <c r="K612">
        <v>2286.9631142626772</v>
      </c>
      <c r="L612">
        <v>-0.76663809017096085</v>
      </c>
      <c r="M612">
        <v>-17619.724917681888</v>
      </c>
    </row>
    <row r="613" spans="4:13" x14ac:dyDescent="0.55000000000000004">
      <c r="D613">
        <v>608</v>
      </c>
      <c r="E613">
        <v>595.31106370739212</v>
      </c>
      <c r="F613">
        <v>19.382652389463416</v>
      </c>
      <c r="G613">
        <v>387057.73672556091</v>
      </c>
      <c r="H613">
        <v>2696.7696575841883</v>
      </c>
      <c r="I613">
        <v>18.119929455439092</v>
      </c>
      <c r="J613">
        <v>359701.81945119763</v>
      </c>
      <c r="K613">
        <v>2101.4585938767959</v>
      </c>
      <c r="L613">
        <v>-1.2627229340243247</v>
      </c>
      <c r="M613">
        <v>-27355.917274363281</v>
      </c>
    </row>
    <row r="614" spans="4:13" x14ac:dyDescent="0.55000000000000004">
      <c r="D614">
        <v>609</v>
      </c>
      <c r="E614">
        <v>823.14873351169422</v>
      </c>
      <c r="F614">
        <v>17.771620489527685</v>
      </c>
      <c r="G614">
        <v>354609.26105704199</v>
      </c>
      <c r="H614">
        <v>2773.2188491064512</v>
      </c>
      <c r="I614">
        <v>17.067838406504947</v>
      </c>
      <c r="J614">
        <v>338583.54928099248</v>
      </c>
      <c r="K614">
        <v>1950.070115594757</v>
      </c>
      <c r="L614">
        <v>-0.70378208302273748</v>
      </c>
      <c r="M614">
        <v>-16025.711776049517</v>
      </c>
    </row>
    <row r="615" spans="4:13" x14ac:dyDescent="0.55000000000000004">
      <c r="D615">
        <v>610</v>
      </c>
      <c r="E615">
        <v>453.88488228481481</v>
      </c>
      <c r="F615">
        <v>17.930138184189389</v>
      </c>
      <c r="G615">
        <v>358148.87880150299</v>
      </c>
      <c r="H615">
        <v>2940.8742207112791</v>
      </c>
      <c r="I615">
        <v>16.138308605983642</v>
      </c>
      <c r="J615">
        <v>319825.29789896152</v>
      </c>
      <c r="K615">
        <v>2486.9893384264642</v>
      </c>
      <c r="L615">
        <v>-1.7918295782057463</v>
      </c>
      <c r="M615">
        <v>-38323.580902541464</v>
      </c>
    </row>
    <row r="616" spans="4:13" x14ac:dyDescent="0.55000000000000004">
      <c r="D616">
        <v>611</v>
      </c>
      <c r="E616">
        <v>604.76589156920284</v>
      </c>
      <c r="F616">
        <v>16.432512133644803</v>
      </c>
      <c r="G616">
        <v>328045.47678132687</v>
      </c>
      <c r="H616">
        <v>2886.804786197918</v>
      </c>
      <c r="I616">
        <v>15.321590345077881</v>
      </c>
      <c r="J616">
        <v>303545.0021153597</v>
      </c>
      <c r="K616">
        <v>2282.0388946287153</v>
      </c>
      <c r="L616">
        <v>-1.1109217885669214</v>
      </c>
      <c r="M616">
        <v>-24500.474665967165</v>
      </c>
    </row>
    <row r="617" spans="4:13" x14ac:dyDescent="0.55000000000000004">
      <c r="D617">
        <v>612</v>
      </c>
      <c r="E617">
        <v>519.62091795209005</v>
      </c>
      <c r="F617">
        <v>18.19643607263848</v>
      </c>
      <c r="G617">
        <v>363409.10053481749</v>
      </c>
      <c r="H617">
        <v>2684.0386211675623</v>
      </c>
      <c r="I617">
        <v>17.160360730252073</v>
      </c>
      <c r="J617">
        <v>340523.17598387389</v>
      </c>
      <c r="K617">
        <v>2164.4177032154721</v>
      </c>
      <c r="L617">
        <v>-1.0360753423864075</v>
      </c>
      <c r="M617">
        <v>-22885.9245509436</v>
      </c>
    </row>
    <row r="618" spans="4:13" x14ac:dyDescent="0.55000000000000004">
      <c r="D618">
        <v>613</v>
      </c>
      <c r="E618">
        <v>726.34399243216376</v>
      </c>
      <c r="F618">
        <v>19.326520268969787</v>
      </c>
      <c r="G618">
        <v>385804.06138696359</v>
      </c>
      <c r="H618">
        <v>2807.3615244751568</v>
      </c>
      <c r="I618">
        <v>17.738151596832619</v>
      </c>
      <c r="J618">
        <v>351955.67041217722</v>
      </c>
      <c r="K618">
        <v>2081.017532042993</v>
      </c>
      <c r="L618">
        <v>-1.5883686721371681</v>
      </c>
      <c r="M618">
        <v>-33848.390974786365</v>
      </c>
    </row>
    <row r="619" spans="4:13" x14ac:dyDescent="0.55000000000000004">
      <c r="D619">
        <v>614</v>
      </c>
      <c r="E619">
        <v>548.02816231040822</v>
      </c>
      <c r="F619">
        <v>18.231727653429171</v>
      </c>
      <c r="G619">
        <v>364086.524906273</v>
      </c>
      <c r="H619">
        <v>2877.6754407519752</v>
      </c>
      <c r="I619">
        <v>16.667626914319676</v>
      </c>
      <c r="J619">
        <v>330474.86284564156</v>
      </c>
      <c r="K619">
        <v>2329.6472784415669</v>
      </c>
      <c r="L619">
        <v>-1.5641007391094952</v>
      </c>
      <c r="M619">
        <v>-33611.662060631439</v>
      </c>
    </row>
    <row r="620" spans="4:13" x14ac:dyDescent="0.55000000000000004">
      <c r="D620">
        <v>615</v>
      </c>
      <c r="E620">
        <v>714.09631731208674</v>
      </c>
      <c r="F620">
        <v>21.08568433225166</v>
      </c>
      <c r="G620">
        <v>420999.59032772109</v>
      </c>
      <c r="H620">
        <v>2879.939201823478</v>
      </c>
      <c r="I620">
        <v>19.533709718351439</v>
      </c>
      <c r="J620">
        <v>387794.25516520528</v>
      </c>
      <c r="K620">
        <v>2165.8428845113913</v>
      </c>
      <c r="L620">
        <v>-1.5519746139002208</v>
      </c>
      <c r="M620">
        <v>-33205.33516251581</v>
      </c>
    </row>
    <row r="621" spans="4:13" x14ac:dyDescent="0.55000000000000004">
      <c r="D621">
        <v>616</v>
      </c>
      <c r="E621">
        <v>596.22517439462274</v>
      </c>
      <c r="F621">
        <v>19.018105417859498</v>
      </c>
      <c r="G621">
        <v>379765.88318279537</v>
      </c>
      <c r="H621">
        <v>2677.7772464769118</v>
      </c>
      <c r="I621">
        <v>17.180276706255977</v>
      </c>
      <c r="J621">
        <v>340927.75687864266</v>
      </c>
      <c r="K621">
        <v>2081.5520720822892</v>
      </c>
      <c r="L621">
        <v>-1.837828711603521</v>
      </c>
      <c r="M621">
        <v>-38838.126304152713</v>
      </c>
    </row>
    <row r="622" spans="4:13" x14ac:dyDescent="0.55000000000000004">
      <c r="D622">
        <v>617</v>
      </c>
      <c r="E622">
        <v>1007.8974274914709</v>
      </c>
      <c r="F622">
        <v>19.481515466727362</v>
      </c>
      <c r="G622">
        <v>388622.41190705576</v>
      </c>
      <c r="H622">
        <v>2767.583744198042</v>
      </c>
      <c r="I622">
        <v>18.683332725967166</v>
      </c>
      <c r="J622">
        <v>370899.07077514526</v>
      </c>
      <c r="K622">
        <v>1759.6863167065712</v>
      </c>
      <c r="L622">
        <v>-0.79818274076019691</v>
      </c>
      <c r="M622">
        <v>-17723.341131910507</v>
      </c>
    </row>
    <row r="623" spans="4:13" x14ac:dyDescent="0.55000000000000004">
      <c r="D623">
        <v>618</v>
      </c>
      <c r="E623">
        <v>730.13881165704231</v>
      </c>
      <c r="F623">
        <v>16.989254049005947</v>
      </c>
      <c r="G623">
        <v>339054.94216846192</v>
      </c>
      <c r="H623">
        <v>2980.9496438388496</v>
      </c>
      <c r="I623">
        <v>15.917094701355866</v>
      </c>
      <c r="J623">
        <v>315360.94438327849</v>
      </c>
      <c r="K623">
        <v>2250.8108321818072</v>
      </c>
      <c r="L623">
        <v>-1.0721593476500804</v>
      </c>
      <c r="M623">
        <v>-23693.997785183426</v>
      </c>
    </row>
    <row r="624" spans="4:13" x14ac:dyDescent="0.55000000000000004">
      <c r="D624">
        <v>619</v>
      </c>
      <c r="E624">
        <v>762.7322057616675</v>
      </c>
      <c r="F624">
        <v>20.656069845422078</v>
      </c>
      <c r="G624">
        <v>412358.6647026799</v>
      </c>
      <c r="H624">
        <v>2783.8633401155312</v>
      </c>
      <c r="I624">
        <v>19.008031074059549</v>
      </c>
      <c r="J624">
        <v>377376.75814107544</v>
      </c>
      <c r="K624">
        <v>2021.1311343538637</v>
      </c>
      <c r="L624">
        <v>-1.6480387713625291</v>
      </c>
      <c r="M624">
        <v>-34981.906561604468</v>
      </c>
    </row>
    <row r="625" spans="4:13" x14ac:dyDescent="0.55000000000000004">
      <c r="D625">
        <v>620</v>
      </c>
      <c r="E625">
        <v>712.04723198797831</v>
      </c>
      <c r="F625">
        <v>17.858369533503105</v>
      </c>
      <c r="G625">
        <v>356455.34343807411</v>
      </c>
      <c r="H625">
        <v>2783.2831599994365</v>
      </c>
      <c r="I625">
        <v>16.448250862331385</v>
      </c>
      <c r="J625">
        <v>326181.7340866283</v>
      </c>
      <c r="K625">
        <v>2071.2359280114583</v>
      </c>
      <c r="L625">
        <v>-1.4101186711717197</v>
      </c>
      <c r="M625">
        <v>-30273.609351445804</v>
      </c>
    </row>
    <row r="626" spans="4:13" x14ac:dyDescent="0.55000000000000004">
      <c r="D626">
        <v>621</v>
      </c>
      <c r="E626">
        <v>719.24080585750255</v>
      </c>
      <c r="F626">
        <v>20.507032762444272</v>
      </c>
      <c r="G626">
        <v>409421.41444302793</v>
      </c>
      <c r="H626">
        <v>2833.4640979374531</v>
      </c>
      <c r="I626">
        <v>18.65953494342908</v>
      </c>
      <c r="J626">
        <v>370357.23477064417</v>
      </c>
      <c r="K626">
        <v>2114.2232920799506</v>
      </c>
      <c r="L626">
        <v>-1.8474978190151923</v>
      </c>
      <c r="M626">
        <v>-39064.179672383761</v>
      </c>
    </row>
    <row r="627" spans="4:13" x14ac:dyDescent="0.55000000000000004">
      <c r="D627">
        <v>622</v>
      </c>
      <c r="E627">
        <v>767.37263737840385</v>
      </c>
      <c r="F627">
        <v>18.915319749026207</v>
      </c>
      <c r="G627">
        <v>377539.02234314574</v>
      </c>
      <c r="H627">
        <v>2764.7162362770264</v>
      </c>
      <c r="I627">
        <v>18.242912983995961</v>
      </c>
      <c r="J627">
        <v>362093.54344364221</v>
      </c>
      <c r="K627">
        <v>1997.3435988986225</v>
      </c>
      <c r="L627">
        <v>-0.67240676503024588</v>
      </c>
      <c r="M627">
        <v>-15445.478899503534</v>
      </c>
    </row>
    <row r="628" spans="4:13" x14ac:dyDescent="0.55000000000000004">
      <c r="D628">
        <v>623</v>
      </c>
      <c r="E628">
        <v>700.77694708043816</v>
      </c>
      <c r="F628">
        <v>19.062373538835132</v>
      </c>
      <c r="G628">
        <v>380546.69382962218</v>
      </c>
      <c r="H628">
        <v>2824.7912581761657</v>
      </c>
      <c r="I628">
        <v>17.734604079149364</v>
      </c>
      <c r="J628">
        <v>351867.29032481113</v>
      </c>
      <c r="K628">
        <v>2124.0143110957274</v>
      </c>
      <c r="L628">
        <v>-1.3277694596857685</v>
      </c>
      <c r="M628">
        <v>-28679.403504811053</v>
      </c>
    </row>
    <row r="629" spans="4:13" x14ac:dyDescent="0.55000000000000004">
      <c r="D629">
        <v>624</v>
      </c>
      <c r="E629">
        <v>678.1342965277554</v>
      </c>
      <c r="F629">
        <v>19.690309188176087</v>
      </c>
      <c r="G629">
        <v>393128.04946699395</v>
      </c>
      <c r="H629">
        <v>2931.8152701729041</v>
      </c>
      <c r="I629">
        <v>17.591098519501561</v>
      </c>
      <c r="J629">
        <v>348890.15511985833</v>
      </c>
      <c r="K629">
        <v>2253.6809736451487</v>
      </c>
      <c r="L629">
        <v>-2.0992106686745267</v>
      </c>
      <c r="M629">
        <v>-44237.894347135618</v>
      </c>
    </row>
    <row r="630" spans="4:13" x14ac:dyDescent="0.55000000000000004">
      <c r="D630">
        <v>625</v>
      </c>
      <c r="E630">
        <v>542.53526390318962</v>
      </c>
      <c r="F630">
        <v>21.099434452930932</v>
      </c>
      <c r="G630">
        <v>421446.15379471541</v>
      </c>
      <c r="H630">
        <v>2804.0693668885192</v>
      </c>
      <c r="I630">
        <v>19.359358250269295</v>
      </c>
      <c r="J630">
        <v>384383.09563849744</v>
      </c>
      <c r="K630">
        <v>2261.5341029853298</v>
      </c>
      <c r="L630">
        <v>-1.740076202661637</v>
      </c>
      <c r="M630">
        <v>-37063.058156217972</v>
      </c>
    </row>
    <row r="631" spans="4:13" x14ac:dyDescent="0.55000000000000004">
      <c r="D631">
        <v>626</v>
      </c>
      <c r="E631">
        <v>440.92182152284857</v>
      </c>
      <c r="F631">
        <v>19.708290307340206</v>
      </c>
      <c r="G631">
        <v>393724.88432528125</v>
      </c>
      <c r="H631">
        <v>2689.0400902787455</v>
      </c>
      <c r="I631">
        <v>17.29388574137846</v>
      </c>
      <c r="J631">
        <v>343188.67473729048</v>
      </c>
      <c r="K631">
        <v>2248.1182687558971</v>
      </c>
      <c r="L631">
        <v>-2.4144045659617461</v>
      </c>
      <c r="M631">
        <v>-50536.209587990772</v>
      </c>
    </row>
    <row r="632" spans="4:13" x14ac:dyDescent="0.55000000000000004">
      <c r="D632">
        <v>627</v>
      </c>
      <c r="E632">
        <v>664.2693522537669</v>
      </c>
      <c r="F632">
        <v>16.618026432130979</v>
      </c>
      <c r="G632">
        <v>331696.25929036579</v>
      </c>
      <c r="H632">
        <v>2781.1543916759811</v>
      </c>
      <c r="I632">
        <v>15.34213714799515</v>
      </c>
      <c r="J632">
        <v>304061.58856822702</v>
      </c>
      <c r="K632">
        <v>2116.885039422214</v>
      </c>
      <c r="L632">
        <v>-1.2758892841358289</v>
      </c>
      <c r="M632">
        <v>-27634.670722138777</v>
      </c>
    </row>
    <row r="633" spans="4:13" x14ac:dyDescent="0.55000000000000004">
      <c r="D633">
        <v>628</v>
      </c>
      <c r="E633">
        <v>649.84756352439263</v>
      </c>
      <c r="F633">
        <v>16.503024223162733</v>
      </c>
      <c r="G633">
        <v>329410.63689973025</v>
      </c>
      <c r="H633">
        <v>2826.7215221198967</v>
      </c>
      <c r="I633">
        <v>15.505840394938385</v>
      </c>
      <c r="J633">
        <v>307290.08637664781</v>
      </c>
      <c r="K633">
        <v>2176.8739585955041</v>
      </c>
      <c r="L633">
        <v>-0.99718382822434748</v>
      </c>
      <c r="M633">
        <v>-22120.550523082435</v>
      </c>
    </row>
    <row r="634" spans="4:13" x14ac:dyDescent="0.55000000000000004">
      <c r="D634">
        <v>629</v>
      </c>
      <c r="E634">
        <v>880.32198608297222</v>
      </c>
      <c r="F634">
        <v>19.017203850360364</v>
      </c>
      <c r="G634">
        <v>379463.75502112426</v>
      </c>
      <c r="H634">
        <v>2777.5105264995022</v>
      </c>
      <c r="I634">
        <v>17.314334816112638</v>
      </c>
      <c r="J634">
        <v>343509.18579575326</v>
      </c>
      <c r="K634">
        <v>1897.18854041653</v>
      </c>
      <c r="L634">
        <v>-1.7028690342477262</v>
      </c>
      <c r="M634">
        <v>-35954.569225371</v>
      </c>
    </row>
    <row r="635" spans="4:13" x14ac:dyDescent="0.55000000000000004">
      <c r="D635">
        <v>630</v>
      </c>
      <c r="E635">
        <v>803.36044911667602</v>
      </c>
      <c r="F635">
        <v>18.258081054430075</v>
      </c>
      <c r="G635">
        <v>364358.26063948486</v>
      </c>
      <c r="H635">
        <v>2659.2913798087475</v>
      </c>
      <c r="I635">
        <v>16.021212311418296</v>
      </c>
      <c r="J635">
        <v>317764.95484855719</v>
      </c>
      <c r="K635">
        <v>1855.9309306920713</v>
      </c>
      <c r="L635">
        <v>-2.2368687430117795</v>
      </c>
      <c r="M635">
        <v>-46593.305790927669</v>
      </c>
    </row>
    <row r="636" spans="4:13" x14ac:dyDescent="0.55000000000000004">
      <c r="D636">
        <v>631</v>
      </c>
      <c r="E636">
        <v>502.35335230855981</v>
      </c>
      <c r="F636">
        <v>21.041666854904676</v>
      </c>
      <c r="G636">
        <v>420330.98374578496</v>
      </c>
      <c r="H636">
        <v>2996.8483930646435</v>
      </c>
      <c r="I636">
        <v>17.480846288842873</v>
      </c>
      <c r="J636">
        <v>346620.07738379284</v>
      </c>
      <c r="K636">
        <v>2494.4950407560837</v>
      </c>
      <c r="L636">
        <v>-3.5608205660618033</v>
      </c>
      <c r="M636">
        <v>-73710.906361992122</v>
      </c>
    </row>
    <row r="637" spans="4:13" x14ac:dyDescent="0.55000000000000004">
      <c r="D637">
        <v>632</v>
      </c>
      <c r="E637">
        <v>726.23595441191674</v>
      </c>
      <c r="F637">
        <v>17.615017032416748</v>
      </c>
      <c r="G637">
        <v>351574.10469392303</v>
      </c>
      <c r="H637">
        <v>2662.6789385557813</v>
      </c>
      <c r="I637">
        <v>16.569562620788417</v>
      </c>
      <c r="J637">
        <v>328728.57347721257</v>
      </c>
      <c r="K637">
        <v>1936.4429841438646</v>
      </c>
      <c r="L637">
        <v>-1.0454544116283309</v>
      </c>
      <c r="M637">
        <v>-22845.531216710457</v>
      </c>
    </row>
    <row r="638" spans="4:13" x14ac:dyDescent="0.55000000000000004">
      <c r="D638">
        <v>633</v>
      </c>
      <c r="E638">
        <v>487.21313182640478</v>
      </c>
      <c r="F638">
        <v>19.799162570823654</v>
      </c>
      <c r="G638">
        <v>395496.03828464664</v>
      </c>
      <c r="H638">
        <v>2784.233025976609</v>
      </c>
      <c r="I638">
        <v>17.292562436841003</v>
      </c>
      <c r="J638">
        <v>343067.01571084344</v>
      </c>
      <c r="K638">
        <v>2297.0198941502044</v>
      </c>
      <c r="L638">
        <v>-2.5066001339826514</v>
      </c>
      <c r="M638">
        <v>-52429.022573803202</v>
      </c>
    </row>
    <row r="639" spans="4:13" x14ac:dyDescent="0.55000000000000004">
      <c r="D639">
        <v>634</v>
      </c>
      <c r="E639">
        <v>617.77249141313916</v>
      </c>
      <c r="F639">
        <v>18.251470155482036</v>
      </c>
      <c r="G639">
        <v>364411.63061822759</v>
      </c>
      <c r="H639">
        <v>2855.0430189476251</v>
      </c>
      <c r="I639">
        <v>16.846222873522656</v>
      </c>
      <c r="J639">
        <v>334069.41445150546</v>
      </c>
      <c r="K639">
        <v>2237.2705275344861</v>
      </c>
      <c r="L639">
        <v>-1.4052472819593795</v>
      </c>
      <c r="M639">
        <v>-30342.216166722123</v>
      </c>
    </row>
    <row r="640" spans="4:13" x14ac:dyDescent="0.55000000000000004">
      <c r="D640">
        <v>635</v>
      </c>
      <c r="E640">
        <v>898.78987159840017</v>
      </c>
      <c r="F640">
        <v>17.485723560252982</v>
      </c>
      <c r="G640">
        <v>348815.68133346119</v>
      </c>
      <c r="H640">
        <v>2916.8424406394583</v>
      </c>
      <c r="I640">
        <v>16.579381246567202</v>
      </c>
      <c r="J640">
        <v>328670.78249070462</v>
      </c>
      <c r="K640">
        <v>2018.0525690410582</v>
      </c>
      <c r="L640">
        <v>-0.90634231368578</v>
      </c>
      <c r="M640">
        <v>-20144.898842756578</v>
      </c>
    </row>
    <row r="641" spans="4:13" x14ac:dyDescent="0.55000000000000004">
      <c r="D641">
        <v>636</v>
      </c>
      <c r="E641">
        <v>518.9581210352469</v>
      </c>
      <c r="F641">
        <v>19.278054207142844</v>
      </c>
      <c r="G641">
        <v>385042.12602182163</v>
      </c>
      <c r="H641">
        <v>3061.7894854710776</v>
      </c>
      <c r="I641">
        <v>16.768373699300195</v>
      </c>
      <c r="J641">
        <v>332305.68450053281</v>
      </c>
      <c r="K641">
        <v>2542.8313644358304</v>
      </c>
      <c r="L641">
        <v>-2.5096805078426492</v>
      </c>
      <c r="M641">
        <v>-52736.441521288827</v>
      </c>
    </row>
    <row r="642" spans="4:13" x14ac:dyDescent="0.55000000000000004">
      <c r="D642">
        <v>637</v>
      </c>
      <c r="E642">
        <v>661.06724749233729</v>
      </c>
      <c r="F642">
        <v>18.945739122106069</v>
      </c>
      <c r="G642">
        <v>378253.71519462904</v>
      </c>
      <c r="H642">
        <v>2942.5010039671479</v>
      </c>
      <c r="I642">
        <v>16.985993223704327</v>
      </c>
      <c r="J642">
        <v>336777.36347011942</v>
      </c>
      <c r="K642">
        <v>2281.4337564748107</v>
      </c>
      <c r="L642">
        <v>-1.9597458984017422</v>
      </c>
      <c r="M642">
        <v>-41476.351724509615</v>
      </c>
    </row>
    <row r="643" spans="4:13" x14ac:dyDescent="0.55000000000000004">
      <c r="D643">
        <v>638</v>
      </c>
      <c r="E643">
        <v>801.71801860688902</v>
      </c>
      <c r="F643">
        <v>19.530408313600745</v>
      </c>
      <c r="G643">
        <v>389806.44825340802</v>
      </c>
      <c r="H643">
        <v>2687.2517162777067</v>
      </c>
      <c r="I643">
        <v>17.945646425428325</v>
      </c>
      <c r="J643">
        <v>356225.67679228884</v>
      </c>
      <c r="K643">
        <v>1885.5336976708177</v>
      </c>
      <c r="L643">
        <v>-1.5847618881724195</v>
      </c>
      <c r="M643">
        <v>-33580.771461119177</v>
      </c>
    </row>
    <row r="644" spans="4:13" x14ac:dyDescent="0.55000000000000004">
      <c r="D644">
        <v>639</v>
      </c>
      <c r="E644">
        <v>663.11530304359007</v>
      </c>
      <c r="F644">
        <v>18.657957304000195</v>
      </c>
      <c r="G644">
        <v>372496.03077696037</v>
      </c>
      <c r="H644">
        <v>2825.8879739157178</v>
      </c>
      <c r="I644">
        <v>17.531666844742293</v>
      </c>
      <c r="J644">
        <v>347807.44892093015</v>
      </c>
      <c r="K644">
        <v>2162.7726708721275</v>
      </c>
      <c r="L644">
        <v>-1.1262904592579019</v>
      </c>
      <c r="M644">
        <v>-24688.581856030214</v>
      </c>
    </row>
    <row r="645" spans="4:13" x14ac:dyDescent="0.55000000000000004">
      <c r="D645">
        <v>640</v>
      </c>
      <c r="E645">
        <v>1269.1844433015615</v>
      </c>
      <c r="F645">
        <v>16.294083620212167</v>
      </c>
      <c r="G645">
        <v>324612.48796094174</v>
      </c>
      <c r="H645">
        <v>2722.9224475286273</v>
      </c>
      <c r="I645">
        <v>15.70083034751833</v>
      </c>
      <c r="J645">
        <v>311293.684502838</v>
      </c>
      <c r="K645">
        <v>1453.7380042270659</v>
      </c>
      <c r="L645">
        <v>-0.59325327269383621</v>
      </c>
      <c r="M645">
        <v>-13318.803458103735</v>
      </c>
    </row>
    <row r="646" spans="4:13" x14ac:dyDescent="0.55000000000000004">
      <c r="D646">
        <v>641</v>
      </c>
      <c r="E646">
        <v>546.93913731223597</v>
      </c>
      <c r="F646">
        <v>18.928854267344565</v>
      </c>
      <c r="G646">
        <v>378030.14620957908</v>
      </c>
      <c r="H646">
        <v>2769.8453337642468</v>
      </c>
      <c r="I646">
        <v>17.300191149264283</v>
      </c>
      <c r="J646">
        <v>343233.97765152139</v>
      </c>
      <c r="K646">
        <v>2222.9061964520106</v>
      </c>
      <c r="L646">
        <v>-1.6286631180802829</v>
      </c>
      <c r="M646">
        <v>-34796.168558057689</v>
      </c>
    </row>
    <row r="647" spans="4:13" x14ac:dyDescent="0.55000000000000004">
      <c r="D647">
        <v>642</v>
      </c>
      <c r="E647">
        <v>597.1006268959934</v>
      </c>
      <c r="F647">
        <v>17.101684974977992</v>
      </c>
      <c r="G647">
        <v>341436.5988726638</v>
      </c>
      <c r="H647">
        <v>2932.1922650077036</v>
      </c>
      <c r="I647">
        <v>15.867967773347555</v>
      </c>
      <c r="J647">
        <v>314427.16320194339</v>
      </c>
      <c r="K647">
        <v>2335.0916381117104</v>
      </c>
      <c r="L647">
        <v>-1.2337172016304372</v>
      </c>
      <c r="M647">
        <v>-27009.435670720413</v>
      </c>
    </row>
    <row r="648" spans="4:13" x14ac:dyDescent="0.55000000000000004">
      <c r="D648">
        <v>643</v>
      </c>
      <c r="E648">
        <v>747.0727666019435</v>
      </c>
      <c r="F648">
        <v>18.753064402894079</v>
      </c>
      <c r="G648">
        <v>374314.21529127966</v>
      </c>
      <c r="H648">
        <v>2675.8178010045212</v>
      </c>
      <c r="I648">
        <v>17.374501965214012</v>
      </c>
      <c r="J648">
        <v>344814.22150327574</v>
      </c>
      <c r="K648">
        <v>1928.7450344025779</v>
      </c>
      <c r="L648">
        <v>-1.3785624376800669</v>
      </c>
      <c r="M648">
        <v>-29499.993788003922</v>
      </c>
    </row>
    <row r="649" spans="4:13" x14ac:dyDescent="0.55000000000000004">
      <c r="D649">
        <v>644</v>
      </c>
      <c r="E649">
        <v>720.33034735869035</v>
      </c>
      <c r="F649">
        <v>18.202381408972911</v>
      </c>
      <c r="G649">
        <v>363327.29783209949</v>
      </c>
      <c r="H649">
        <v>2764.2248933391975</v>
      </c>
      <c r="I649">
        <v>16.402971301202069</v>
      </c>
      <c r="J649">
        <v>325295.20113070216</v>
      </c>
      <c r="K649">
        <v>2043.8945459805072</v>
      </c>
      <c r="L649">
        <v>-1.7994101077708429</v>
      </c>
      <c r="M649">
        <v>-38032.096701397328</v>
      </c>
    </row>
    <row r="650" spans="4:13" x14ac:dyDescent="0.55000000000000004">
      <c r="D650">
        <v>645</v>
      </c>
      <c r="E650">
        <v>676.14458316414243</v>
      </c>
      <c r="F650">
        <v>18.401532892167225</v>
      </c>
      <c r="G650">
        <v>367354.51326018036</v>
      </c>
      <c r="H650">
        <v>2848.5536269200979</v>
      </c>
      <c r="I650">
        <v>17.216258742932766</v>
      </c>
      <c r="J650">
        <v>341476.62123173522</v>
      </c>
      <c r="K650">
        <v>2172.4090437559553</v>
      </c>
      <c r="L650">
        <v>-1.1852741492344592</v>
      </c>
      <c r="M650">
        <v>-25877.892028445145</v>
      </c>
    </row>
    <row r="651" spans="4:13" x14ac:dyDescent="0.55000000000000004">
      <c r="D651">
        <v>646</v>
      </c>
      <c r="E651">
        <v>508.14238481316102</v>
      </c>
      <c r="F651">
        <v>15.559780519791769</v>
      </c>
      <c r="G651">
        <v>310687.4680110222</v>
      </c>
      <c r="H651">
        <v>3025.970324124331</v>
      </c>
      <c r="I651">
        <v>14.271361680256527</v>
      </c>
      <c r="J651">
        <v>282401.26328100619</v>
      </c>
      <c r="K651">
        <v>2517.8279393111698</v>
      </c>
      <c r="L651">
        <v>-1.2884188395352414</v>
      </c>
      <c r="M651">
        <v>-28286.204730016005</v>
      </c>
    </row>
    <row r="652" spans="4:13" x14ac:dyDescent="0.55000000000000004">
      <c r="D652">
        <v>647</v>
      </c>
      <c r="E652">
        <v>642.13308562138127</v>
      </c>
      <c r="F652">
        <v>18.079231800294956</v>
      </c>
      <c r="G652">
        <v>360942.50292027771</v>
      </c>
      <c r="H652">
        <v>2636.8935833875375</v>
      </c>
      <c r="I652">
        <v>17.042479848885598</v>
      </c>
      <c r="J652">
        <v>338212.7033943244</v>
      </c>
      <c r="K652">
        <v>1994.7604977661563</v>
      </c>
      <c r="L652">
        <v>-1.0367519514093573</v>
      </c>
      <c r="M652">
        <v>-22729.799525953305</v>
      </c>
    </row>
    <row r="653" spans="4:13" x14ac:dyDescent="0.55000000000000004">
      <c r="D653">
        <v>648</v>
      </c>
      <c r="E653">
        <v>935.83533989459193</v>
      </c>
      <c r="F653">
        <v>16.442116373020195</v>
      </c>
      <c r="G653">
        <v>327906.49212050933</v>
      </c>
      <c r="H653">
        <v>3187.906614075202</v>
      </c>
      <c r="I653">
        <v>15.336566148499465</v>
      </c>
      <c r="J653">
        <v>303543.41635591409</v>
      </c>
      <c r="K653">
        <v>2252.0712741806101</v>
      </c>
      <c r="L653">
        <v>-1.10555022452073</v>
      </c>
      <c r="M653">
        <v>-24363.07576459524</v>
      </c>
    </row>
    <row r="654" spans="4:13" x14ac:dyDescent="0.55000000000000004">
      <c r="D654">
        <v>649</v>
      </c>
      <c r="E654">
        <v>818.7978446686958</v>
      </c>
      <c r="F654">
        <v>18.79210393994321</v>
      </c>
      <c r="G654">
        <v>375023.28095419554</v>
      </c>
      <c r="H654">
        <v>2816.2976542145843</v>
      </c>
      <c r="I654">
        <v>16.792090424543009</v>
      </c>
      <c r="J654">
        <v>333025.51083664555</v>
      </c>
      <c r="K654">
        <v>1997.4998095458886</v>
      </c>
      <c r="L654">
        <v>-2.0000135154002017</v>
      </c>
      <c r="M654">
        <v>-41997.770117549982</v>
      </c>
    </row>
    <row r="655" spans="4:13" x14ac:dyDescent="0.55000000000000004">
      <c r="D655">
        <v>650</v>
      </c>
      <c r="E655">
        <v>640.92569350322015</v>
      </c>
      <c r="F655">
        <v>19.387138563597304</v>
      </c>
      <c r="G655">
        <v>387101.84557844285</v>
      </c>
      <c r="H655">
        <v>2958.5959388197239</v>
      </c>
      <c r="I655">
        <v>17.623926989589883</v>
      </c>
      <c r="J655">
        <v>349519.94385297789</v>
      </c>
      <c r="K655">
        <v>2317.6702453165035</v>
      </c>
      <c r="L655">
        <v>-1.7632115740074212</v>
      </c>
      <c r="M655">
        <v>-37581.901725464966</v>
      </c>
    </row>
    <row r="656" spans="4:13" x14ac:dyDescent="0.55000000000000004">
      <c r="D656">
        <v>651</v>
      </c>
      <c r="E656">
        <v>532.12773448204189</v>
      </c>
      <c r="F656">
        <v>21.497529786154065</v>
      </c>
      <c r="G656">
        <v>429418.46798859921</v>
      </c>
      <c r="H656">
        <v>2723.856828244132</v>
      </c>
      <c r="I656">
        <v>20.148017300661483</v>
      </c>
      <c r="J656">
        <v>400236.48918498552</v>
      </c>
      <c r="K656">
        <v>2191.7290937620901</v>
      </c>
      <c r="L656">
        <v>-1.349512485492582</v>
      </c>
      <c r="M656">
        <v>-29181.978803613689</v>
      </c>
    </row>
    <row r="657" spans="4:13" x14ac:dyDescent="0.55000000000000004">
      <c r="D657">
        <v>652</v>
      </c>
      <c r="E657">
        <v>747.95443754478333</v>
      </c>
      <c r="F657">
        <v>19.358838756770052</v>
      </c>
      <c r="G657">
        <v>386428.82069785625</v>
      </c>
      <c r="H657">
        <v>3057.280157851671</v>
      </c>
      <c r="I657">
        <v>17.716582570016801</v>
      </c>
      <c r="J657">
        <v>351274.37124248431</v>
      </c>
      <c r="K657">
        <v>2309.3257203068879</v>
      </c>
      <c r="L657">
        <v>-1.6422561867532508</v>
      </c>
      <c r="M657">
        <v>-35154.449455371941</v>
      </c>
    </row>
    <row r="658" spans="4:13" x14ac:dyDescent="0.55000000000000004">
      <c r="D658">
        <v>653</v>
      </c>
      <c r="E658">
        <v>441.30891595365256</v>
      </c>
      <c r="F658">
        <v>19.924322198420523</v>
      </c>
      <c r="G658">
        <v>398045.13505245675</v>
      </c>
      <c r="H658">
        <v>2799.653860186706</v>
      </c>
      <c r="I658">
        <v>17.929024797091625</v>
      </c>
      <c r="J658">
        <v>355780.84208164579</v>
      </c>
      <c r="K658">
        <v>2358.3449442330534</v>
      </c>
      <c r="L658">
        <v>-1.995297401328898</v>
      </c>
      <c r="M658">
        <v>-42264.292970810959</v>
      </c>
    </row>
    <row r="659" spans="4:13" x14ac:dyDescent="0.55000000000000004">
      <c r="D659">
        <v>654</v>
      </c>
      <c r="E659">
        <v>789.04029004158349</v>
      </c>
      <c r="F659">
        <v>18.625075250739172</v>
      </c>
      <c r="G659">
        <v>371712.46472474188</v>
      </c>
      <c r="H659">
        <v>2832.464519271688</v>
      </c>
      <c r="I659">
        <v>17.871686564463548</v>
      </c>
      <c r="J659">
        <v>354601.26676999929</v>
      </c>
      <c r="K659">
        <v>2043.4242292301046</v>
      </c>
      <c r="L659">
        <v>-0.75338868627562405</v>
      </c>
      <c r="M659">
        <v>-17111.197954742587</v>
      </c>
    </row>
    <row r="660" spans="4:13" x14ac:dyDescent="0.55000000000000004">
      <c r="D660">
        <v>655</v>
      </c>
      <c r="E660">
        <v>930.99198766393897</v>
      </c>
      <c r="F660">
        <v>15.41440016425627</v>
      </c>
      <c r="G660">
        <v>307357.0112974614</v>
      </c>
      <c r="H660">
        <v>2792.3954352805936</v>
      </c>
      <c r="I660">
        <v>14.643135936329911</v>
      </c>
      <c r="J660">
        <v>290070.32329131762</v>
      </c>
      <c r="K660">
        <v>1861.4034476166546</v>
      </c>
      <c r="L660">
        <v>-0.77126422792635907</v>
      </c>
      <c r="M660">
        <v>-17286.688006143784</v>
      </c>
    </row>
    <row r="661" spans="4:13" x14ac:dyDescent="0.55000000000000004">
      <c r="D661">
        <v>656</v>
      </c>
      <c r="E661">
        <v>699.02300447563891</v>
      </c>
      <c r="F661">
        <v>17.334604424264239</v>
      </c>
      <c r="G661">
        <v>345993.06548080913</v>
      </c>
      <c r="H661">
        <v>2922.2283191573861</v>
      </c>
      <c r="I661">
        <v>15.671286511327834</v>
      </c>
      <c r="J661">
        <v>310503.50190739927</v>
      </c>
      <c r="K661">
        <v>2223.205314681747</v>
      </c>
      <c r="L661">
        <v>-1.6633179129364049</v>
      </c>
      <c r="M661">
        <v>-35489.563573409861</v>
      </c>
    </row>
    <row r="662" spans="4:13" x14ac:dyDescent="0.55000000000000004">
      <c r="D662">
        <v>657</v>
      </c>
      <c r="E662">
        <v>487.19511251471266</v>
      </c>
      <c r="F662">
        <v>17.584266033024875</v>
      </c>
      <c r="G662">
        <v>351198.12554798275</v>
      </c>
      <c r="H662">
        <v>2694.1548217201262</v>
      </c>
      <c r="I662">
        <v>16.216688373151886</v>
      </c>
      <c r="J662">
        <v>321639.6126413176</v>
      </c>
      <c r="K662">
        <v>2206.9597092054137</v>
      </c>
      <c r="L662">
        <v>-1.367577659872989</v>
      </c>
      <c r="M662">
        <v>-29558.512906665157</v>
      </c>
    </row>
    <row r="663" spans="4:13" x14ac:dyDescent="0.55000000000000004">
      <c r="D663">
        <v>658</v>
      </c>
      <c r="E663">
        <v>479.41038279925539</v>
      </c>
      <c r="F663">
        <v>17.292004215820221</v>
      </c>
      <c r="G663">
        <v>345360.67393360514</v>
      </c>
      <c r="H663">
        <v>2645.6732938824571</v>
      </c>
      <c r="I663">
        <v>16.104876574498721</v>
      </c>
      <c r="J663">
        <v>319451.85819609195</v>
      </c>
      <c r="K663">
        <v>2166.2629110832017</v>
      </c>
      <c r="L663">
        <v>-1.1871276413214993</v>
      </c>
      <c r="M663">
        <v>-25908.815737513185</v>
      </c>
    </row>
    <row r="664" spans="4:13" x14ac:dyDescent="0.55000000000000004">
      <c r="D664">
        <v>659</v>
      </c>
      <c r="E664">
        <v>613.88274426363557</v>
      </c>
      <c r="F664">
        <v>20.533989216045086</v>
      </c>
      <c r="G664">
        <v>410065.90157663811</v>
      </c>
      <c r="H664">
        <v>2665.8224684250758</v>
      </c>
      <c r="I664">
        <v>18.673589840732813</v>
      </c>
      <c r="J664">
        <v>370805.97434623115</v>
      </c>
      <c r="K664">
        <v>2051.9397241614402</v>
      </c>
      <c r="L664">
        <v>-1.860399375312273</v>
      </c>
      <c r="M664">
        <v>-39259.92723040696</v>
      </c>
    </row>
    <row r="665" spans="4:13" x14ac:dyDescent="0.55000000000000004">
      <c r="D665">
        <v>660</v>
      </c>
      <c r="E665">
        <v>753.62392684518329</v>
      </c>
      <c r="F665">
        <v>15.309545287940443</v>
      </c>
      <c r="G665">
        <v>305437.28183196363</v>
      </c>
      <c r="H665">
        <v>2704.9614946012325</v>
      </c>
      <c r="I665">
        <v>14.742080545154694</v>
      </c>
      <c r="J665">
        <v>292136.64940849267</v>
      </c>
      <c r="K665">
        <v>1951.3375677560493</v>
      </c>
      <c r="L665">
        <v>-0.56746474278574865</v>
      </c>
      <c r="M665">
        <v>-13300.632423470961</v>
      </c>
    </row>
    <row r="666" spans="4:13" x14ac:dyDescent="0.55000000000000004">
      <c r="D666">
        <v>661</v>
      </c>
      <c r="E666">
        <v>555.15182388856999</v>
      </c>
      <c r="F666">
        <v>18.801289073065796</v>
      </c>
      <c r="G666">
        <v>375470.62963742734</v>
      </c>
      <c r="H666">
        <v>2688.6964298577832</v>
      </c>
      <c r="I666">
        <v>17.671990319596894</v>
      </c>
      <c r="J666">
        <v>350751.10996208008</v>
      </c>
      <c r="K666">
        <v>2133.5446059692131</v>
      </c>
      <c r="L666">
        <v>-1.1292987534689019</v>
      </c>
      <c r="M666">
        <v>-24719.519675347256</v>
      </c>
    </row>
    <row r="667" spans="4:13" x14ac:dyDescent="0.55000000000000004">
      <c r="D667">
        <v>662</v>
      </c>
      <c r="E667">
        <v>531.50688024529722</v>
      </c>
      <c r="F667">
        <v>17.665300685374262</v>
      </c>
      <c r="G667">
        <v>352774.50682723994</v>
      </c>
      <c r="H667">
        <v>2685.0484830816445</v>
      </c>
      <c r="I667">
        <v>16.772900020010319</v>
      </c>
      <c r="J667">
        <v>332772.95191712474</v>
      </c>
      <c r="K667">
        <v>2153.541602836347</v>
      </c>
      <c r="L667">
        <v>-0.8924006653639438</v>
      </c>
      <c r="M667">
        <v>-20001.554910115199</v>
      </c>
    </row>
    <row r="668" spans="4:13" x14ac:dyDescent="0.55000000000000004">
      <c r="D668">
        <v>663</v>
      </c>
      <c r="E668">
        <v>876.41088602594573</v>
      </c>
      <c r="F668">
        <v>19.051524124990816</v>
      </c>
      <c r="G668">
        <v>380154.07161379041</v>
      </c>
      <c r="H668">
        <v>2800.900993948108</v>
      </c>
      <c r="I668">
        <v>17.882978771907229</v>
      </c>
      <c r="J668">
        <v>354858.67444419645</v>
      </c>
      <c r="K668">
        <v>1924.4901079221622</v>
      </c>
      <c r="L668">
        <v>-1.1685453530835872</v>
      </c>
      <c r="M668">
        <v>-25295.397169593954</v>
      </c>
    </row>
    <row r="669" spans="4:13" x14ac:dyDescent="0.55000000000000004">
      <c r="D669">
        <v>664</v>
      </c>
      <c r="E669">
        <v>624.71665827924505</v>
      </c>
      <c r="F669">
        <v>21.676108065303126</v>
      </c>
      <c r="G669">
        <v>432897.4446477833</v>
      </c>
      <c r="H669">
        <v>2658.3916210530765</v>
      </c>
      <c r="I669">
        <v>20.332905274227517</v>
      </c>
      <c r="J669">
        <v>403999.71386349725</v>
      </c>
      <c r="K669">
        <v>2033.6749627738313</v>
      </c>
      <c r="L669">
        <v>-1.3432027910756084</v>
      </c>
      <c r="M669">
        <v>-28897.730784286046</v>
      </c>
    </row>
    <row r="670" spans="4:13" x14ac:dyDescent="0.55000000000000004">
      <c r="D670">
        <v>665</v>
      </c>
      <c r="E670">
        <v>852.34621219929818</v>
      </c>
      <c r="F670">
        <v>20.360019182045498</v>
      </c>
      <c r="G670">
        <v>406348.03742871067</v>
      </c>
      <c r="H670">
        <v>2625.3069187390802</v>
      </c>
      <c r="I670">
        <v>19.701021593862947</v>
      </c>
      <c r="J670">
        <v>391395.12495851982</v>
      </c>
      <c r="K670">
        <v>1772.960706539782</v>
      </c>
      <c r="L670">
        <v>-0.65899758818255094</v>
      </c>
      <c r="M670">
        <v>-14952.912470190844</v>
      </c>
    </row>
    <row r="671" spans="4:13" x14ac:dyDescent="0.55000000000000004">
      <c r="D671">
        <v>666</v>
      </c>
      <c r="E671">
        <v>797.72915801127738</v>
      </c>
      <c r="F671">
        <v>20.756766950808814</v>
      </c>
      <c r="G671">
        <v>414337.60985816503</v>
      </c>
      <c r="H671">
        <v>2636.3899650316957</v>
      </c>
      <c r="I671">
        <v>19.372549454518783</v>
      </c>
      <c r="J671">
        <v>384814.59912534396</v>
      </c>
      <c r="K671">
        <v>1838.6608070204184</v>
      </c>
      <c r="L671">
        <v>-1.3842174962900309</v>
      </c>
      <c r="M671">
        <v>-29523.010732821072</v>
      </c>
    </row>
    <row r="672" spans="4:13" x14ac:dyDescent="0.55000000000000004">
      <c r="D672">
        <v>667</v>
      </c>
      <c r="E672">
        <v>457.33617643254024</v>
      </c>
      <c r="F672">
        <v>19.038262389887535</v>
      </c>
      <c r="G672">
        <v>380307.91162131814</v>
      </c>
      <c r="H672">
        <v>2745.4421666409426</v>
      </c>
      <c r="I672">
        <v>17.57046953284204</v>
      </c>
      <c r="J672">
        <v>348663.94849019987</v>
      </c>
      <c r="K672">
        <v>2288.1059902084025</v>
      </c>
      <c r="L672">
        <v>-1.4677928570454952</v>
      </c>
      <c r="M672">
        <v>-31643.963131118275</v>
      </c>
    </row>
    <row r="673" spans="4:13" x14ac:dyDescent="0.55000000000000004">
      <c r="D673">
        <v>668</v>
      </c>
      <c r="E673">
        <v>618.1856546357875</v>
      </c>
      <c r="F673">
        <v>20.452074423594944</v>
      </c>
      <c r="G673">
        <v>408423.30281726312</v>
      </c>
      <c r="H673">
        <v>2662.0475656611957</v>
      </c>
      <c r="I673">
        <v>18.799496769808353</v>
      </c>
      <c r="J673">
        <v>373327.88783050585</v>
      </c>
      <c r="K673">
        <v>2043.8619110254081</v>
      </c>
      <c r="L673">
        <v>-1.6525776537865902</v>
      </c>
      <c r="M673">
        <v>-35095.414986757271</v>
      </c>
    </row>
    <row r="674" spans="4:13" x14ac:dyDescent="0.55000000000000004">
      <c r="D674">
        <v>669</v>
      </c>
      <c r="E674">
        <v>804.61040102896175</v>
      </c>
      <c r="F674">
        <v>18.308317996691688</v>
      </c>
      <c r="G674">
        <v>365361.74953280482</v>
      </c>
      <c r="H674">
        <v>2733.0863818533312</v>
      </c>
      <c r="I674">
        <v>17.013881219757291</v>
      </c>
      <c r="J674">
        <v>337544.53801329248</v>
      </c>
      <c r="K674">
        <v>1928.4759808243693</v>
      </c>
      <c r="L674">
        <v>-1.294436776934397</v>
      </c>
      <c r="M674">
        <v>-27817.211519512348</v>
      </c>
    </row>
    <row r="675" spans="4:13" x14ac:dyDescent="0.55000000000000004">
      <c r="D675">
        <v>670</v>
      </c>
      <c r="E675">
        <v>862.11598261470715</v>
      </c>
      <c r="F675">
        <v>17.064899186420771</v>
      </c>
      <c r="G675">
        <v>340435.8677458007</v>
      </c>
      <c r="H675">
        <v>2639.2067909844236</v>
      </c>
      <c r="I675">
        <v>16.817378230020932</v>
      </c>
      <c r="J675">
        <v>333708.35780943418</v>
      </c>
      <c r="K675">
        <v>1777.0908083697163</v>
      </c>
      <c r="L675">
        <v>-0.24752095639983906</v>
      </c>
      <c r="M675">
        <v>-6727.5099363665213</v>
      </c>
    </row>
    <row r="676" spans="4:13" x14ac:dyDescent="0.55000000000000004">
      <c r="D676">
        <v>671</v>
      </c>
      <c r="E676">
        <v>743.89079003733298</v>
      </c>
      <c r="F676">
        <v>17.591311475515958</v>
      </c>
      <c r="G676">
        <v>351082.33872028184</v>
      </c>
      <c r="H676">
        <v>2897.7296744924424</v>
      </c>
      <c r="I676">
        <v>15.855804733565869</v>
      </c>
      <c r="J676">
        <v>314218.36499682494</v>
      </c>
      <c r="K676">
        <v>2153.8388844551096</v>
      </c>
      <c r="L676">
        <v>-1.7355067419500898</v>
      </c>
      <c r="M676">
        <v>-36863.973723456904</v>
      </c>
    </row>
    <row r="677" spans="4:13" x14ac:dyDescent="0.55000000000000004">
      <c r="D677">
        <v>672</v>
      </c>
      <c r="E677">
        <v>480.95477335571888</v>
      </c>
      <c r="F677">
        <v>18.757464303343049</v>
      </c>
      <c r="G677">
        <v>374668.33129350527</v>
      </c>
      <c r="H677">
        <v>2768.5616614499081</v>
      </c>
      <c r="I677">
        <v>17.555888211970164</v>
      </c>
      <c r="J677">
        <v>348349.20257795334</v>
      </c>
      <c r="K677">
        <v>2287.6068880941893</v>
      </c>
      <c r="L677">
        <v>-1.2015760913728855</v>
      </c>
      <c r="M677">
        <v>-26319.128715551924</v>
      </c>
    </row>
    <row r="678" spans="4:13" x14ac:dyDescent="0.55000000000000004">
      <c r="D678">
        <v>673</v>
      </c>
      <c r="E678">
        <v>602.72591236010408</v>
      </c>
      <c r="F678">
        <v>17.276621370990988</v>
      </c>
      <c r="G678">
        <v>344929.70150745963</v>
      </c>
      <c r="H678">
        <v>2774.8554940029121</v>
      </c>
      <c r="I678">
        <v>15.860579003489162</v>
      </c>
      <c r="J678">
        <v>314436.72457578033</v>
      </c>
      <c r="K678">
        <v>2172.1295816428083</v>
      </c>
      <c r="L678">
        <v>-1.4160423675018254</v>
      </c>
      <c r="M678">
        <v>-30492.976931679295</v>
      </c>
    </row>
    <row r="679" spans="4:13" x14ac:dyDescent="0.55000000000000004">
      <c r="D679">
        <v>674</v>
      </c>
      <c r="E679">
        <v>780.33053990069243</v>
      </c>
      <c r="F679">
        <v>18.500487981824772</v>
      </c>
      <c r="G679">
        <v>369229.42909659474</v>
      </c>
      <c r="H679">
        <v>2875.288488460707</v>
      </c>
      <c r="I679">
        <v>17.125804207437877</v>
      </c>
      <c r="J679">
        <v>339640.79566029686</v>
      </c>
      <c r="K679">
        <v>2094.9579485600143</v>
      </c>
      <c r="L679">
        <v>-1.3746837743868952</v>
      </c>
      <c r="M679">
        <v>-29588.633436297881</v>
      </c>
    </row>
    <row r="680" spans="4:13" x14ac:dyDescent="0.55000000000000004">
      <c r="D680">
        <v>675</v>
      </c>
      <c r="E680">
        <v>767.53726183248716</v>
      </c>
      <c r="F680">
        <v>14.574069191484249</v>
      </c>
      <c r="G680">
        <v>290713.84656785248</v>
      </c>
      <c r="H680">
        <v>2687.0869372931325</v>
      </c>
      <c r="I680">
        <v>13.960634262221035</v>
      </c>
      <c r="J680">
        <v>276525.5983071276</v>
      </c>
      <c r="K680">
        <v>1919.5496754606452</v>
      </c>
      <c r="L680">
        <v>-0.61343492926321375</v>
      </c>
      <c r="M680">
        <v>-14188.248260724882</v>
      </c>
    </row>
    <row r="681" spans="4:13" x14ac:dyDescent="0.55000000000000004">
      <c r="D681">
        <v>676</v>
      </c>
      <c r="E681">
        <v>518.22078518146952</v>
      </c>
      <c r="F681">
        <v>19.659098394325976</v>
      </c>
      <c r="G681">
        <v>392663.74710133806</v>
      </c>
      <c r="H681">
        <v>2814.5182952604</v>
      </c>
      <c r="I681">
        <v>17.882684125225285</v>
      </c>
      <c r="J681">
        <v>354839.16420924535</v>
      </c>
      <c r="K681">
        <v>2296.2975100789304</v>
      </c>
      <c r="L681">
        <v>-1.776414269100691</v>
      </c>
      <c r="M681">
        <v>-37824.582892092702</v>
      </c>
    </row>
    <row r="682" spans="4:13" x14ac:dyDescent="0.55000000000000004">
      <c r="D682">
        <v>677</v>
      </c>
      <c r="E682">
        <v>905.36044098981495</v>
      </c>
      <c r="F682">
        <v>21.259924241785654</v>
      </c>
      <c r="G682">
        <v>424293.12439472327</v>
      </c>
      <c r="H682">
        <v>2871.5597137190471</v>
      </c>
      <c r="I682">
        <v>19.531088030401403</v>
      </c>
      <c r="J682">
        <v>387750.20089430897</v>
      </c>
      <c r="K682">
        <v>1966.1992727292322</v>
      </c>
      <c r="L682">
        <v>-1.7288362113842517</v>
      </c>
      <c r="M682">
        <v>-36542.923500414297</v>
      </c>
    </row>
    <row r="683" spans="4:13" x14ac:dyDescent="0.55000000000000004">
      <c r="D683">
        <v>678</v>
      </c>
      <c r="E683">
        <v>925.46187768351126</v>
      </c>
      <c r="F683">
        <v>18.098714491599846</v>
      </c>
      <c r="G683">
        <v>361048.82795431343</v>
      </c>
      <c r="H683">
        <v>2923.3642647179804</v>
      </c>
      <c r="I683">
        <v>17.013775551498082</v>
      </c>
      <c r="J683">
        <v>337352.14676524367</v>
      </c>
      <c r="K683">
        <v>1997.902387034469</v>
      </c>
      <c r="L683">
        <v>-1.0849389401017646</v>
      </c>
      <c r="M683">
        <v>-23696.681189069757</v>
      </c>
    </row>
    <row r="684" spans="4:13" x14ac:dyDescent="0.55000000000000004">
      <c r="D684">
        <v>679</v>
      </c>
      <c r="E684">
        <v>577.29417441771875</v>
      </c>
      <c r="F684">
        <v>19.866699722448281</v>
      </c>
      <c r="G684">
        <v>396756.70027454791</v>
      </c>
      <c r="H684">
        <v>2946.0733719722457</v>
      </c>
      <c r="I684">
        <v>18.274130386326704</v>
      </c>
      <c r="J684">
        <v>362536.53435456182</v>
      </c>
      <c r="K684">
        <v>2368.7791975545269</v>
      </c>
      <c r="L684">
        <v>-1.5925693361215778</v>
      </c>
      <c r="M684">
        <v>-34220.165919986088</v>
      </c>
    </row>
    <row r="685" spans="4:13" x14ac:dyDescent="0.55000000000000004">
      <c r="D685">
        <v>680</v>
      </c>
      <c r="E685">
        <v>373.39575446789519</v>
      </c>
      <c r="F685">
        <v>19.660847237417876</v>
      </c>
      <c r="G685">
        <v>392843.54899388965</v>
      </c>
      <c r="H685">
        <v>2813.347241492248</v>
      </c>
      <c r="I685">
        <v>17.841689501536635</v>
      </c>
      <c r="J685">
        <v>354020.44278924045</v>
      </c>
      <c r="K685">
        <v>2439.9514870243529</v>
      </c>
      <c r="L685">
        <v>-1.819157735881241</v>
      </c>
      <c r="M685">
        <v>-38823.106204649201</v>
      </c>
    </row>
    <row r="686" spans="4:13" x14ac:dyDescent="0.55000000000000004">
      <c r="D686">
        <v>681</v>
      </c>
      <c r="E686">
        <v>385.08952674941861</v>
      </c>
      <c r="F686">
        <v>20.549043434009892</v>
      </c>
      <c r="G686">
        <v>410595.77915344847</v>
      </c>
      <c r="H686">
        <v>2683.408127275779</v>
      </c>
      <c r="I686">
        <v>19.186088812122414</v>
      </c>
      <c r="J686">
        <v>381038.36811517249</v>
      </c>
      <c r="K686">
        <v>2298.3186005263606</v>
      </c>
      <c r="L686">
        <v>-1.3629546218874786</v>
      </c>
      <c r="M686">
        <v>-29557.411038275983</v>
      </c>
    </row>
    <row r="687" spans="4:13" x14ac:dyDescent="0.55000000000000004">
      <c r="D687">
        <v>682</v>
      </c>
      <c r="E687">
        <v>722.12458192699785</v>
      </c>
      <c r="F687">
        <v>17.483628102011242</v>
      </c>
      <c r="G687">
        <v>348950.43745829782</v>
      </c>
      <c r="H687">
        <v>2715.7482283732215</v>
      </c>
      <c r="I687">
        <v>16.827978897343016</v>
      </c>
      <c r="J687">
        <v>333843.8297184871</v>
      </c>
      <c r="K687">
        <v>1993.6236464462236</v>
      </c>
      <c r="L687">
        <v>-0.65564920466822585</v>
      </c>
      <c r="M687">
        <v>-15106.607739810715</v>
      </c>
    </row>
    <row r="688" spans="4:13" x14ac:dyDescent="0.55000000000000004">
      <c r="D688">
        <v>683</v>
      </c>
      <c r="E688">
        <v>517.56803117035395</v>
      </c>
      <c r="F688">
        <v>17.374178933971653</v>
      </c>
      <c r="G688">
        <v>346966.01064826269</v>
      </c>
      <c r="H688">
        <v>2744.8734691702757</v>
      </c>
      <c r="I688">
        <v>15.191269521169668</v>
      </c>
      <c r="J688">
        <v>301080.51695422304</v>
      </c>
      <c r="K688">
        <v>2227.3054379999217</v>
      </c>
      <c r="L688">
        <v>-2.182909412801985</v>
      </c>
      <c r="M688">
        <v>-45885.493694039644</v>
      </c>
    </row>
    <row r="689" spans="4:13" x14ac:dyDescent="0.55000000000000004">
      <c r="D689">
        <v>684</v>
      </c>
      <c r="E689">
        <v>847.19197567419883</v>
      </c>
      <c r="F689">
        <v>18.260118680184259</v>
      </c>
      <c r="G689">
        <v>364355.18162801099</v>
      </c>
      <c r="H689">
        <v>2770.5710692521393</v>
      </c>
      <c r="I689">
        <v>16.610317446607542</v>
      </c>
      <c r="J689">
        <v>329435.77786289871</v>
      </c>
      <c r="K689">
        <v>1923.3790935779405</v>
      </c>
      <c r="L689">
        <v>-1.6498012335767172</v>
      </c>
      <c r="M689">
        <v>-34919.403765112278</v>
      </c>
    </row>
    <row r="690" spans="4:13" x14ac:dyDescent="0.55000000000000004">
      <c r="D690">
        <v>685</v>
      </c>
      <c r="E690">
        <v>534.05761377802253</v>
      </c>
      <c r="F690">
        <v>18.150987239446071</v>
      </c>
      <c r="G690">
        <v>362485.68717514339</v>
      </c>
      <c r="H690">
        <v>2701.3875092524504</v>
      </c>
      <c r="I690">
        <v>16.96744404419017</v>
      </c>
      <c r="J690">
        <v>336647.49337455095</v>
      </c>
      <c r="K690">
        <v>2167.3298954744278</v>
      </c>
      <c r="L690">
        <v>-1.1835431952559006</v>
      </c>
      <c r="M690">
        <v>-25838.193800592446</v>
      </c>
    </row>
    <row r="691" spans="4:13" x14ac:dyDescent="0.55000000000000004">
      <c r="D691">
        <v>686</v>
      </c>
      <c r="E691">
        <v>660.64697862302785</v>
      </c>
      <c r="F691">
        <v>17.680649728144353</v>
      </c>
      <c r="G691">
        <v>352952.34758426406</v>
      </c>
      <c r="H691">
        <v>2693.3688400629385</v>
      </c>
      <c r="I691">
        <v>15.891537009993094</v>
      </c>
      <c r="J691">
        <v>315137.37135979894</v>
      </c>
      <c r="K691">
        <v>2032.7218614399108</v>
      </c>
      <c r="L691">
        <v>-1.7891127181512587</v>
      </c>
      <c r="M691">
        <v>-37814.976224465121</v>
      </c>
    </row>
    <row r="692" spans="4:13" x14ac:dyDescent="0.55000000000000004">
      <c r="D692">
        <v>687</v>
      </c>
      <c r="E692">
        <v>599.66699056947709</v>
      </c>
      <c r="F692">
        <v>17.618162796980805</v>
      </c>
      <c r="G692">
        <v>351763.58894904662</v>
      </c>
      <c r="H692">
        <v>2621.1925853530734</v>
      </c>
      <c r="I692">
        <v>16.9007459362631</v>
      </c>
      <c r="J692">
        <v>335393.72613990889</v>
      </c>
      <c r="K692">
        <v>2021.5255947835963</v>
      </c>
      <c r="L692">
        <v>-0.71741686071770516</v>
      </c>
      <c r="M692">
        <v>-16369.862809137732</v>
      </c>
    </row>
    <row r="693" spans="4:13" x14ac:dyDescent="0.55000000000000004">
      <c r="D693">
        <v>688</v>
      </c>
      <c r="E693">
        <v>750.54237339107601</v>
      </c>
      <c r="F693">
        <v>20.16766362308293</v>
      </c>
      <c r="G693">
        <v>402602.73008826748</v>
      </c>
      <c r="H693">
        <v>2883.3915254424951</v>
      </c>
      <c r="I693">
        <v>18.103041785269543</v>
      </c>
      <c r="J693">
        <v>359177.44417994836</v>
      </c>
      <c r="K693">
        <v>2132.849152051419</v>
      </c>
      <c r="L693">
        <v>-2.0646218378133874</v>
      </c>
      <c r="M693">
        <v>-43425.285908319114</v>
      </c>
    </row>
    <row r="694" spans="4:13" x14ac:dyDescent="0.55000000000000004">
      <c r="D694">
        <v>689</v>
      </c>
      <c r="E694">
        <v>869.08323488298788</v>
      </c>
      <c r="F694">
        <v>17.935754005434259</v>
      </c>
      <c r="G694">
        <v>357845.99687380221</v>
      </c>
      <c r="H694">
        <v>2624.633626000234</v>
      </c>
      <c r="I694">
        <v>17.258061146321978</v>
      </c>
      <c r="J694">
        <v>342536.58930043929</v>
      </c>
      <c r="K694">
        <v>1755.5503911172461</v>
      </c>
      <c r="L694">
        <v>-0.67769285911228039</v>
      </c>
      <c r="M694">
        <v>-15309.407573362929</v>
      </c>
    </row>
    <row r="695" spans="4:13" x14ac:dyDescent="0.55000000000000004">
      <c r="D695">
        <v>690</v>
      </c>
      <c r="E695">
        <v>886.15370287320468</v>
      </c>
      <c r="F695">
        <v>21.436579703661462</v>
      </c>
      <c r="G695">
        <v>427845.44037035602</v>
      </c>
      <c r="H695">
        <v>2750.8151276708645</v>
      </c>
      <c r="I695">
        <v>19.221689130047999</v>
      </c>
      <c r="J695">
        <v>381682.96747328911</v>
      </c>
      <c r="K695">
        <v>1864.6614247976599</v>
      </c>
      <c r="L695">
        <v>-2.214890573613463</v>
      </c>
      <c r="M695">
        <v>-46162.472897066909</v>
      </c>
    </row>
    <row r="696" spans="4:13" x14ac:dyDescent="0.55000000000000004">
      <c r="D696">
        <v>691</v>
      </c>
      <c r="E696">
        <v>628.33958049156536</v>
      </c>
      <c r="F696">
        <v>15.517686124261747</v>
      </c>
      <c r="G696">
        <v>309725.38290474337</v>
      </c>
      <c r="H696">
        <v>2710.7036085131649</v>
      </c>
      <c r="I696">
        <v>14.747714693979782</v>
      </c>
      <c r="J696">
        <v>292243.59027108247</v>
      </c>
      <c r="K696">
        <v>2082.3640280215996</v>
      </c>
      <c r="L696">
        <v>-0.76997143028196469</v>
      </c>
      <c r="M696">
        <v>-17481.792633660894</v>
      </c>
    </row>
    <row r="697" spans="4:13" x14ac:dyDescent="0.55000000000000004">
      <c r="D697">
        <v>692</v>
      </c>
      <c r="E697">
        <v>428.84662326544532</v>
      </c>
      <c r="F697">
        <v>18.133743251087164</v>
      </c>
      <c r="G697">
        <v>362246.01839847787</v>
      </c>
      <c r="H697">
        <v>2715.4028013637112</v>
      </c>
      <c r="I697">
        <v>16.695401784924243</v>
      </c>
      <c r="J697">
        <v>331192.63289712113</v>
      </c>
      <c r="K697">
        <v>2286.5561780982657</v>
      </c>
      <c r="L697">
        <v>-1.438341466162921</v>
      </c>
      <c r="M697">
        <v>-31053.385501356737</v>
      </c>
    </row>
    <row r="698" spans="4:13" x14ac:dyDescent="0.55000000000000004">
      <c r="D698">
        <v>693</v>
      </c>
      <c r="E698">
        <v>765.64496254415246</v>
      </c>
      <c r="F698">
        <v>20.801902205419211</v>
      </c>
      <c r="G698">
        <v>415272.39914584009</v>
      </c>
      <c r="H698">
        <v>2673.6536016406335</v>
      </c>
      <c r="I698">
        <v>19.944043856460429</v>
      </c>
      <c r="J698">
        <v>396207.22352756793</v>
      </c>
      <c r="K698">
        <v>1908.0086390964811</v>
      </c>
      <c r="L698">
        <v>-0.8578583489587821</v>
      </c>
      <c r="M698">
        <v>-19065.175618272158</v>
      </c>
    </row>
    <row r="699" spans="4:13" x14ac:dyDescent="0.55000000000000004">
      <c r="D699">
        <v>694</v>
      </c>
      <c r="E699">
        <v>656.09539032069063</v>
      </c>
      <c r="F699">
        <v>18.537431028063221</v>
      </c>
      <c r="G699">
        <v>370092.5251709437</v>
      </c>
      <c r="H699">
        <v>2775.2046035577428</v>
      </c>
      <c r="I699">
        <v>17.419665842345076</v>
      </c>
      <c r="J699">
        <v>345618.11224334373</v>
      </c>
      <c r="K699">
        <v>2119.1092132370522</v>
      </c>
      <c r="L699">
        <v>-1.1177651857181452</v>
      </c>
      <c r="M699">
        <v>-24474.412927599973</v>
      </c>
    </row>
    <row r="700" spans="4:13" x14ac:dyDescent="0.55000000000000004">
      <c r="D700">
        <v>695</v>
      </c>
      <c r="E700">
        <v>817.74237043622475</v>
      </c>
      <c r="F700">
        <v>21.442770288388253</v>
      </c>
      <c r="G700">
        <v>428037.66339732887</v>
      </c>
      <c r="H700">
        <v>2670.7703424551551</v>
      </c>
      <c r="I700">
        <v>19.970460535296176</v>
      </c>
      <c r="J700">
        <v>396738.44036346837</v>
      </c>
      <c r="K700">
        <v>1853.0279720189303</v>
      </c>
      <c r="L700">
        <v>-1.4723097530920768</v>
      </c>
      <c r="M700">
        <v>-31299.2230338605</v>
      </c>
    </row>
    <row r="701" spans="4:13" x14ac:dyDescent="0.55000000000000004">
      <c r="D701">
        <v>696</v>
      </c>
      <c r="E701">
        <v>880.91559833180315</v>
      </c>
      <c r="F701">
        <v>19.678797594207072</v>
      </c>
      <c r="G701">
        <v>392695.03628580965</v>
      </c>
      <c r="H701">
        <v>2682.5792063334875</v>
      </c>
      <c r="I701">
        <v>16.423137218325298</v>
      </c>
      <c r="J701">
        <v>325780.16516017244</v>
      </c>
      <c r="K701">
        <v>1801.6636080016842</v>
      </c>
      <c r="L701">
        <v>-3.2556603758817744</v>
      </c>
      <c r="M701">
        <v>-66914.871125637204</v>
      </c>
    </row>
    <row r="702" spans="4:13" x14ac:dyDescent="0.55000000000000004">
      <c r="D702">
        <v>697</v>
      </c>
      <c r="E702">
        <v>643.85724287955202</v>
      </c>
      <c r="F702">
        <v>20.463176130960132</v>
      </c>
      <c r="G702">
        <v>408619.6653763231</v>
      </c>
      <c r="H702">
        <v>2672.7402485276862</v>
      </c>
      <c r="I702">
        <v>18.783139854577652</v>
      </c>
      <c r="J702">
        <v>372990.05684302538</v>
      </c>
      <c r="K702">
        <v>2028.8830056481343</v>
      </c>
      <c r="L702">
        <v>-1.6800362763824808</v>
      </c>
      <c r="M702">
        <v>-35629.608533297724</v>
      </c>
    </row>
    <row r="703" spans="4:13" x14ac:dyDescent="0.55000000000000004">
      <c r="D703">
        <v>698</v>
      </c>
      <c r="E703">
        <v>845.03955316847657</v>
      </c>
      <c r="F703">
        <v>20.031594516660739</v>
      </c>
      <c r="G703">
        <v>399786.85078004631</v>
      </c>
      <c r="H703">
        <v>2809.5040773833962</v>
      </c>
      <c r="I703">
        <v>18.370281359084608</v>
      </c>
      <c r="J703">
        <v>364596.12310430879</v>
      </c>
      <c r="K703">
        <v>1964.4645242149195</v>
      </c>
      <c r="L703">
        <v>-1.6613131575761315</v>
      </c>
      <c r="M703">
        <v>-35190.727675737522</v>
      </c>
    </row>
    <row r="704" spans="4:13" x14ac:dyDescent="0.55000000000000004">
      <c r="D704">
        <v>699</v>
      </c>
      <c r="E704">
        <v>357.88139268852382</v>
      </c>
      <c r="F704">
        <v>20.103148987928531</v>
      </c>
      <c r="G704">
        <v>401705.09836588206</v>
      </c>
      <c r="H704">
        <v>2644.2676674747631</v>
      </c>
      <c r="I704">
        <v>18.427640457041804</v>
      </c>
      <c r="J704">
        <v>365908.54147336131</v>
      </c>
      <c r="K704">
        <v>2286.3862747862395</v>
      </c>
      <c r="L704">
        <v>-1.6755085308867272</v>
      </c>
      <c r="M704">
        <v>-35796.556892520748</v>
      </c>
    </row>
    <row r="705" spans="4:13" x14ac:dyDescent="0.55000000000000004">
      <c r="D705">
        <v>700</v>
      </c>
      <c r="E705">
        <v>415.53175523419895</v>
      </c>
      <c r="F705">
        <v>17.350331468593271</v>
      </c>
      <c r="G705">
        <v>346591.09761663125</v>
      </c>
      <c r="H705">
        <v>2612.3545189615497</v>
      </c>
      <c r="I705">
        <v>16.476427324608444</v>
      </c>
      <c r="J705">
        <v>326916.19197320734</v>
      </c>
      <c r="K705">
        <v>2196.8227637273508</v>
      </c>
      <c r="L705">
        <v>-0.87390414398482719</v>
      </c>
      <c r="M705">
        <v>-19674.905643423903</v>
      </c>
    </row>
    <row r="706" spans="4:13" x14ac:dyDescent="0.55000000000000004">
      <c r="D706">
        <v>701</v>
      </c>
      <c r="E706">
        <v>585.24443421057367</v>
      </c>
      <c r="F706">
        <v>17.369313824061809</v>
      </c>
      <c r="G706">
        <v>346801.03204702557</v>
      </c>
      <c r="H706">
        <v>2812.3584862281123</v>
      </c>
      <c r="I706">
        <v>15.227565440428183</v>
      </c>
      <c r="J706">
        <v>301738.95032233559</v>
      </c>
      <c r="K706">
        <v>2227.1140520175386</v>
      </c>
      <c r="L706">
        <v>-2.141748383633626</v>
      </c>
      <c r="M706">
        <v>-45062.081724689982</v>
      </c>
    </row>
    <row r="707" spans="4:13" x14ac:dyDescent="0.55000000000000004">
      <c r="D707">
        <v>702</v>
      </c>
      <c r="E707">
        <v>723.74753857395649</v>
      </c>
      <c r="F707">
        <v>17.515247401133319</v>
      </c>
      <c r="G707">
        <v>349581.20048409241</v>
      </c>
      <c r="H707">
        <v>2738.4984604168649</v>
      </c>
      <c r="I707">
        <v>16.190797060140795</v>
      </c>
      <c r="J707">
        <v>321077.44274239906</v>
      </c>
      <c r="K707">
        <v>2014.7509218429084</v>
      </c>
      <c r="L707">
        <v>-1.3244503409925237</v>
      </c>
      <c r="M707">
        <v>-28503.757741693349</v>
      </c>
    </row>
    <row r="708" spans="4:13" x14ac:dyDescent="0.55000000000000004">
      <c r="D708">
        <v>703</v>
      </c>
      <c r="E708">
        <v>865.41623893411122</v>
      </c>
      <c r="F708">
        <v>21.933021778855149</v>
      </c>
      <c r="G708">
        <v>437795.0193381689</v>
      </c>
      <c r="H708">
        <v>2762.0367812889085</v>
      </c>
      <c r="I708">
        <v>19.23469964272854</v>
      </c>
      <c r="J708">
        <v>381931.95607328188</v>
      </c>
      <c r="K708">
        <v>1896.6205423547972</v>
      </c>
      <c r="L708">
        <v>-2.6983221361266096</v>
      </c>
      <c r="M708">
        <v>-55863.063264887023</v>
      </c>
    </row>
    <row r="709" spans="4:13" x14ac:dyDescent="0.55000000000000004">
      <c r="D709">
        <v>704</v>
      </c>
      <c r="E709">
        <v>474.12324230456994</v>
      </c>
      <c r="F709">
        <v>17.332301506074757</v>
      </c>
      <c r="G709">
        <v>346171.90687919059</v>
      </c>
      <c r="H709">
        <v>2719.6640401334362</v>
      </c>
      <c r="I709">
        <v>16.471254573004664</v>
      </c>
      <c r="J709">
        <v>326705.42741995986</v>
      </c>
      <c r="K709">
        <v>2245.5407978288663</v>
      </c>
      <c r="L709">
        <v>-0.86104693307009228</v>
      </c>
      <c r="M709">
        <v>-19466.47945923073</v>
      </c>
    </row>
    <row r="710" spans="4:13" x14ac:dyDescent="0.55000000000000004">
      <c r="D710">
        <v>705</v>
      </c>
      <c r="E710">
        <v>589.81862264382494</v>
      </c>
      <c r="F710">
        <v>17.841202821405734</v>
      </c>
      <c r="G710">
        <v>356234.23780547082</v>
      </c>
      <c r="H710">
        <v>2693.5537903832255</v>
      </c>
      <c r="I710">
        <v>16.302576205690247</v>
      </c>
      <c r="J710">
        <v>323357.9703234217</v>
      </c>
      <c r="K710">
        <v>2103.7351677394008</v>
      </c>
      <c r="L710">
        <v>-1.5386266157154864</v>
      </c>
      <c r="M710">
        <v>-32876.267482049123</v>
      </c>
    </row>
    <row r="711" spans="4:13" x14ac:dyDescent="0.55000000000000004">
      <c r="D711">
        <v>706</v>
      </c>
      <c r="E711">
        <v>708.29121387424993</v>
      </c>
      <c r="F711">
        <v>17.496183486113114</v>
      </c>
      <c r="G711">
        <v>349215.37850838806</v>
      </c>
      <c r="H711">
        <v>2737.2263767173918</v>
      </c>
      <c r="I711">
        <v>15.980150359210011</v>
      </c>
      <c r="J711">
        <v>316865.78080748284</v>
      </c>
      <c r="K711">
        <v>2028.9351628431418</v>
      </c>
      <c r="L711">
        <v>-1.5160331269031033</v>
      </c>
      <c r="M711">
        <v>-32349.597700905229</v>
      </c>
    </row>
    <row r="712" spans="4:13" x14ac:dyDescent="0.55000000000000004">
      <c r="D712">
        <v>707</v>
      </c>
      <c r="E712">
        <v>700.49224892579605</v>
      </c>
      <c r="F712">
        <v>18.996239669929441</v>
      </c>
      <c r="G712">
        <v>379224.30114966305</v>
      </c>
      <c r="H712">
        <v>2787.4022746894252</v>
      </c>
      <c r="I712">
        <v>17.469837147948169</v>
      </c>
      <c r="J712">
        <v>346609.34068427398</v>
      </c>
      <c r="K712">
        <v>2086.9100257636292</v>
      </c>
      <c r="L712">
        <v>-1.5264025219812716</v>
      </c>
      <c r="M712">
        <v>-32614.960465389071</v>
      </c>
    </row>
    <row r="713" spans="4:13" x14ac:dyDescent="0.55000000000000004">
      <c r="D713">
        <v>708</v>
      </c>
      <c r="E713">
        <v>639.07596201924343</v>
      </c>
      <c r="F713">
        <v>21.690567795946773</v>
      </c>
      <c r="G713">
        <v>433172.27995691617</v>
      </c>
      <c r="H713">
        <v>2711.938749180827</v>
      </c>
      <c r="I713">
        <v>19.573977063938901</v>
      </c>
      <c r="J713">
        <v>388767.60252959724</v>
      </c>
      <c r="K713">
        <v>2072.8627871615836</v>
      </c>
      <c r="L713">
        <v>-2.1165907320078716</v>
      </c>
      <c r="M713">
        <v>-44404.677427318937</v>
      </c>
    </row>
    <row r="714" spans="4:13" x14ac:dyDescent="0.55000000000000004">
      <c r="D714">
        <v>709</v>
      </c>
      <c r="E714">
        <v>791.30749980135943</v>
      </c>
      <c r="F714">
        <v>16.006449225118519</v>
      </c>
      <c r="G714">
        <v>319337.67700256908</v>
      </c>
      <c r="H714">
        <v>2758.4029285525794</v>
      </c>
      <c r="I714">
        <v>15.140883489576691</v>
      </c>
      <c r="J714">
        <v>300059.26686298125</v>
      </c>
      <c r="K714">
        <v>1967.09542875122</v>
      </c>
      <c r="L714">
        <v>-0.86556573554182847</v>
      </c>
      <c r="M714">
        <v>-19278.410139587824</v>
      </c>
    </row>
    <row r="715" spans="4:13" x14ac:dyDescent="0.55000000000000004">
      <c r="D715">
        <v>710</v>
      </c>
      <c r="E715">
        <v>640.53396883353605</v>
      </c>
      <c r="F715">
        <v>21.946162018212998</v>
      </c>
      <c r="G715">
        <v>438282.70639542647</v>
      </c>
      <c r="H715">
        <v>2664.4024600312246</v>
      </c>
      <c r="I715">
        <v>19.059023455263969</v>
      </c>
      <c r="J715">
        <v>378516.06664524815</v>
      </c>
      <c r="K715">
        <v>2023.8684911976884</v>
      </c>
      <c r="L715">
        <v>-2.8871385629490298</v>
      </c>
      <c r="M715">
        <v>-59766.639750178321</v>
      </c>
    </row>
    <row r="716" spans="4:13" x14ac:dyDescent="0.55000000000000004">
      <c r="D716">
        <v>711</v>
      </c>
      <c r="E716">
        <v>442.63747098611248</v>
      </c>
      <c r="F716">
        <v>17.607627241024286</v>
      </c>
      <c r="G716">
        <v>351709.90734949958</v>
      </c>
      <c r="H716">
        <v>2677.0236451859864</v>
      </c>
      <c r="I716">
        <v>16.640822097236576</v>
      </c>
      <c r="J716">
        <v>330139.41829954553</v>
      </c>
      <c r="K716">
        <v>2234.3861741998739</v>
      </c>
      <c r="L716">
        <v>-0.96680514378770965</v>
      </c>
      <c r="M716">
        <v>-21570.489049954049</v>
      </c>
    </row>
    <row r="717" spans="4:13" x14ac:dyDescent="0.55000000000000004">
      <c r="D717">
        <v>712</v>
      </c>
      <c r="E717">
        <v>969.37990640205408</v>
      </c>
      <c r="F717">
        <v>17.478647458764019</v>
      </c>
      <c r="G717">
        <v>348603.56926887837</v>
      </c>
      <c r="H717">
        <v>3178.5260834731607</v>
      </c>
      <c r="I717">
        <v>16.117614950971401</v>
      </c>
      <c r="J717">
        <v>319173.77293595485</v>
      </c>
      <c r="K717">
        <v>2209.1461770711066</v>
      </c>
      <c r="L717">
        <v>-1.3610325077926184</v>
      </c>
      <c r="M717">
        <v>-29429.796332923521</v>
      </c>
    </row>
    <row r="718" spans="4:13" x14ac:dyDescent="0.55000000000000004">
      <c r="D718">
        <v>713</v>
      </c>
      <c r="E718">
        <v>599.09368730556173</v>
      </c>
      <c r="F718">
        <v>18.157279923066785</v>
      </c>
      <c r="G718">
        <v>362546.50477403012</v>
      </c>
      <c r="H718">
        <v>2682.1788344537508</v>
      </c>
      <c r="I718">
        <v>17.171965414147724</v>
      </c>
      <c r="J718">
        <v>340757.12944850075</v>
      </c>
      <c r="K718">
        <v>2083.0851471481892</v>
      </c>
      <c r="L718">
        <v>-0.98531450891906047</v>
      </c>
      <c r="M718">
        <v>-21789.37532552937</v>
      </c>
    </row>
    <row r="719" spans="4:13" x14ac:dyDescent="0.55000000000000004">
      <c r="D719">
        <v>714</v>
      </c>
      <c r="E719">
        <v>746.12135200171531</v>
      </c>
      <c r="F719">
        <v>19.353836890119499</v>
      </c>
      <c r="G719">
        <v>386330.61645038828</v>
      </c>
      <c r="H719">
        <v>2743.0295624828523</v>
      </c>
      <c r="I719">
        <v>17.730362179647656</v>
      </c>
      <c r="J719">
        <v>351864.21403047029</v>
      </c>
      <c r="K719">
        <v>1996.9082104811368</v>
      </c>
      <c r="L719">
        <v>-1.623474710471843</v>
      </c>
      <c r="M719">
        <v>-34466.402419917984</v>
      </c>
    </row>
    <row r="720" spans="4:13" x14ac:dyDescent="0.55000000000000004">
      <c r="D720">
        <v>715</v>
      </c>
      <c r="E720">
        <v>941.91635949131557</v>
      </c>
      <c r="F720">
        <v>18.413668949134863</v>
      </c>
      <c r="G720">
        <v>367331.46262320597</v>
      </c>
      <c r="H720">
        <v>2735.349731248205</v>
      </c>
      <c r="I720">
        <v>17.173616467329012</v>
      </c>
      <c r="J720">
        <v>340736.97961533203</v>
      </c>
      <c r="K720">
        <v>1793.4333717568893</v>
      </c>
      <c r="L720">
        <v>-1.2400524818058507</v>
      </c>
      <c r="M720">
        <v>-26594.483007873932</v>
      </c>
    </row>
    <row r="721" spans="4:13" x14ac:dyDescent="0.55000000000000004">
      <c r="D721">
        <v>716</v>
      </c>
      <c r="E721">
        <v>485.03121030785485</v>
      </c>
      <c r="F721">
        <v>20.799866189469164</v>
      </c>
      <c r="G721">
        <v>415512.29257907544</v>
      </c>
      <c r="H721">
        <v>2714.6148447772835</v>
      </c>
      <c r="I721">
        <v>18.873507190513784</v>
      </c>
      <c r="J721">
        <v>374755.52896549844</v>
      </c>
      <c r="K721">
        <v>2229.5836344694285</v>
      </c>
      <c r="L721">
        <v>-1.9263589989553793</v>
      </c>
      <c r="M721">
        <v>-40756.763613577001</v>
      </c>
    </row>
    <row r="722" spans="4:13" x14ac:dyDescent="0.55000000000000004">
      <c r="D722">
        <v>717</v>
      </c>
      <c r="E722">
        <v>773.61358563307181</v>
      </c>
      <c r="F722">
        <v>20.087703840487155</v>
      </c>
      <c r="G722">
        <v>400980.46322411002</v>
      </c>
      <c r="H722">
        <v>2685.4933290472109</v>
      </c>
      <c r="I722">
        <v>18.888939976758994</v>
      </c>
      <c r="J722">
        <v>375093.30620613263</v>
      </c>
      <c r="K722">
        <v>1911.8797434141391</v>
      </c>
      <c r="L722">
        <v>-1.1987638637281606</v>
      </c>
      <c r="M722">
        <v>-25887.157017977384</v>
      </c>
    </row>
    <row r="723" spans="4:13" x14ac:dyDescent="0.55000000000000004">
      <c r="D723">
        <v>718</v>
      </c>
      <c r="E723">
        <v>1140.5304464555552</v>
      </c>
      <c r="F723">
        <v>18.25589425946329</v>
      </c>
      <c r="G723">
        <v>363977.35474281019</v>
      </c>
      <c r="H723">
        <v>2734.9958103248259</v>
      </c>
      <c r="I723">
        <v>18.097069406443456</v>
      </c>
      <c r="J723">
        <v>359206.39231854427</v>
      </c>
      <c r="K723">
        <v>1594.4653638692707</v>
      </c>
      <c r="L723">
        <v>-0.15882485301983351</v>
      </c>
      <c r="M723">
        <v>-4770.9624242659193</v>
      </c>
    </row>
    <row r="724" spans="4:13" x14ac:dyDescent="0.55000000000000004">
      <c r="D724">
        <v>719</v>
      </c>
      <c r="E724">
        <v>538.46843712079703</v>
      </c>
      <c r="F724">
        <v>17.128550789914602</v>
      </c>
      <c r="G724">
        <v>342032.54736117128</v>
      </c>
      <c r="H724">
        <v>2759.6334145528781</v>
      </c>
      <c r="I724">
        <v>16.637218416337287</v>
      </c>
      <c r="J724">
        <v>329984.73491219286</v>
      </c>
      <c r="K724">
        <v>2221.1649774320813</v>
      </c>
      <c r="L724">
        <v>-0.49133237357731474</v>
      </c>
      <c r="M724">
        <v>-12047.812448978424</v>
      </c>
    </row>
    <row r="725" spans="4:13" x14ac:dyDescent="0.55000000000000004">
      <c r="D725">
        <v>720</v>
      </c>
      <c r="E725">
        <v>910.70659421137907</v>
      </c>
      <c r="F725">
        <v>17.296033895927838</v>
      </c>
      <c r="G725">
        <v>345009.97132434539</v>
      </c>
      <c r="H725">
        <v>2707.8441785854925</v>
      </c>
      <c r="I725">
        <v>16.337358960015592</v>
      </c>
      <c r="J725">
        <v>324039.33502172632</v>
      </c>
      <c r="K725">
        <v>1797.1375843741134</v>
      </c>
      <c r="L725">
        <v>-0.95867493591224573</v>
      </c>
      <c r="M725">
        <v>-20970.636302619067</v>
      </c>
    </row>
    <row r="726" spans="4:13" x14ac:dyDescent="0.55000000000000004">
      <c r="D726">
        <v>721</v>
      </c>
      <c r="E726">
        <v>898.5749406416121</v>
      </c>
      <c r="F726">
        <v>21.829340708733529</v>
      </c>
      <c r="G726">
        <v>435688.23923402897</v>
      </c>
      <c r="H726">
        <v>2624.8361513898467</v>
      </c>
      <c r="I726">
        <v>20.105696179644724</v>
      </c>
      <c r="J726">
        <v>399489.08744150458</v>
      </c>
      <c r="K726">
        <v>1726.2612107482346</v>
      </c>
      <c r="L726">
        <v>-1.7236445290888049</v>
      </c>
      <c r="M726">
        <v>-36199.151792524382</v>
      </c>
    </row>
    <row r="727" spans="4:13" x14ac:dyDescent="0.55000000000000004">
      <c r="D727">
        <v>722</v>
      </c>
      <c r="E727">
        <v>478.94565610722054</v>
      </c>
      <c r="F727">
        <v>17.920654031276054</v>
      </c>
      <c r="G727">
        <v>357934.13496941386</v>
      </c>
      <c r="H727">
        <v>2652.1749003784248</v>
      </c>
      <c r="I727">
        <v>16.237648165896534</v>
      </c>
      <c r="J727">
        <v>322100.78841755225</v>
      </c>
      <c r="K727">
        <v>2173.2292442712042</v>
      </c>
      <c r="L727">
        <v>-1.6830058653795206</v>
      </c>
      <c r="M727">
        <v>-35833.346551861614</v>
      </c>
    </row>
    <row r="728" spans="4:13" x14ac:dyDescent="0.55000000000000004">
      <c r="D728">
        <v>723</v>
      </c>
      <c r="E728">
        <v>610.77841238675569</v>
      </c>
      <c r="F728">
        <v>17.319235137975234</v>
      </c>
      <c r="G728">
        <v>345773.92434711789</v>
      </c>
      <c r="H728">
        <v>2694.760829990043</v>
      </c>
      <c r="I728">
        <v>16.561475408551331</v>
      </c>
      <c r="J728">
        <v>328534.74734103656</v>
      </c>
      <c r="K728">
        <v>2083.9824176032871</v>
      </c>
      <c r="L728">
        <v>-0.75775972942390268</v>
      </c>
      <c r="M728">
        <v>-17239.177006081329</v>
      </c>
    </row>
    <row r="729" spans="4:13" x14ac:dyDescent="0.55000000000000004">
      <c r="D729">
        <v>724</v>
      </c>
      <c r="E729">
        <v>701.8023809972866</v>
      </c>
      <c r="F729">
        <v>19.274157677241497</v>
      </c>
      <c r="G729">
        <v>384781.35116383265</v>
      </c>
      <c r="H729">
        <v>2688.1785597117555</v>
      </c>
      <c r="I729">
        <v>18.314162875435766</v>
      </c>
      <c r="J729">
        <v>363595.0789490036</v>
      </c>
      <c r="K729">
        <v>1986.376178714469</v>
      </c>
      <c r="L729">
        <v>-0.95999480180573116</v>
      </c>
      <c r="M729">
        <v>-21186.272214829049</v>
      </c>
    </row>
    <row r="730" spans="4:13" x14ac:dyDescent="0.55000000000000004">
      <c r="D730">
        <v>725</v>
      </c>
      <c r="E730">
        <v>1016.1849880701163</v>
      </c>
      <c r="F730">
        <v>18.863675500482305</v>
      </c>
      <c r="G730">
        <v>376257.32502157602</v>
      </c>
      <c r="H730">
        <v>2738.7916501376903</v>
      </c>
      <c r="I730">
        <v>17.716679710818092</v>
      </c>
      <c r="J730">
        <v>351594.80256622413</v>
      </c>
      <c r="K730">
        <v>1722.606662067574</v>
      </c>
      <c r="L730">
        <v>-1.1469957896642136</v>
      </c>
      <c r="M730">
        <v>-24662.522455351893</v>
      </c>
    </row>
    <row r="731" spans="4:13" x14ac:dyDescent="0.55000000000000004">
      <c r="D731">
        <v>726</v>
      </c>
      <c r="E731">
        <v>566.29470014403944</v>
      </c>
      <c r="F731">
        <v>20.726959196965243</v>
      </c>
      <c r="G731">
        <v>413972.88923916081</v>
      </c>
      <c r="H731">
        <v>2775.1515905039341</v>
      </c>
      <c r="I731">
        <v>18.930669112615384</v>
      </c>
      <c r="J731">
        <v>375838.23066180374</v>
      </c>
      <c r="K731">
        <v>2208.8568903598948</v>
      </c>
      <c r="L731">
        <v>-1.7962900843498595</v>
      </c>
      <c r="M731">
        <v>-38134.65857735707</v>
      </c>
    </row>
    <row r="732" spans="4:13" x14ac:dyDescent="0.55000000000000004">
      <c r="D732">
        <v>727</v>
      </c>
      <c r="E732">
        <v>1171.071834272605</v>
      </c>
      <c r="F732">
        <v>17.25099343306092</v>
      </c>
      <c r="G732">
        <v>343848.79682694579</v>
      </c>
      <c r="H732">
        <v>2678.6659314693916</v>
      </c>
      <c r="I732">
        <v>16.161842882703617</v>
      </c>
      <c r="J732">
        <v>320558.19172260293</v>
      </c>
      <c r="K732">
        <v>1507.5940971967866</v>
      </c>
      <c r="L732">
        <v>-1.0891505503573029</v>
      </c>
      <c r="M732">
        <v>-23290.60510434286</v>
      </c>
    </row>
    <row r="733" spans="4:13" x14ac:dyDescent="0.55000000000000004">
      <c r="D733">
        <v>728</v>
      </c>
      <c r="E733">
        <v>1054.526811615239</v>
      </c>
      <c r="F733">
        <v>16.950477252545234</v>
      </c>
      <c r="G733">
        <v>337955.01823928946</v>
      </c>
      <c r="H733">
        <v>2805.152491318328</v>
      </c>
      <c r="I733">
        <v>16.416779249182799</v>
      </c>
      <c r="J733">
        <v>325530.4324923376</v>
      </c>
      <c r="K733">
        <v>1750.625679703089</v>
      </c>
      <c r="L733">
        <v>-0.533698003362435</v>
      </c>
      <c r="M733">
        <v>-12424.585746951867</v>
      </c>
    </row>
    <row r="734" spans="4:13" x14ac:dyDescent="0.55000000000000004">
      <c r="D734">
        <v>729</v>
      </c>
      <c r="E734">
        <v>977.77592976103733</v>
      </c>
      <c r="F734">
        <v>17.937162689879738</v>
      </c>
      <c r="G734">
        <v>357765.47786783369</v>
      </c>
      <c r="H734">
        <v>2969.3120811084473</v>
      </c>
      <c r="I734">
        <v>16.857260216459167</v>
      </c>
      <c r="J734">
        <v>334175.89224807487</v>
      </c>
      <c r="K734">
        <v>1991.5361513474099</v>
      </c>
      <c r="L734">
        <v>-1.0799024734205709</v>
      </c>
      <c r="M734">
        <v>-23589.585619758815</v>
      </c>
    </row>
    <row r="735" spans="4:13" x14ac:dyDescent="0.55000000000000004">
      <c r="D735">
        <v>730</v>
      </c>
      <c r="E735">
        <v>872.38695321870921</v>
      </c>
      <c r="F735">
        <v>19.23112343652048</v>
      </c>
      <c r="G735">
        <v>383750.08177719091</v>
      </c>
      <c r="H735">
        <v>2714.4912341209383</v>
      </c>
      <c r="I735">
        <v>18.184663619475401</v>
      </c>
      <c r="J735">
        <v>360978.78115538711</v>
      </c>
      <c r="K735">
        <v>1842.1042809022292</v>
      </c>
      <c r="L735">
        <v>-1.0464598170450792</v>
      </c>
      <c r="M735">
        <v>-22771.300621803792</v>
      </c>
    </row>
    <row r="736" spans="4:13" x14ac:dyDescent="0.55000000000000004">
      <c r="D736">
        <v>731</v>
      </c>
      <c r="E736">
        <v>484.59619532610793</v>
      </c>
      <c r="F736">
        <v>18.103229760205537</v>
      </c>
      <c r="G736">
        <v>361579.99900878459</v>
      </c>
      <c r="H736">
        <v>2780.6254489747967</v>
      </c>
      <c r="I736">
        <v>16.230701623583133</v>
      </c>
      <c r="J736">
        <v>321833.4070226879</v>
      </c>
      <c r="K736">
        <v>2296.0292536486886</v>
      </c>
      <c r="L736">
        <v>-1.8725281366224031</v>
      </c>
      <c r="M736">
        <v>-39746.591986096697</v>
      </c>
    </row>
    <row r="737" spans="4:13" x14ac:dyDescent="0.55000000000000004">
      <c r="D737">
        <v>732</v>
      </c>
      <c r="E737">
        <v>553.47405477285065</v>
      </c>
      <c r="F737">
        <v>17.058090841414618</v>
      </c>
      <c r="G737">
        <v>340608.34277351951</v>
      </c>
      <c r="H737">
        <v>2725.7086734691047</v>
      </c>
      <c r="I737">
        <v>16.123153465003853</v>
      </c>
      <c r="J737">
        <v>319737.36062660796</v>
      </c>
      <c r="K737">
        <v>2172.2346186962541</v>
      </c>
      <c r="L737">
        <v>-0.93493737641076535</v>
      </c>
      <c r="M737">
        <v>-20870.982146911556</v>
      </c>
    </row>
    <row r="738" spans="4:13" x14ac:dyDescent="0.55000000000000004">
      <c r="D738">
        <v>733</v>
      </c>
      <c r="E738">
        <v>400.41139989692107</v>
      </c>
      <c r="F738">
        <v>19.773373568991737</v>
      </c>
      <c r="G738">
        <v>395067.05997993785</v>
      </c>
      <c r="H738">
        <v>2662.1839998869709</v>
      </c>
      <c r="I738">
        <v>18.207453712636703</v>
      </c>
      <c r="J738">
        <v>361486.89025284711</v>
      </c>
      <c r="K738">
        <v>2261.7725999900499</v>
      </c>
      <c r="L738">
        <v>-1.5659198563550341</v>
      </c>
      <c r="M738">
        <v>-33580.169727090746</v>
      </c>
    </row>
    <row r="739" spans="4:13" x14ac:dyDescent="0.55000000000000004">
      <c r="D739">
        <v>734</v>
      </c>
      <c r="E739">
        <v>667.69337770063783</v>
      </c>
      <c r="F739">
        <v>18.339254213036572</v>
      </c>
      <c r="G739">
        <v>366117.39088303078</v>
      </c>
      <c r="H739">
        <v>2745.3734614874261</v>
      </c>
      <c r="I739">
        <v>16.752748049787908</v>
      </c>
      <c r="J739">
        <v>332309.58753427071</v>
      </c>
      <c r="K739">
        <v>2077.6800837867881</v>
      </c>
      <c r="L739">
        <v>-1.5865061632486643</v>
      </c>
      <c r="M739">
        <v>-33807.803348760062</v>
      </c>
    </row>
    <row r="740" spans="4:13" x14ac:dyDescent="0.55000000000000004">
      <c r="D740">
        <v>735</v>
      </c>
      <c r="E740">
        <v>804.97776824666676</v>
      </c>
      <c r="F740">
        <v>20.290274663331175</v>
      </c>
      <c r="G740">
        <v>405000.51549837686</v>
      </c>
      <c r="H740">
        <v>2753.303499747547</v>
      </c>
      <c r="I740">
        <v>18.51253846109881</v>
      </c>
      <c r="J740">
        <v>367497.46572222869</v>
      </c>
      <c r="K740">
        <v>1948.3257315008802</v>
      </c>
      <c r="L740">
        <v>-1.7777362022323651</v>
      </c>
      <c r="M740">
        <v>-37503.049776148167</v>
      </c>
    </row>
    <row r="741" spans="4:13" x14ac:dyDescent="0.55000000000000004">
      <c r="D741">
        <v>736</v>
      </c>
      <c r="E741">
        <v>775.63202809138829</v>
      </c>
      <c r="F741">
        <v>20.148099594702416</v>
      </c>
      <c r="G741">
        <v>402186.35986595688</v>
      </c>
      <c r="H741">
        <v>3030.2476537662606</v>
      </c>
      <c r="I741">
        <v>17.718356503113732</v>
      </c>
      <c r="J741">
        <v>351336.88240850839</v>
      </c>
      <c r="K741">
        <v>2254.6156256748723</v>
      </c>
      <c r="L741">
        <v>-2.4297430915886835</v>
      </c>
      <c r="M741">
        <v>-50849.477457448491</v>
      </c>
    </row>
    <row r="742" spans="4:13" x14ac:dyDescent="0.55000000000000004">
      <c r="D742">
        <v>737</v>
      </c>
      <c r="E742">
        <v>519.63054488537421</v>
      </c>
      <c r="F742">
        <v>21.118754521044625</v>
      </c>
      <c r="G742">
        <v>421855.45987600717</v>
      </c>
      <c r="H742">
        <v>2740.2744498044103</v>
      </c>
      <c r="I742">
        <v>18.757278487132652</v>
      </c>
      <c r="J742">
        <v>372405.29529284866</v>
      </c>
      <c r="K742">
        <v>2220.6439049190362</v>
      </c>
      <c r="L742">
        <v>-2.3614760339119734</v>
      </c>
      <c r="M742">
        <v>-49450.164583158505</v>
      </c>
    </row>
    <row r="743" spans="4:13" x14ac:dyDescent="0.55000000000000004">
      <c r="D743">
        <v>738</v>
      </c>
      <c r="E743">
        <v>654.552507724713</v>
      </c>
      <c r="F743">
        <v>20.774307305745154</v>
      </c>
      <c r="G743">
        <v>414831.59360717837</v>
      </c>
      <c r="H743">
        <v>2769.9985877217764</v>
      </c>
      <c r="I743">
        <v>19.418878787652396</v>
      </c>
      <c r="J743">
        <v>385607.57716532616</v>
      </c>
      <c r="K743">
        <v>2115.4460799970634</v>
      </c>
      <c r="L743">
        <v>-1.3554285180927579</v>
      </c>
      <c r="M743">
        <v>-29224.016441852204</v>
      </c>
    </row>
    <row r="744" spans="4:13" x14ac:dyDescent="0.55000000000000004">
      <c r="D744">
        <v>739</v>
      </c>
      <c r="E744">
        <v>632.64586205272064</v>
      </c>
      <c r="F744">
        <v>16.102097752649936</v>
      </c>
      <c r="G744">
        <v>321409.30919094599</v>
      </c>
      <c r="H744">
        <v>2751.6510084929141</v>
      </c>
      <c r="I744">
        <v>15.426127056022349</v>
      </c>
      <c r="J744">
        <v>305770.89011195407</v>
      </c>
      <c r="K744">
        <v>2119.0051464401936</v>
      </c>
      <c r="L744">
        <v>-0.67597069662758713</v>
      </c>
      <c r="M744">
        <v>-15638.419078991923</v>
      </c>
    </row>
    <row r="745" spans="4:13" x14ac:dyDescent="0.55000000000000004">
      <c r="D745">
        <v>740</v>
      </c>
      <c r="E745">
        <v>641.06395822084551</v>
      </c>
      <c r="F745">
        <v>18.958957541297533</v>
      </c>
      <c r="G745">
        <v>378538.08686772984</v>
      </c>
      <c r="H745">
        <v>2749.0385078266722</v>
      </c>
      <c r="I745">
        <v>17.984294462686364</v>
      </c>
      <c r="J745">
        <v>356936.85074590059</v>
      </c>
      <c r="K745">
        <v>2107.9745496058267</v>
      </c>
      <c r="L745">
        <v>-0.97466307861116874</v>
      </c>
      <c r="M745">
        <v>-21601.23612182925</v>
      </c>
    </row>
    <row r="746" spans="4:13" x14ac:dyDescent="0.55000000000000004">
      <c r="D746">
        <v>741</v>
      </c>
      <c r="E746">
        <v>639.38982750677167</v>
      </c>
      <c r="F746">
        <v>17.533393046147363</v>
      </c>
      <c r="G746">
        <v>350028.4710954405</v>
      </c>
      <c r="H746">
        <v>2715.9100469504983</v>
      </c>
      <c r="I746">
        <v>16.351414591038239</v>
      </c>
      <c r="J746">
        <v>324312.38177381427</v>
      </c>
      <c r="K746">
        <v>2076.5202194437265</v>
      </c>
      <c r="L746">
        <v>-1.1819784551091246</v>
      </c>
      <c r="M746">
        <v>-25716.089321626234</v>
      </c>
    </row>
    <row r="747" spans="4:13" x14ac:dyDescent="0.55000000000000004">
      <c r="D747">
        <v>742</v>
      </c>
      <c r="E747">
        <v>728.43230041867059</v>
      </c>
      <c r="F747">
        <v>20.764120884543662</v>
      </c>
      <c r="G747">
        <v>414553.98539045453</v>
      </c>
      <c r="H747">
        <v>2651.5689632061558</v>
      </c>
      <c r="I747">
        <v>19.317045703921593</v>
      </c>
      <c r="J747">
        <v>383689.3451152257</v>
      </c>
      <c r="K747">
        <v>1923.1366627874852</v>
      </c>
      <c r="L747">
        <v>-1.4470751806220683</v>
      </c>
      <c r="M747">
        <v>-30864.640275228827</v>
      </c>
    </row>
    <row r="748" spans="4:13" x14ac:dyDescent="0.55000000000000004">
      <c r="D748">
        <v>743</v>
      </c>
      <c r="E748">
        <v>467.92739692191924</v>
      </c>
      <c r="F748">
        <v>19.432932412903131</v>
      </c>
      <c r="G748">
        <v>388190.7208611407</v>
      </c>
      <c r="H748">
        <v>2948.7033050874661</v>
      </c>
      <c r="I748">
        <v>17.640561282508973</v>
      </c>
      <c r="J748">
        <v>349862.52234509197</v>
      </c>
      <c r="K748">
        <v>2480.7759081655468</v>
      </c>
      <c r="L748">
        <v>-1.7923711303941587</v>
      </c>
      <c r="M748">
        <v>-38328.198516048724</v>
      </c>
    </row>
    <row r="749" spans="4:13" x14ac:dyDescent="0.55000000000000004">
      <c r="D749">
        <v>744</v>
      </c>
      <c r="E749">
        <v>612.40815423691868</v>
      </c>
      <c r="F749">
        <v>19.107756681207377</v>
      </c>
      <c r="G749">
        <v>381542.72546991066</v>
      </c>
      <c r="H749">
        <v>2652.7521561684189</v>
      </c>
      <c r="I749">
        <v>17.595689291116535</v>
      </c>
      <c r="J749">
        <v>349261.03366616229</v>
      </c>
      <c r="K749">
        <v>2040.3440019315003</v>
      </c>
      <c r="L749">
        <v>-1.5120673900908415</v>
      </c>
      <c r="M749">
        <v>-32281.69180374837</v>
      </c>
    </row>
    <row r="750" spans="4:13" x14ac:dyDescent="0.55000000000000004">
      <c r="D750">
        <v>745</v>
      </c>
      <c r="E750">
        <v>401.83142934347245</v>
      </c>
      <c r="F750">
        <v>21.556996733534646</v>
      </c>
      <c r="G750">
        <v>430738.10324134945</v>
      </c>
      <c r="H750">
        <v>2819.6613539224845</v>
      </c>
      <c r="I750">
        <v>18.670732305506991</v>
      </c>
      <c r="J750">
        <v>370594.98475621734</v>
      </c>
      <c r="K750">
        <v>2417.8299245790122</v>
      </c>
      <c r="L750">
        <v>-2.8862644280276548</v>
      </c>
      <c r="M750">
        <v>-60143.118485132116</v>
      </c>
    </row>
    <row r="751" spans="4:13" x14ac:dyDescent="0.55000000000000004">
      <c r="D751">
        <v>746</v>
      </c>
      <c r="E751">
        <v>509.73560632038203</v>
      </c>
      <c r="F751">
        <v>17.301755086077986</v>
      </c>
      <c r="G751">
        <v>345525.36611523933</v>
      </c>
      <c r="H751">
        <v>2687.3592257000241</v>
      </c>
      <c r="I751">
        <v>16.280298950331979</v>
      </c>
      <c r="J751">
        <v>322918.61978093954</v>
      </c>
      <c r="K751">
        <v>2177.6236193796422</v>
      </c>
      <c r="L751">
        <v>-1.021456135746007</v>
      </c>
      <c r="M751">
        <v>-22606.746334299794</v>
      </c>
    </row>
    <row r="752" spans="4:13" x14ac:dyDescent="0.55000000000000004">
      <c r="D752">
        <v>747</v>
      </c>
      <c r="E752">
        <v>807.64803828762717</v>
      </c>
      <c r="F752">
        <v>16.540286603549124</v>
      </c>
      <c r="G752">
        <v>329998.08403269481</v>
      </c>
      <c r="H752">
        <v>2694.1109232799217</v>
      </c>
      <c r="I752">
        <v>14.88216776156036</v>
      </c>
      <c r="J752">
        <v>294949.24430792726</v>
      </c>
      <c r="K752">
        <v>1886.4628849922947</v>
      </c>
      <c r="L752">
        <v>-1.6581188419887631</v>
      </c>
      <c r="M752">
        <v>-35048.839724767546</v>
      </c>
    </row>
    <row r="753" spans="4:13" x14ac:dyDescent="0.55000000000000004">
      <c r="D753">
        <v>748</v>
      </c>
      <c r="E753">
        <v>826.08411868406506</v>
      </c>
      <c r="F753">
        <v>15.411929454731622</v>
      </c>
      <c r="G753">
        <v>307412.50497594837</v>
      </c>
      <c r="H753">
        <v>2949.7835757319699</v>
      </c>
      <c r="I753">
        <v>14.539444658194727</v>
      </c>
      <c r="J753">
        <v>287839.10958816257</v>
      </c>
      <c r="K753">
        <v>2123.6994570479046</v>
      </c>
      <c r="L753">
        <v>-0.87248479653689515</v>
      </c>
      <c r="M753">
        <v>-19573.3953877858</v>
      </c>
    </row>
    <row r="754" spans="4:13" x14ac:dyDescent="0.55000000000000004">
      <c r="D754">
        <v>749</v>
      </c>
      <c r="E754">
        <v>684.17967854833853</v>
      </c>
      <c r="F754">
        <v>18.288038351696002</v>
      </c>
      <c r="G754">
        <v>365076.58735537168</v>
      </c>
      <c r="H754">
        <v>3122.6640699436875</v>
      </c>
      <c r="I754">
        <v>16.876223785493963</v>
      </c>
      <c r="J754">
        <v>334401.81163993553</v>
      </c>
      <c r="K754">
        <v>2438.4843913953491</v>
      </c>
      <c r="L754">
        <v>-1.4118145662020396</v>
      </c>
      <c r="M754">
        <v>-30674.775715436146</v>
      </c>
    </row>
    <row r="755" spans="4:13" x14ac:dyDescent="0.55000000000000004">
      <c r="D755">
        <v>750</v>
      </c>
      <c r="E755">
        <v>615.68533324904752</v>
      </c>
      <c r="F755">
        <v>15.180172012720449</v>
      </c>
      <c r="G755">
        <v>302987.75492115994</v>
      </c>
      <c r="H755">
        <v>2948.748638128704</v>
      </c>
      <c r="I755">
        <v>14.990628376130994</v>
      </c>
      <c r="J755">
        <v>296863.81888449116</v>
      </c>
      <c r="K755">
        <v>2333.0633048796562</v>
      </c>
      <c r="L755">
        <v>-0.18954363658945539</v>
      </c>
      <c r="M755">
        <v>-6123.9360366687761</v>
      </c>
    </row>
    <row r="756" spans="4:13" x14ac:dyDescent="0.55000000000000004">
      <c r="D756">
        <v>751</v>
      </c>
      <c r="E756">
        <v>753.06836132127444</v>
      </c>
      <c r="F756">
        <v>19.59348012212682</v>
      </c>
      <c r="G756">
        <v>391116.5340812151</v>
      </c>
      <c r="H756">
        <v>2712.1399382397303</v>
      </c>
      <c r="I756">
        <v>18.330981684652272</v>
      </c>
      <c r="J756">
        <v>363907.49375480576</v>
      </c>
      <c r="K756">
        <v>1959.0715769184558</v>
      </c>
      <c r="L756">
        <v>-1.262498437474548</v>
      </c>
      <c r="M756">
        <v>-27209.040326409333</v>
      </c>
    </row>
    <row r="757" spans="4:13" x14ac:dyDescent="0.55000000000000004">
      <c r="D757">
        <v>752</v>
      </c>
      <c r="E757">
        <v>828.17592221522034</v>
      </c>
      <c r="F757">
        <v>15.977292695815501</v>
      </c>
      <c r="G757">
        <v>318717.67799409479</v>
      </c>
      <c r="H757">
        <v>2815.3144777583288</v>
      </c>
      <c r="I757">
        <v>14.959610955730128</v>
      </c>
      <c r="J757">
        <v>296376.90463684424</v>
      </c>
      <c r="K757">
        <v>1987.1385555431084</v>
      </c>
      <c r="L757">
        <v>-1.0176817400853739</v>
      </c>
      <c r="M757">
        <v>-22340.773357250553</v>
      </c>
    </row>
    <row r="758" spans="4:13" x14ac:dyDescent="0.55000000000000004">
      <c r="D758">
        <v>753</v>
      </c>
      <c r="E758">
        <v>627.33501138233316</v>
      </c>
      <c r="F758">
        <v>17.656484817042937</v>
      </c>
      <c r="G758">
        <v>352502.36132947641</v>
      </c>
      <c r="H758">
        <v>2764.6549296696685</v>
      </c>
      <c r="I758">
        <v>15.82435926798137</v>
      </c>
      <c r="J758">
        <v>313722.53042995773</v>
      </c>
      <c r="K758">
        <v>2137.3199182873354</v>
      </c>
      <c r="L758">
        <v>-1.8321255490615673</v>
      </c>
      <c r="M758">
        <v>-38779.830899518682</v>
      </c>
    </row>
    <row r="759" spans="4:13" x14ac:dyDescent="0.55000000000000004">
      <c r="D759">
        <v>754</v>
      </c>
      <c r="E759">
        <v>505.55146132344908</v>
      </c>
      <c r="F759">
        <v>17.401447773407636</v>
      </c>
      <c r="G759">
        <v>347523.40400682925</v>
      </c>
      <c r="H759">
        <v>2711.749122592546</v>
      </c>
      <c r="I759">
        <v>16.48860775231848</v>
      </c>
      <c r="J759">
        <v>327060.40592377703</v>
      </c>
      <c r="K759">
        <v>2206.1976612690969</v>
      </c>
      <c r="L759">
        <v>-0.91284002108915629</v>
      </c>
      <c r="M759">
        <v>-20462.998083052225</v>
      </c>
    </row>
    <row r="760" spans="4:13" x14ac:dyDescent="0.55000000000000004">
      <c r="D760">
        <v>755</v>
      </c>
      <c r="E760">
        <v>946.97782235482862</v>
      </c>
      <c r="F760">
        <v>18.021572140268514</v>
      </c>
      <c r="G760">
        <v>359484.46498301544</v>
      </c>
      <c r="H760">
        <v>2823.4638853599272</v>
      </c>
      <c r="I760">
        <v>16.780505574923826</v>
      </c>
      <c r="J760">
        <v>332786.6476131166</v>
      </c>
      <c r="K760">
        <v>1876.4860630050985</v>
      </c>
      <c r="L760">
        <v>-1.2410665653446884</v>
      </c>
      <c r="M760">
        <v>-26697.817369898839</v>
      </c>
    </row>
    <row r="761" spans="4:13" x14ac:dyDescent="0.55000000000000004">
      <c r="D761">
        <v>756</v>
      </c>
      <c r="E761">
        <v>692.25503633179528</v>
      </c>
      <c r="F761">
        <v>21.606179239736772</v>
      </c>
      <c r="G761">
        <v>431431.32975840365</v>
      </c>
      <c r="H761">
        <v>2651.5094966476413</v>
      </c>
      <c r="I761">
        <v>20.517813575770226</v>
      </c>
      <c r="J761">
        <v>407704.76201875688</v>
      </c>
      <c r="K761">
        <v>1959.254460315846</v>
      </c>
      <c r="L761">
        <v>-1.0883656639665453</v>
      </c>
      <c r="M761">
        <v>-23726.567739646765</v>
      </c>
    </row>
    <row r="762" spans="4:13" x14ac:dyDescent="0.55000000000000004">
      <c r="D762">
        <v>757</v>
      </c>
      <c r="E762">
        <v>886.06939940974121</v>
      </c>
      <c r="F762">
        <v>20.05188010196774</v>
      </c>
      <c r="G762">
        <v>400151.53263994504</v>
      </c>
      <c r="H762">
        <v>2695.1776615539757</v>
      </c>
      <c r="I762">
        <v>18.315202766252579</v>
      </c>
      <c r="J762">
        <v>363608.87766349764</v>
      </c>
      <c r="K762">
        <v>1809.1082621442345</v>
      </c>
      <c r="L762">
        <v>-1.7366773357151608</v>
      </c>
      <c r="M762">
        <v>-36542.654976447404</v>
      </c>
    </row>
    <row r="763" spans="4:13" x14ac:dyDescent="0.55000000000000004">
      <c r="D763">
        <v>758</v>
      </c>
      <c r="E763">
        <v>610.07208053393924</v>
      </c>
      <c r="F763">
        <v>18.268185698177639</v>
      </c>
      <c r="G763">
        <v>364753.64188301883</v>
      </c>
      <c r="H763">
        <v>2902.8605279948515</v>
      </c>
      <c r="I763">
        <v>16.306158039068549</v>
      </c>
      <c r="J763">
        <v>323220.30025337613</v>
      </c>
      <c r="K763">
        <v>2292.7884474609123</v>
      </c>
      <c r="L763">
        <v>-1.9620276591090899</v>
      </c>
      <c r="M763">
        <v>-41533.341629642702</v>
      </c>
    </row>
    <row r="764" spans="4:13" x14ac:dyDescent="0.55000000000000004">
      <c r="D764">
        <v>759</v>
      </c>
      <c r="E764">
        <v>894.15484672084256</v>
      </c>
      <c r="F764">
        <v>18.362843188691539</v>
      </c>
      <c r="G764">
        <v>366362.7089271099</v>
      </c>
      <c r="H764">
        <v>3013.7556980208478</v>
      </c>
      <c r="I764">
        <v>16.260191897148058</v>
      </c>
      <c r="J764">
        <v>322190.08224494028</v>
      </c>
      <c r="K764">
        <v>2119.6008513000052</v>
      </c>
      <c r="L764">
        <v>-2.1026512915434807</v>
      </c>
      <c r="M764">
        <v>-44172.626682169619</v>
      </c>
    </row>
    <row r="765" spans="4:13" x14ac:dyDescent="0.55000000000000004">
      <c r="D765">
        <v>760</v>
      </c>
      <c r="E765">
        <v>610.96127603293303</v>
      </c>
      <c r="F765">
        <v>20.193946567964272</v>
      </c>
      <c r="G765">
        <v>403267.97008325247</v>
      </c>
      <c r="H765">
        <v>2690.6332343805925</v>
      </c>
      <c r="I765">
        <v>19.014167449277625</v>
      </c>
      <c r="J765">
        <v>377592.71575117193</v>
      </c>
      <c r="K765">
        <v>2079.6719583476597</v>
      </c>
      <c r="L765">
        <v>-1.1797791186866462</v>
      </c>
      <c r="M765">
        <v>-25675.254332080542</v>
      </c>
    </row>
    <row r="766" spans="4:13" x14ac:dyDescent="0.55000000000000004">
      <c r="D766">
        <v>761</v>
      </c>
      <c r="E766">
        <v>948.75262629046392</v>
      </c>
      <c r="F766">
        <v>19.617267072827214</v>
      </c>
      <c r="G766">
        <v>391396.58883025381</v>
      </c>
      <c r="H766">
        <v>2699.6643067132845</v>
      </c>
      <c r="I766">
        <v>17.788408099676822</v>
      </c>
      <c r="J766">
        <v>353068.49768682319</v>
      </c>
      <c r="K766">
        <v>1750.9116804228206</v>
      </c>
      <c r="L766">
        <v>-1.8288589731503926</v>
      </c>
      <c r="M766">
        <v>-38328.091143430618</v>
      </c>
    </row>
    <row r="767" spans="4:13" x14ac:dyDescent="0.55000000000000004">
      <c r="D767">
        <v>762</v>
      </c>
      <c r="E767">
        <v>887.41011058631034</v>
      </c>
      <c r="F767">
        <v>17.280276730783157</v>
      </c>
      <c r="G767">
        <v>344718.12450507685</v>
      </c>
      <c r="H767">
        <v>2685.9274170972922</v>
      </c>
      <c r="I767">
        <v>16.764271882618527</v>
      </c>
      <c r="J767">
        <v>332599.51023527328</v>
      </c>
      <c r="K767">
        <v>1798.5173065109818</v>
      </c>
      <c r="L767">
        <v>-0.51600484816463066</v>
      </c>
      <c r="M767">
        <v>-12118.614269803569</v>
      </c>
    </row>
    <row r="768" spans="4:13" x14ac:dyDescent="0.55000000000000004">
      <c r="D768">
        <v>763</v>
      </c>
      <c r="E768">
        <v>651.51117572621479</v>
      </c>
      <c r="F768">
        <v>16.559054022627151</v>
      </c>
      <c r="G768">
        <v>330529.56927681685</v>
      </c>
      <c r="H768">
        <v>2816.5643667060249</v>
      </c>
      <c r="I768">
        <v>15.508822322235529</v>
      </c>
      <c r="J768">
        <v>307359.88207800459</v>
      </c>
      <c r="K768">
        <v>2165.0531909798101</v>
      </c>
      <c r="L768">
        <v>-1.0502317003916222</v>
      </c>
      <c r="M768">
        <v>-23169.687198812258</v>
      </c>
    </row>
    <row r="769" spans="4:13" x14ac:dyDescent="0.55000000000000004">
      <c r="D769">
        <v>764</v>
      </c>
      <c r="E769">
        <v>865.9521383880757</v>
      </c>
      <c r="F769">
        <v>20.967395101406158</v>
      </c>
      <c r="G769">
        <v>418481.94988973509</v>
      </c>
      <c r="H769">
        <v>2744.1183655402097</v>
      </c>
      <c r="I769">
        <v>18.966172835038297</v>
      </c>
      <c r="J769">
        <v>376579.33833522571</v>
      </c>
      <c r="K769">
        <v>1878.1662271521341</v>
      </c>
      <c r="L769">
        <v>-2.0012222663678614</v>
      </c>
      <c r="M769">
        <v>-41902.611554509378</v>
      </c>
    </row>
    <row r="770" spans="4:13" x14ac:dyDescent="0.55000000000000004">
      <c r="D770">
        <v>765</v>
      </c>
      <c r="E770">
        <v>663.0588781870772</v>
      </c>
      <c r="F770">
        <v>17.231180460734048</v>
      </c>
      <c r="G770">
        <v>343960.55033649388</v>
      </c>
      <c r="H770">
        <v>2779.1271303650092</v>
      </c>
      <c r="I770">
        <v>16.233595220500728</v>
      </c>
      <c r="J770">
        <v>321892.77727964957</v>
      </c>
      <c r="K770">
        <v>2116.0682521779318</v>
      </c>
      <c r="L770">
        <v>-0.99758524023332029</v>
      </c>
      <c r="M770">
        <v>-22067.773056844308</v>
      </c>
    </row>
    <row r="771" spans="4:13" x14ac:dyDescent="0.55000000000000004">
      <c r="D771">
        <v>766</v>
      </c>
      <c r="E771">
        <v>500.95835187868352</v>
      </c>
      <c r="F771">
        <v>17.978212499989468</v>
      </c>
      <c r="G771">
        <v>359063.29164791066</v>
      </c>
      <c r="H771">
        <v>2772.0414351062727</v>
      </c>
      <c r="I771">
        <v>16.610751793115764</v>
      </c>
      <c r="J771">
        <v>329442.99442720902</v>
      </c>
      <c r="K771">
        <v>2271.0830832275892</v>
      </c>
      <c r="L771">
        <v>-1.3674607068737039</v>
      </c>
      <c r="M771">
        <v>-29620.297220701643</v>
      </c>
    </row>
    <row r="772" spans="4:13" x14ac:dyDescent="0.55000000000000004">
      <c r="D772">
        <v>767</v>
      </c>
      <c r="E772">
        <v>634.92882012244377</v>
      </c>
      <c r="F772">
        <v>18.238031874391897</v>
      </c>
      <c r="G772">
        <v>364125.70866771549</v>
      </c>
      <c r="H772">
        <v>2669.0238552793521</v>
      </c>
      <c r="I772">
        <v>17.516735606489739</v>
      </c>
      <c r="J772">
        <v>347665.68827451539</v>
      </c>
      <c r="K772">
        <v>2034.0950351569084</v>
      </c>
      <c r="L772">
        <v>-0.72129626790215795</v>
      </c>
      <c r="M772">
        <v>-16460.020393200102</v>
      </c>
    </row>
    <row r="773" spans="4:13" x14ac:dyDescent="0.55000000000000004">
      <c r="D773">
        <v>768</v>
      </c>
      <c r="E773">
        <v>824.60457546980683</v>
      </c>
      <c r="F773">
        <v>16.887238263406957</v>
      </c>
      <c r="G773">
        <v>336920.16069266933</v>
      </c>
      <c r="H773">
        <v>2747.643636408543</v>
      </c>
      <c r="I773">
        <v>16.106161212114067</v>
      </c>
      <c r="J773">
        <v>319375.58060587279</v>
      </c>
      <c r="K773">
        <v>1923.0390609387362</v>
      </c>
      <c r="L773">
        <v>-0.78107705129288973</v>
      </c>
      <c r="M773">
        <v>-17544.580086796544</v>
      </c>
    </row>
    <row r="774" spans="4:13" x14ac:dyDescent="0.55000000000000004">
      <c r="D774">
        <v>769</v>
      </c>
      <c r="E774">
        <v>912.29614708613292</v>
      </c>
      <c r="F774">
        <v>17.288618434316398</v>
      </c>
      <c r="G774">
        <v>344860.07253924181</v>
      </c>
      <c r="H774">
        <v>2721.0139284683119</v>
      </c>
      <c r="I774">
        <v>16.164826052339102</v>
      </c>
      <c r="J774">
        <v>320575.50711831369</v>
      </c>
      <c r="K774">
        <v>1808.7177813821791</v>
      </c>
      <c r="L774">
        <v>-1.1237923819772959</v>
      </c>
      <c r="M774">
        <v>-24284.56542092812</v>
      </c>
    </row>
    <row r="775" spans="4:13" x14ac:dyDescent="0.55000000000000004">
      <c r="D775">
        <v>770</v>
      </c>
      <c r="E775">
        <v>656.83389482216285</v>
      </c>
      <c r="F775">
        <v>17.881860679917899</v>
      </c>
      <c r="G775">
        <v>356980.37970353581</v>
      </c>
      <c r="H775">
        <v>2752.5481015175042</v>
      </c>
      <c r="I775">
        <v>16.224721465558162</v>
      </c>
      <c r="J775">
        <v>321741.88120964577</v>
      </c>
      <c r="K775">
        <v>2095.7142066953411</v>
      </c>
      <c r="L775">
        <v>-1.6571392143597379</v>
      </c>
      <c r="M775">
        <v>-35238.498493890045</v>
      </c>
    </row>
    <row r="776" spans="4:13" x14ac:dyDescent="0.55000000000000004">
      <c r="D776">
        <v>771</v>
      </c>
      <c r="E776">
        <v>572.49609556623159</v>
      </c>
      <c r="F776">
        <v>17.802437729950306</v>
      </c>
      <c r="G776">
        <v>355476.25850343984</v>
      </c>
      <c r="H776">
        <v>2795.162452564723</v>
      </c>
      <c r="I776">
        <v>16.455643270797545</v>
      </c>
      <c r="J776">
        <v>326317.70296338614</v>
      </c>
      <c r="K776">
        <v>2222.6663569984912</v>
      </c>
      <c r="L776">
        <v>-1.3467944591527612</v>
      </c>
      <c r="M776">
        <v>-29158.555540053698</v>
      </c>
    </row>
    <row r="777" spans="4:13" x14ac:dyDescent="0.55000000000000004">
      <c r="D777">
        <v>772</v>
      </c>
      <c r="E777">
        <v>730.2398932321131</v>
      </c>
      <c r="F777">
        <v>16.449568105873915</v>
      </c>
      <c r="G777">
        <v>328261.12222424615</v>
      </c>
      <c r="H777">
        <v>2630.7146369761062</v>
      </c>
      <c r="I777">
        <v>16.210361008092274</v>
      </c>
      <c r="J777">
        <v>321576.50552486937</v>
      </c>
      <c r="K777">
        <v>1900.4747437439933</v>
      </c>
      <c r="L777">
        <v>-0.23920709778164095</v>
      </c>
      <c r="M777">
        <v>-6684.6166993767838</v>
      </c>
    </row>
    <row r="778" spans="4:13" x14ac:dyDescent="0.55000000000000004">
      <c r="D778">
        <v>773</v>
      </c>
      <c r="E778">
        <v>750.50081480124197</v>
      </c>
      <c r="F778">
        <v>19.056948209775541</v>
      </c>
      <c r="G778">
        <v>380388.46338070958</v>
      </c>
      <c r="H778">
        <v>2782.8599574948257</v>
      </c>
      <c r="I778">
        <v>17.694739338892077</v>
      </c>
      <c r="J778">
        <v>351111.92682034674</v>
      </c>
      <c r="K778">
        <v>2032.3591426935836</v>
      </c>
      <c r="L778">
        <v>-1.3622088708834639</v>
      </c>
      <c r="M778">
        <v>-29276.536560362845</v>
      </c>
    </row>
    <row r="779" spans="4:13" x14ac:dyDescent="0.55000000000000004">
      <c r="D779">
        <v>774</v>
      </c>
      <c r="E779">
        <v>528.68316609470583</v>
      </c>
      <c r="F779">
        <v>19.019494851733477</v>
      </c>
      <c r="G779">
        <v>379861.21386857482</v>
      </c>
      <c r="H779">
        <v>2732.7055234301424</v>
      </c>
      <c r="I779">
        <v>17.701776511406006</v>
      </c>
      <c r="J779">
        <v>351302.82470468996</v>
      </c>
      <c r="K779">
        <v>2204.0223573354365</v>
      </c>
      <c r="L779">
        <v>-1.3177183403274704</v>
      </c>
      <c r="M779">
        <v>-28558.389163884858</v>
      </c>
    </row>
    <row r="780" spans="4:13" x14ac:dyDescent="0.55000000000000004">
      <c r="D780">
        <v>775</v>
      </c>
      <c r="E780">
        <v>751.10229396009504</v>
      </c>
      <c r="F780">
        <v>18.95067958717182</v>
      </c>
      <c r="G780">
        <v>378262.4894494763</v>
      </c>
      <c r="H780">
        <v>2729.1033483197816</v>
      </c>
      <c r="I780">
        <v>18.076355972479501</v>
      </c>
      <c r="J780">
        <v>358798.01610127027</v>
      </c>
      <c r="K780">
        <v>1978.0010543596866</v>
      </c>
      <c r="L780">
        <v>-0.87432361469231878</v>
      </c>
      <c r="M780">
        <v>-19464.473348206026</v>
      </c>
    </row>
    <row r="781" spans="4:13" x14ac:dyDescent="0.55000000000000004">
      <c r="D781">
        <v>776</v>
      </c>
      <c r="E781">
        <v>993.24382629045181</v>
      </c>
      <c r="F781">
        <v>18.28303483478998</v>
      </c>
      <c r="G781">
        <v>364667.45286950911</v>
      </c>
      <c r="H781">
        <v>2662.6189716941235</v>
      </c>
      <c r="I781">
        <v>16.967415080245207</v>
      </c>
      <c r="J781">
        <v>336685.68263320997</v>
      </c>
      <c r="K781">
        <v>1669.3751454036717</v>
      </c>
      <c r="L781">
        <v>-1.3156197545447732</v>
      </c>
      <c r="M781">
        <v>-27981.77023629914</v>
      </c>
    </row>
    <row r="782" spans="4:13" x14ac:dyDescent="0.55000000000000004">
      <c r="D782">
        <v>777</v>
      </c>
      <c r="E782">
        <v>731.25524274633699</v>
      </c>
      <c r="F782">
        <v>17.05746891580872</v>
      </c>
      <c r="G782">
        <v>340418.12307342805</v>
      </c>
      <c r="H782">
        <v>2859.6749562025302</v>
      </c>
      <c r="I782">
        <v>15.979046657209027</v>
      </c>
      <c r="J782">
        <v>316721.25818797806</v>
      </c>
      <c r="K782">
        <v>2128.4197134561932</v>
      </c>
      <c r="L782">
        <v>-1.0784222585996925</v>
      </c>
      <c r="M782">
        <v>-23696.864885449992</v>
      </c>
    </row>
    <row r="783" spans="4:13" x14ac:dyDescent="0.55000000000000004">
      <c r="D783">
        <v>778</v>
      </c>
      <c r="E783">
        <v>666.92173165408815</v>
      </c>
      <c r="F783">
        <v>18.080923585376706</v>
      </c>
      <c r="G783">
        <v>360951.54997588001</v>
      </c>
      <c r="H783">
        <v>2871.4967933135772</v>
      </c>
      <c r="I783">
        <v>16.481794777187982</v>
      </c>
      <c r="J783">
        <v>326764.39875044604</v>
      </c>
      <c r="K783">
        <v>2204.5750616594892</v>
      </c>
      <c r="L783">
        <v>-1.5991288081887234</v>
      </c>
      <c r="M783">
        <v>-34187.151225433976</v>
      </c>
    </row>
    <row r="784" spans="4:13" x14ac:dyDescent="0.55000000000000004">
      <c r="D784">
        <v>779</v>
      </c>
      <c r="E784">
        <v>847.98904449668839</v>
      </c>
      <c r="F784">
        <v>17.604765660895801</v>
      </c>
      <c r="G784">
        <v>351247.32417341933</v>
      </c>
      <c r="H784">
        <v>2771.9114717886796</v>
      </c>
      <c r="I784">
        <v>16.10725632769261</v>
      </c>
      <c r="J784">
        <v>319373.21508206357</v>
      </c>
      <c r="K784">
        <v>1923.9224272919912</v>
      </c>
      <c r="L784">
        <v>-1.4975093332031904</v>
      </c>
      <c r="M784">
        <v>-31874.109091355756</v>
      </c>
    </row>
    <row r="785" spans="4:13" x14ac:dyDescent="0.55000000000000004">
      <c r="D785">
        <v>780</v>
      </c>
      <c r="E785">
        <v>978.72859128350024</v>
      </c>
      <c r="F785">
        <v>19.187047064960936</v>
      </c>
      <c r="G785">
        <v>382762.21270793525</v>
      </c>
      <c r="H785">
        <v>2643.4180030219181</v>
      </c>
      <c r="I785">
        <v>17.147999779276468</v>
      </c>
      <c r="J785">
        <v>340316.57758250745</v>
      </c>
      <c r="K785">
        <v>1664.6894117384179</v>
      </c>
      <c r="L785">
        <v>-2.0390472856844681</v>
      </c>
      <c r="M785">
        <v>-42445.635125427798</v>
      </c>
    </row>
    <row r="786" spans="4:13" x14ac:dyDescent="0.55000000000000004">
      <c r="D786">
        <v>781</v>
      </c>
      <c r="E786">
        <v>865.86834860778652</v>
      </c>
      <c r="F786">
        <v>16.957845406523766</v>
      </c>
      <c r="G786">
        <v>338291.03978186753</v>
      </c>
      <c r="H786">
        <v>3265.3772318588881</v>
      </c>
      <c r="I786">
        <v>15.31925142126002</v>
      </c>
      <c r="J786">
        <v>303119.65119334147</v>
      </c>
      <c r="K786">
        <v>2399.5088832511015</v>
      </c>
      <c r="L786">
        <v>-1.6385939852637463</v>
      </c>
      <c r="M786">
        <v>-35171.388588526053</v>
      </c>
    </row>
    <row r="787" spans="4:13" x14ac:dyDescent="0.55000000000000004">
      <c r="D787">
        <v>782</v>
      </c>
      <c r="E787">
        <v>654.97365023265286</v>
      </c>
      <c r="F787">
        <v>21.688116279227792</v>
      </c>
      <c r="G787">
        <v>433107.3519343232</v>
      </c>
      <c r="H787">
        <v>2688.9149045003528</v>
      </c>
      <c r="I787">
        <v>19.778918620324202</v>
      </c>
      <c r="J787">
        <v>392889.45750198368</v>
      </c>
      <c r="K787">
        <v>2033.9412542677001</v>
      </c>
      <c r="L787">
        <v>-1.9091976589035902</v>
      </c>
      <c r="M787">
        <v>-40217.894432339526</v>
      </c>
    </row>
    <row r="788" spans="4:13" x14ac:dyDescent="0.55000000000000004">
      <c r="D788">
        <v>783</v>
      </c>
      <c r="E788">
        <v>807.39016187793686</v>
      </c>
      <c r="F788">
        <v>19.540625950543497</v>
      </c>
      <c r="G788">
        <v>390005.128848992</v>
      </c>
      <c r="H788">
        <v>2815.1891533372982</v>
      </c>
      <c r="I788">
        <v>17.116840482633148</v>
      </c>
      <c r="J788">
        <v>339521.62049932568</v>
      </c>
      <c r="K788">
        <v>2007.7989914593613</v>
      </c>
      <c r="L788">
        <v>-2.4237854679103492</v>
      </c>
      <c r="M788">
        <v>-50483.508349666314</v>
      </c>
    </row>
    <row r="789" spans="4:13" x14ac:dyDescent="0.55000000000000004">
      <c r="D789">
        <v>784</v>
      </c>
      <c r="E789">
        <v>872.31288399791106</v>
      </c>
      <c r="F789">
        <v>15.310195490330855</v>
      </c>
      <c r="G789">
        <v>305331.59692261921</v>
      </c>
      <c r="H789">
        <v>3039.0487821919896</v>
      </c>
      <c r="I789">
        <v>14.48372979504509</v>
      </c>
      <c r="J789">
        <v>286635.54711870977</v>
      </c>
      <c r="K789">
        <v>2166.7358981940788</v>
      </c>
      <c r="L789">
        <v>-0.82646569528576563</v>
      </c>
      <c r="M789">
        <v>-18696.049803909438</v>
      </c>
    </row>
    <row r="790" spans="4:13" x14ac:dyDescent="0.55000000000000004">
      <c r="D790">
        <v>785</v>
      </c>
      <c r="E790">
        <v>707.77379139773825</v>
      </c>
      <c r="F790">
        <v>16.552753752385055</v>
      </c>
      <c r="G790">
        <v>330347.30125630333</v>
      </c>
      <c r="H790">
        <v>2668.8689931842309</v>
      </c>
      <c r="I790">
        <v>15.288363030176617</v>
      </c>
      <c r="J790">
        <v>303098.39161034813</v>
      </c>
      <c r="K790">
        <v>1961.0952017864927</v>
      </c>
      <c r="L790">
        <v>-1.2643907222084376</v>
      </c>
      <c r="M790">
        <v>-27248.909645955195</v>
      </c>
    </row>
    <row r="791" spans="4:13" x14ac:dyDescent="0.55000000000000004">
      <c r="D791">
        <v>786</v>
      </c>
      <c r="E791">
        <v>568.22647226330889</v>
      </c>
      <c r="F791">
        <v>14.988700195998522</v>
      </c>
      <c r="G791">
        <v>299205.77744770714</v>
      </c>
      <c r="H791">
        <v>2668.2182188386641</v>
      </c>
      <c r="I791">
        <v>14.237098825085654</v>
      </c>
      <c r="J791">
        <v>282073.75828287442</v>
      </c>
      <c r="K791">
        <v>2099.9917465753551</v>
      </c>
      <c r="L791">
        <v>-0.75160137091286749</v>
      </c>
      <c r="M791">
        <v>-17132.019164832716</v>
      </c>
    </row>
    <row r="792" spans="4:13" x14ac:dyDescent="0.55000000000000004">
      <c r="D792">
        <v>787</v>
      </c>
      <c r="E792">
        <v>780.25903241943968</v>
      </c>
      <c r="F792">
        <v>19.809825612559891</v>
      </c>
      <c r="G792">
        <v>395416.25321877841</v>
      </c>
      <c r="H792">
        <v>2831.7768755054212</v>
      </c>
      <c r="I792">
        <v>18.625538862909945</v>
      </c>
      <c r="J792">
        <v>369679.00038269348</v>
      </c>
      <c r="K792">
        <v>2051.5178430859814</v>
      </c>
      <c r="L792">
        <v>-1.1842867496499458</v>
      </c>
      <c r="M792">
        <v>-25737.252836084925</v>
      </c>
    </row>
    <row r="793" spans="4:13" x14ac:dyDescent="0.55000000000000004">
      <c r="D793">
        <v>788</v>
      </c>
      <c r="E793">
        <v>521.20123655787643</v>
      </c>
      <c r="F793">
        <v>13.488728953547474</v>
      </c>
      <c r="G793">
        <v>269253.37783439161</v>
      </c>
      <c r="H793">
        <v>2807.0233813802074</v>
      </c>
      <c r="I793">
        <v>13.25688942664344</v>
      </c>
      <c r="J793">
        <v>262330.76515148859</v>
      </c>
      <c r="K793">
        <v>2285.8221448223312</v>
      </c>
      <c r="L793">
        <v>-0.23183952690403409</v>
      </c>
      <c r="M793">
        <v>-6922.6126829030109</v>
      </c>
    </row>
    <row r="794" spans="4:13" x14ac:dyDescent="0.55000000000000004">
      <c r="D794">
        <v>789</v>
      </c>
      <c r="E794">
        <v>856.44516705858894</v>
      </c>
      <c r="F794">
        <v>19.136876906467492</v>
      </c>
      <c r="G794">
        <v>381881.09296229121</v>
      </c>
      <c r="H794">
        <v>2816.0986408023373</v>
      </c>
      <c r="I794">
        <v>18.233852686616835</v>
      </c>
      <c r="J794">
        <v>361860.95509153436</v>
      </c>
      <c r="K794">
        <v>1959.6534737437482</v>
      </c>
      <c r="L794">
        <v>-0.90302421985065706</v>
      </c>
      <c r="M794">
        <v>-20020.137870756851</v>
      </c>
    </row>
    <row r="795" spans="4:13" x14ac:dyDescent="0.55000000000000004">
      <c r="D795">
        <v>790</v>
      </c>
      <c r="E795">
        <v>867.36613866461107</v>
      </c>
      <c r="F795">
        <v>17.327764159779303</v>
      </c>
      <c r="G795">
        <v>345687.91705692146</v>
      </c>
      <c r="H795">
        <v>2758.3457043078024</v>
      </c>
      <c r="I795">
        <v>16.768790288466739</v>
      </c>
      <c r="J795">
        <v>332617.460065027</v>
      </c>
      <c r="K795">
        <v>1890.9795656431913</v>
      </c>
      <c r="L795">
        <v>-0.55897387131256338</v>
      </c>
      <c r="M795">
        <v>-13070.456991894462</v>
      </c>
    </row>
    <row r="796" spans="4:13" x14ac:dyDescent="0.55000000000000004">
      <c r="D796">
        <v>791</v>
      </c>
      <c r="E796">
        <v>633.51510466984439</v>
      </c>
      <c r="F796">
        <v>18.513399946217131</v>
      </c>
      <c r="G796">
        <v>369634.48381967278</v>
      </c>
      <c r="H796">
        <v>2805.881613139914</v>
      </c>
      <c r="I796">
        <v>17.056047351860517</v>
      </c>
      <c r="J796">
        <v>338315.0654240704</v>
      </c>
      <c r="K796">
        <v>2172.3665084700697</v>
      </c>
      <c r="L796">
        <v>-1.4573525943566139</v>
      </c>
      <c r="M796">
        <v>-31319.418395602377</v>
      </c>
    </row>
    <row r="797" spans="4:13" x14ac:dyDescent="0.55000000000000004">
      <c r="D797">
        <v>792</v>
      </c>
      <c r="E797">
        <v>837.65946215648705</v>
      </c>
      <c r="F797">
        <v>20.716626368024986</v>
      </c>
      <c r="G797">
        <v>413494.86789834325</v>
      </c>
      <c r="H797">
        <v>2672.648305010387</v>
      </c>
      <c r="I797">
        <v>19.476579828503802</v>
      </c>
      <c r="J797">
        <v>386858.94826506561</v>
      </c>
      <c r="K797">
        <v>1834.9888428539</v>
      </c>
      <c r="L797">
        <v>-1.2400465395211846</v>
      </c>
      <c r="M797">
        <v>-26635.919633277634</v>
      </c>
    </row>
    <row r="798" spans="4:13" x14ac:dyDescent="0.55000000000000004">
      <c r="D798">
        <v>793</v>
      </c>
      <c r="E798">
        <v>813.28353256642333</v>
      </c>
      <c r="F798">
        <v>15.781714204301702</v>
      </c>
      <c r="G798">
        <v>314821.0005534676</v>
      </c>
      <c r="H798">
        <v>2725.7496966249655</v>
      </c>
      <c r="I798">
        <v>14.751415123054171</v>
      </c>
      <c r="J798">
        <v>292302.55276445841</v>
      </c>
      <c r="K798">
        <v>1912.4661640585423</v>
      </c>
      <c r="L798">
        <v>-1.0302990812475308</v>
      </c>
      <c r="M798">
        <v>-22518.447789009195</v>
      </c>
    </row>
    <row r="799" spans="4:13" x14ac:dyDescent="0.55000000000000004">
      <c r="D799">
        <v>794</v>
      </c>
      <c r="E799">
        <v>398.98173193178343</v>
      </c>
      <c r="F799">
        <v>18.784730022390477</v>
      </c>
      <c r="G799">
        <v>375295.61871587776</v>
      </c>
      <c r="H799">
        <v>2673.2227327914893</v>
      </c>
      <c r="I799">
        <v>17.961288351585662</v>
      </c>
      <c r="J799">
        <v>356552.54429892171</v>
      </c>
      <c r="K799">
        <v>2274.2410008597058</v>
      </c>
      <c r="L799">
        <v>-0.82344167080481512</v>
      </c>
      <c r="M799">
        <v>-18743.074416956049</v>
      </c>
    </row>
    <row r="800" spans="4:13" x14ac:dyDescent="0.55000000000000004">
      <c r="D800">
        <v>795</v>
      </c>
      <c r="E800">
        <v>922.77868294692064</v>
      </c>
      <c r="F800">
        <v>20.100276222204442</v>
      </c>
      <c r="G800">
        <v>401082.74576114194</v>
      </c>
      <c r="H800">
        <v>2737.4323944855728</v>
      </c>
      <c r="I800">
        <v>19.073306210630594</v>
      </c>
      <c r="J800">
        <v>378728.6918181263</v>
      </c>
      <c r="K800">
        <v>1814.6537115386523</v>
      </c>
      <c r="L800">
        <v>-1.026970011573848</v>
      </c>
      <c r="M800">
        <v>-22354.053943015635</v>
      </c>
    </row>
    <row r="801" spans="4:13" x14ac:dyDescent="0.55000000000000004">
      <c r="D801">
        <v>796</v>
      </c>
      <c r="E801">
        <v>704.24378401009085</v>
      </c>
      <c r="F801">
        <v>20.909948709280503</v>
      </c>
      <c r="G801">
        <v>417494.73040159995</v>
      </c>
      <c r="H801">
        <v>2840.9808324370529</v>
      </c>
      <c r="I801">
        <v>18.900323922377332</v>
      </c>
      <c r="J801">
        <v>375165.49761510961</v>
      </c>
      <c r="K801">
        <v>2136.7370484269622</v>
      </c>
      <c r="L801">
        <v>-2.0096247869031707</v>
      </c>
      <c r="M801">
        <v>-42329.232786490349</v>
      </c>
    </row>
    <row r="802" spans="4:13" x14ac:dyDescent="0.55000000000000004">
      <c r="D802">
        <v>797</v>
      </c>
      <c r="E802">
        <v>651.93065306601125</v>
      </c>
      <c r="F802">
        <v>16.19671867078581</v>
      </c>
      <c r="G802">
        <v>323282.44276265014</v>
      </c>
      <c r="H802">
        <v>2850.2884129986087</v>
      </c>
      <c r="I802">
        <v>15.312005185556769</v>
      </c>
      <c r="J802">
        <v>303389.81529813679</v>
      </c>
      <c r="K802">
        <v>2198.3577599325972</v>
      </c>
      <c r="L802">
        <v>-0.88471348522904059</v>
      </c>
      <c r="M802">
        <v>-19892.627464513353</v>
      </c>
    </row>
    <row r="803" spans="4:13" x14ac:dyDescent="0.55000000000000004">
      <c r="D803">
        <v>798</v>
      </c>
      <c r="E803">
        <v>527.04397449848398</v>
      </c>
      <c r="F803">
        <v>18.965740559988735</v>
      </c>
      <c r="G803">
        <v>378787.76722527621</v>
      </c>
      <c r="H803">
        <v>2768.4333341436204</v>
      </c>
      <c r="I803">
        <v>17.261206267676926</v>
      </c>
      <c r="J803">
        <v>342455.69201939489</v>
      </c>
      <c r="K803">
        <v>2241.3893596451362</v>
      </c>
      <c r="L803">
        <v>-1.7045342923118092</v>
      </c>
      <c r="M803">
        <v>-36332.075205881323</v>
      </c>
    </row>
    <row r="804" spans="4:13" x14ac:dyDescent="0.55000000000000004">
      <c r="D804">
        <v>799</v>
      </c>
      <c r="E804">
        <v>813.34381636207991</v>
      </c>
      <c r="F804">
        <v>15.633782571194178</v>
      </c>
      <c r="G804">
        <v>311862.30760752148</v>
      </c>
      <c r="H804">
        <v>2856.8101754987692</v>
      </c>
      <c r="I804">
        <v>14.79018206237588</v>
      </c>
      <c r="J804">
        <v>292946.83107201883</v>
      </c>
      <c r="K804">
        <v>2043.4663591366893</v>
      </c>
      <c r="L804">
        <v>-0.84360050881829807</v>
      </c>
      <c r="M804">
        <v>-18915.476535502647</v>
      </c>
    </row>
    <row r="805" spans="4:13" x14ac:dyDescent="0.55000000000000004">
      <c r="D805">
        <v>800</v>
      </c>
      <c r="E805">
        <v>502.48823963109578</v>
      </c>
      <c r="F805">
        <v>19.376149600463204</v>
      </c>
      <c r="G805">
        <v>387020.50376963295</v>
      </c>
      <c r="H805">
        <v>2776.2050438609599</v>
      </c>
      <c r="I805">
        <v>17.491326506423494</v>
      </c>
      <c r="J805">
        <v>347050.32508460892</v>
      </c>
      <c r="K805">
        <v>2273.716804229864</v>
      </c>
      <c r="L805">
        <v>-1.8848230940397102</v>
      </c>
      <c r="M805">
        <v>-39970.178685024031</v>
      </c>
    </row>
    <row r="806" spans="4:13" x14ac:dyDescent="0.55000000000000004">
      <c r="D806">
        <v>801</v>
      </c>
      <c r="E806">
        <v>941.15320593748356</v>
      </c>
      <c r="F806">
        <v>18.58178310887612</v>
      </c>
      <c r="G806">
        <v>370694.50897158496</v>
      </c>
      <c r="H806">
        <v>2819.3222385160657</v>
      </c>
      <c r="I806">
        <v>16.963222085267887</v>
      </c>
      <c r="J806">
        <v>336445.11946684169</v>
      </c>
      <c r="K806">
        <v>1878.1690325785821</v>
      </c>
      <c r="L806">
        <v>-1.6185610236082333</v>
      </c>
      <c r="M806">
        <v>-34249.389504743274</v>
      </c>
    </row>
    <row r="807" spans="4:13" x14ac:dyDescent="0.55000000000000004">
      <c r="D807">
        <v>802</v>
      </c>
      <c r="E807">
        <v>682.07412399941279</v>
      </c>
      <c r="F807">
        <v>17.938210967632109</v>
      </c>
      <c r="G807">
        <v>358082.1452286428</v>
      </c>
      <c r="H807">
        <v>2752.7139938460655</v>
      </c>
      <c r="I807">
        <v>16.480505595191115</v>
      </c>
      <c r="J807">
        <v>326857.39790997619</v>
      </c>
      <c r="K807">
        <v>2070.6398698466528</v>
      </c>
      <c r="L807">
        <v>-1.4577053724409943</v>
      </c>
      <c r="M807">
        <v>-31224.747318666603</v>
      </c>
    </row>
    <row r="808" spans="4:13" x14ac:dyDescent="0.55000000000000004">
      <c r="D808">
        <v>803</v>
      </c>
      <c r="E808">
        <v>711.82026521285127</v>
      </c>
      <c r="F808">
        <v>17.525660425319845</v>
      </c>
      <c r="G808">
        <v>349801.38824118406</v>
      </c>
      <c r="H808">
        <v>2675.2619827496683</v>
      </c>
      <c r="I808">
        <v>16.415749444020356</v>
      </c>
      <c r="J808">
        <v>325639.72689765744</v>
      </c>
      <c r="K808">
        <v>1963.4417175368171</v>
      </c>
      <c r="L808">
        <v>-1.109910981299489</v>
      </c>
      <c r="M808">
        <v>-24161.661343526619</v>
      </c>
    </row>
    <row r="809" spans="4:13" x14ac:dyDescent="0.55000000000000004">
      <c r="D809">
        <v>804</v>
      </c>
      <c r="E809">
        <v>801.04342251816308</v>
      </c>
      <c r="F809">
        <v>17.702437674110453</v>
      </c>
      <c r="G809">
        <v>353247.71005969087</v>
      </c>
      <c r="H809">
        <v>2790.3308628280402</v>
      </c>
      <c r="I809">
        <v>16.618718216330009</v>
      </c>
      <c r="J809">
        <v>329584.0334637721</v>
      </c>
      <c r="K809">
        <v>1989.2874403098772</v>
      </c>
      <c r="L809">
        <v>-1.0837194577804432</v>
      </c>
      <c r="M809">
        <v>-23663.676595918776</v>
      </c>
    </row>
    <row r="810" spans="4:13" x14ac:dyDescent="0.55000000000000004">
      <c r="D810">
        <v>805</v>
      </c>
      <c r="E810">
        <v>717.71244842619501</v>
      </c>
      <c r="F810">
        <v>19.22480189554221</v>
      </c>
      <c r="G810">
        <v>383778.32546241803</v>
      </c>
      <c r="H810">
        <v>2875.5764256089574</v>
      </c>
      <c r="I810">
        <v>18.130846362164888</v>
      </c>
      <c r="J810">
        <v>359741.3508176888</v>
      </c>
      <c r="K810">
        <v>2157.8639771827625</v>
      </c>
      <c r="L810">
        <v>-1.0939555333773221</v>
      </c>
      <c r="M810">
        <v>-24036.974644729227</v>
      </c>
    </row>
    <row r="811" spans="4:13" x14ac:dyDescent="0.55000000000000004">
      <c r="D811">
        <v>806</v>
      </c>
      <c r="E811">
        <v>438.27655046875691</v>
      </c>
      <c r="F811">
        <v>17.930097722717033</v>
      </c>
      <c r="G811">
        <v>358163.67790387193</v>
      </c>
      <c r="H811">
        <v>2687.988387463532</v>
      </c>
      <c r="I811">
        <v>16.735999272504355</v>
      </c>
      <c r="J811">
        <v>332031.99706262356</v>
      </c>
      <c r="K811">
        <v>2249.7118369947752</v>
      </c>
      <c r="L811">
        <v>-1.1940984502126781</v>
      </c>
      <c r="M811">
        <v>-26131.680841248366</v>
      </c>
    </row>
    <row r="812" spans="4:13" x14ac:dyDescent="0.55000000000000004">
      <c r="D812">
        <v>807</v>
      </c>
      <c r="E812">
        <v>1122.9754646434208</v>
      </c>
      <c r="F812">
        <v>18.855732391211404</v>
      </c>
      <c r="G812">
        <v>375991.67235958466</v>
      </c>
      <c r="H812">
        <v>2710.3605820921371</v>
      </c>
      <c r="I812">
        <v>17.438865058024689</v>
      </c>
      <c r="J812">
        <v>346066.94057840161</v>
      </c>
      <c r="K812">
        <v>1587.3851174487163</v>
      </c>
      <c r="L812">
        <v>-1.4168673331867154</v>
      </c>
      <c r="M812">
        <v>-29924.731781183043</v>
      </c>
    </row>
    <row r="813" spans="4:13" x14ac:dyDescent="0.55000000000000004">
      <c r="D813">
        <v>808</v>
      </c>
      <c r="E813">
        <v>662.42301269858353</v>
      </c>
      <c r="F813">
        <v>19.067131015829652</v>
      </c>
      <c r="G813">
        <v>380680.19730389444</v>
      </c>
      <c r="H813">
        <v>2680.2511344591007</v>
      </c>
      <c r="I813">
        <v>17.933025011456873</v>
      </c>
      <c r="J813">
        <v>355980.24909467838</v>
      </c>
      <c r="K813">
        <v>2017.8281217605172</v>
      </c>
      <c r="L813">
        <v>-1.1341060043727786</v>
      </c>
      <c r="M813">
        <v>-24699.948209216062</v>
      </c>
    </row>
    <row r="814" spans="4:13" x14ac:dyDescent="0.55000000000000004">
      <c r="D814">
        <v>809</v>
      </c>
      <c r="E814">
        <v>935.97284895609755</v>
      </c>
      <c r="F814">
        <v>18.597425425724264</v>
      </c>
      <c r="G814">
        <v>371012.53566552914</v>
      </c>
      <c r="H814">
        <v>2769.1911019285208</v>
      </c>
      <c r="I814">
        <v>17.528367168975699</v>
      </c>
      <c r="J814">
        <v>347798.15227758541</v>
      </c>
      <c r="K814">
        <v>1833.2182529724232</v>
      </c>
      <c r="L814">
        <v>-1.0690582567485656</v>
      </c>
      <c r="M814">
        <v>-23214.38338794373</v>
      </c>
    </row>
    <row r="815" spans="4:13" x14ac:dyDescent="0.55000000000000004">
      <c r="D815">
        <v>810</v>
      </c>
      <c r="E815">
        <v>594.88100684652716</v>
      </c>
      <c r="F815">
        <v>18.197899034006181</v>
      </c>
      <c r="G815">
        <v>363363.09967327706</v>
      </c>
      <c r="H815">
        <v>2684.4689879477537</v>
      </c>
      <c r="I815">
        <v>16.439552614886139</v>
      </c>
      <c r="J815">
        <v>326106.58330977504</v>
      </c>
      <c r="K815">
        <v>2089.5879811012264</v>
      </c>
      <c r="L815">
        <v>-1.7583464191200413</v>
      </c>
      <c r="M815">
        <v>-37256.516363502014</v>
      </c>
    </row>
    <row r="816" spans="4:13" x14ac:dyDescent="0.55000000000000004">
      <c r="D816">
        <v>811</v>
      </c>
      <c r="E816">
        <v>488.35896665474098</v>
      </c>
      <c r="F816">
        <v>20.362340000699444</v>
      </c>
      <c r="G816">
        <v>406758.44104733411</v>
      </c>
      <c r="H816">
        <v>2761.4641011440308</v>
      </c>
      <c r="I816">
        <v>17.976517280530043</v>
      </c>
      <c r="J816">
        <v>356768.88150945678</v>
      </c>
      <c r="K816">
        <v>2273.1051344892899</v>
      </c>
      <c r="L816">
        <v>-2.3858227201694007</v>
      </c>
      <c r="M816">
        <v>-49989.559537877329</v>
      </c>
    </row>
    <row r="817" spans="4:13" x14ac:dyDescent="0.55000000000000004">
      <c r="D817">
        <v>812</v>
      </c>
      <c r="E817">
        <v>840.87198764874609</v>
      </c>
      <c r="F817">
        <v>17.365168549055639</v>
      </c>
      <c r="G817">
        <v>346462.49899346399</v>
      </c>
      <c r="H817">
        <v>2688.4526761389761</v>
      </c>
      <c r="I817">
        <v>16.282926569505012</v>
      </c>
      <c r="J817">
        <v>322970.07871396129</v>
      </c>
      <c r="K817">
        <v>1847.5806884902299</v>
      </c>
      <c r="L817">
        <v>-1.0822419795506271</v>
      </c>
      <c r="M817">
        <v>-23492.420279502694</v>
      </c>
    </row>
    <row r="818" spans="4:13" x14ac:dyDescent="0.55000000000000004">
      <c r="D818">
        <v>813</v>
      </c>
      <c r="E818">
        <v>551.81932985424328</v>
      </c>
      <c r="F818">
        <v>20.294269337399914</v>
      </c>
      <c r="G818">
        <v>405333.56741814408</v>
      </c>
      <c r="H818">
        <v>2813.7138263332663</v>
      </c>
      <c r="I818">
        <v>18.971354796991193</v>
      </c>
      <c r="J818">
        <v>376613.38211349054</v>
      </c>
      <c r="K818">
        <v>2261.894496479023</v>
      </c>
      <c r="L818">
        <v>-1.3229145404087213</v>
      </c>
      <c r="M818">
        <v>-28720.18530465354</v>
      </c>
    </row>
    <row r="819" spans="4:13" x14ac:dyDescent="0.55000000000000004">
      <c r="D819">
        <v>814</v>
      </c>
      <c r="E819">
        <v>565.94948083186523</v>
      </c>
      <c r="F819">
        <v>18.925388162799148</v>
      </c>
      <c r="G819">
        <v>377941.81377515109</v>
      </c>
      <c r="H819">
        <v>2874.8711872500862</v>
      </c>
      <c r="I819">
        <v>17.527566402074029</v>
      </c>
      <c r="J819">
        <v>347676.45685423049</v>
      </c>
      <c r="K819">
        <v>2308.9217064182212</v>
      </c>
      <c r="L819">
        <v>-1.3978217607251189</v>
      </c>
      <c r="M819">
        <v>-30265.356920920603</v>
      </c>
    </row>
    <row r="820" spans="4:13" x14ac:dyDescent="0.55000000000000004">
      <c r="D820">
        <v>815</v>
      </c>
      <c r="E820">
        <v>625.91291367402766</v>
      </c>
      <c r="F820">
        <v>18.392491548563459</v>
      </c>
      <c r="G820">
        <v>367223.91805759515</v>
      </c>
      <c r="H820">
        <v>2694.2711144522655</v>
      </c>
      <c r="I820">
        <v>17.241031487200704</v>
      </c>
      <c r="J820">
        <v>342126.35862956179</v>
      </c>
      <c r="K820">
        <v>2068.3582007782379</v>
      </c>
      <c r="L820">
        <v>-1.151460061362755</v>
      </c>
      <c r="M820">
        <v>-25097.559428033361</v>
      </c>
    </row>
    <row r="821" spans="4:13" x14ac:dyDescent="0.55000000000000004">
      <c r="D821">
        <v>816</v>
      </c>
      <c r="E821">
        <v>1284.8989387826155</v>
      </c>
      <c r="F821">
        <v>17.11857087013242</v>
      </c>
      <c r="G821">
        <v>341086.51846386574</v>
      </c>
      <c r="H821">
        <v>2660.5832717755011</v>
      </c>
      <c r="I821">
        <v>16.66086031315433</v>
      </c>
      <c r="J821">
        <v>330556.62299131107</v>
      </c>
      <c r="K821">
        <v>1375.6843329928856</v>
      </c>
      <c r="L821">
        <v>-0.45771055697808904</v>
      </c>
      <c r="M821">
        <v>-10529.895472554665</v>
      </c>
    </row>
    <row r="822" spans="4:13" x14ac:dyDescent="0.55000000000000004">
      <c r="D822">
        <v>817</v>
      </c>
      <c r="E822">
        <v>770.42866999287332</v>
      </c>
      <c r="F822">
        <v>17.826194665433295</v>
      </c>
      <c r="G822">
        <v>355753.464638673</v>
      </c>
      <c r="H822">
        <v>2622.9144364351446</v>
      </c>
      <c r="I822">
        <v>16.967179882404611</v>
      </c>
      <c r="J822">
        <v>336720.6832116571</v>
      </c>
      <c r="K822">
        <v>1852.4857664422711</v>
      </c>
      <c r="L822">
        <v>-0.85901478302868384</v>
      </c>
      <c r="M822">
        <v>-19032.7814270159</v>
      </c>
    </row>
    <row r="823" spans="4:13" x14ac:dyDescent="0.55000000000000004">
      <c r="D823">
        <v>818</v>
      </c>
      <c r="E823">
        <v>713.77370497955633</v>
      </c>
      <c r="F823">
        <v>21.463933444118872</v>
      </c>
      <c r="G823">
        <v>428564.89517739788</v>
      </c>
      <c r="H823">
        <v>2647.0850389812476</v>
      </c>
      <c r="I823">
        <v>19.962216857676065</v>
      </c>
      <c r="J823">
        <v>396597.25211454008</v>
      </c>
      <c r="K823">
        <v>1933.3113340016912</v>
      </c>
      <c r="L823">
        <v>-1.5017165864428073</v>
      </c>
      <c r="M823">
        <v>-31967.643062857795</v>
      </c>
    </row>
    <row r="824" spans="4:13" x14ac:dyDescent="0.55000000000000004">
      <c r="D824">
        <v>819</v>
      </c>
      <c r="E824">
        <v>656.94077405096141</v>
      </c>
      <c r="F824">
        <v>17.643360410821863</v>
      </c>
      <c r="G824">
        <v>352210.26744238631</v>
      </c>
      <c r="H824">
        <v>2857.5530745669485</v>
      </c>
      <c r="I824">
        <v>15.721936500099551</v>
      </c>
      <c r="J824">
        <v>311581.17692742409</v>
      </c>
      <c r="K824">
        <v>2200.612300515987</v>
      </c>
      <c r="L824">
        <v>-1.9214239107223126</v>
      </c>
      <c r="M824">
        <v>-40629.090514962212</v>
      </c>
    </row>
    <row r="825" spans="4:13" x14ac:dyDescent="0.55000000000000004">
      <c r="D825">
        <v>820</v>
      </c>
      <c r="E825">
        <v>1183.6680547236701</v>
      </c>
      <c r="F825">
        <v>17.104280658794938</v>
      </c>
      <c r="G825">
        <v>340901.94512117509</v>
      </c>
      <c r="H825">
        <v>2665.3895268353554</v>
      </c>
      <c r="I825">
        <v>16.133803657849946</v>
      </c>
      <c r="J825">
        <v>320010.68363016355</v>
      </c>
      <c r="K825">
        <v>1481.7214721116852</v>
      </c>
      <c r="L825">
        <v>-0.97047700094499234</v>
      </c>
      <c r="M825">
        <v>-20891.261491011537</v>
      </c>
    </row>
    <row r="826" spans="4:13" x14ac:dyDescent="0.55000000000000004">
      <c r="D826">
        <v>821</v>
      </c>
      <c r="E826">
        <v>684.41346482624272</v>
      </c>
      <c r="F826">
        <v>19.339015484732098</v>
      </c>
      <c r="G826">
        <v>386095.89622981573</v>
      </c>
      <c r="H826">
        <v>2965.6865002154095</v>
      </c>
      <c r="I826">
        <v>18.025353925241866</v>
      </c>
      <c r="J826">
        <v>357541.39200462191</v>
      </c>
      <c r="K826">
        <v>2281.2730353891666</v>
      </c>
      <c r="L826">
        <v>-1.3136615594902317</v>
      </c>
      <c r="M826">
        <v>-28554.504225193814</v>
      </c>
    </row>
    <row r="827" spans="4:13" x14ac:dyDescent="0.55000000000000004">
      <c r="D827">
        <v>822</v>
      </c>
      <c r="E827">
        <v>601.63517256657053</v>
      </c>
      <c r="F827">
        <v>21.105293714402421</v>
      </c>
      <c r="G827">
        <v>421504.23911548185</v>
      </c>
      <c r="H827">
        <v>2696.6784679327657</v>
      </c>
      <c r="I827">
        <v>17.821865352068372</v>
      </c>
      <c r="J827">
        <v>353740.62857343472</v>
      </c>
      <c r="K827">
        <v>2095.0432953661953</v>
      </c>
      <c r="L827">
        <v>-3.2834283623340497</v>
      </c>
      <c r="M827">
        <v>-67763.610542047129</v>
      </c>
    </row>
    <row r="828" spans="4:13" x14ac:dyDescent="0.55000000000000004">
      <c r="D828">
        <v>823</v>
      </c>
      <c r="E828">
        <v>521.42896784157313</v>
      </c>
      <c r="F828">
        <v>16.593813774406772</v>
      </c>
      <c r="G828">
        <v>331354.84652029391</v>
      </c>
      <c r="H828">
        <v>2737.3611930239431</v>
      </c>
      <c r="I828">
        <v>15.198434752703346</v>
      </c>
      <c r="J828">
        <v>301231.33386104292</v>
      </c>
      <c r="K828">
        <v>2215.9322251823701</v>
      </c>
      <c r="L828">
        <v>-1.3953790217034268</v>
      </c>
      <c r="M828">
        <v>-30123.512659250991</v>
      </c>
    </row>
    <row r="829" spans="4:13" x14ac:dyDescent="0.55000000000000004">
      <c r="D829">
        <v>824</v>
      </c>
      <c r="E829">
        <v>487.26432987997191</v>
      </c>
      <c r="F829">
        <v>18.155888699570141</v>
      </c>
      <c r="G829">
        <v>362630.50966152287</v>
      </c>
      <c r="H829">
        <v>3125.1581138244483</v>
      </c>
      <c r="I829">
        <v>16.284447708562272</v>
      </c>
      <c r="J829">
        <v>322563.79605742102</v>
      </c>
      <c r="K829">
        <v>2637.8937839444761</v>
      </c>
      <c r="L829">
        <v>-1.8714409910078693</v>
      </c>
      <c r="M829">
        <v>-40066.713604101853</v>
      </c>
    </row>
    <row r="830" spans="4:13" x14ac:dyDescent="0.55000000000000004">
      <c r="D830">
        <v>825</v>
      </c>
      <c r="E830">
        <v>759.33261500518267</v>
      </c>
      <c r="F830">
        <v>20.519125316625161</v>
      </c>
      <c r="G830">
        <v>409623.17371749802</v>
      </c>
      <c r="H830">
        <v>2763.9871681603618</v>
      </c>
      <c r="I830">
        <v>18.046288358973392</v>
      </c>
      <c r="J830">
        <v>358161.78001130745</v>
      </c>
      <c r="K830">
        <v>2004.6545531551792</v>
      </c>
      <c r="L830">
        <v>-2.4728369576517686</v>
      </c>
      <c r="M830">
        <v>-51461.393706190574</v>
      </c>
    </row>
    <row r="831" spans="4:13" x14ac:dyDescent="0.55000000000000004">
      <c r="D831">
        <v>826</v>
      </c>
      <c r="E831">
        <v>653.2947285680649</v>
      </c>
      <c r="F831">
        <v>20.237694014112371</v>
      </c>
      <c r="G831">
        <v>404100.58555367938</v>
      </c>
      <c r="H831">
        <v>3047.666804002446</v>
      </c>
      <c r="I831">
        <v>18.600004223206142</v>
      </c>
      <c r="J831">
        <v>368952.41766012041</v>
      </c>
      <c r="K831">
        <v>2394.3720754343813</v>
      </c>
      <c r="L831">
        <v>-1.6376897909062293</v>
      </c>
      <c r="M831">
        <v>-35148.167893558973</v>
      </c>
    </row>
    <row r="832" spans="4:13" x14ac:dyDescent="0.55000000000000004">
      <c r="D832">
        <v>827</v>
      </c>
      <c r="E832">
        <v>1169.9418886830572</v>
      </c>
      <c r="F832">
        <v>17.793713409482276</v>
      </c>
      <c r="G832">
        <v>354704.32630096248</v>
      </c>
      <c r="H832">
        <v>2687.7473771054965</v>
      </c>
      <c r="I832">
        <v>16.796349983069788</v>
      </c>
      <c r="J832">
        <v>333239.25228429027</v>
      </c>
      <c r="K832">
        <v>1517.8054884224393</v>
      </c>
      <c r="L832">
        <v>-0.99736342641248754</v>
      </c>
      <c r="M832">
        <v>-21465.07401667221</v>
      </c>
    </row>
    <row r="833" spans="4:13" x14ac:dyDescent="0.55000000000000004">
      <c r="D833">
        <v>828</v>
      </c>
      <c r="E833">
        <v>752.0316470371821</v>
      </c>
      <c r="F833">
        <v>18.717070213524966</v>
      </c>
      <c r="G833">
        <v>373589.37262346211</v>
      </c>
      <c r="H833">
        <v>2730.3128158550858</v>
      </c>
      <c r="I833">
        <v>17.771367442987728</v>
      </c>
      <c r="J833">
        <v>352697.03604389948</v>
      </c>
      <c r="K833">
        <v>1978.2811688179036</v>
      </c>
      <c r="L833">
        <v>-0.94570277053723828</v>
      </c>
      <c r="M833">
        <v>-20892.336579562631</v>
      </c>
    </row>
    <row r="834" spans="4:13" x14ac:dyDescent="0.55000000000000004">
      <c r="D834">
        <v>829</v>
      </c>
      <c r="E834">
        <v>543.55773768667359</v>
      </c>
      <c r="F834">
        <v>20.053650817722129</v>
      </c>
      <c r="G834">
        <v>400529.4586167559</v>
      </c>
      <c r="H834">
        <v>2831.0776352017019</v>
      </c>
      <c r="I834">
        <v>18.03904539279997</v>
      </c>
      <c r="J834">
        <v>357949.83022079774</v>
      </c>
      <c r="K834">
        <v>2287.5198975150283</v>
      </c>
      <c r="L834">
        <v>-2.0146054249221592</v>
      </c>
      <c r="M834">
        <v>-42579.628395958163</v>
      </c>
    </row>
    <row r="835" spans="4:13" x14ac:dyDescent="0.55000000000000004">
      <c r="D835">
        <v>830</v>
      </c>
      <c r="E835">
        <v>858.17273886041096</v>
      </c>
      <c r="F835">
        <v>19.935087991239236</v>
      </c>
      <c r="G835">
        <v>397843.58708592429</v>
      </c>
      <c r="H835">
        <v>2879.8142657718527</v>
      </c>
      <c r="I835">
        <v>17.637879961752024</v>
      </c>
      <c r="J835">
        <v>349877.78496926866</v>
      </c>
      <c r="K835">
        <v>2021.6415269114418</v>
      </c>
      <c r="L835">
        <v>-2.2972080294872121</v>
      </c>
      <c r="M835">
        <v>-47965.802116655628</v>
      </c>
    </row>
    <row r="836" spans="4:13" x14ac:dyDescent="0.55000000000000004">
      <c r="D836">
        <v>831</v>
      </c>
      <c r="E836">
        <v>414.30118715241321</v>
      </c>
      <c r="F836">
        <v>19.966349344251778</v>
      </c>
      <c r="G836">
        <v>398912.68569788319</v>
      </c>
      <c r="H836">
        <v>2717.8739885615705</v>
      </c>
      <c r="I836">
        <v>17.363728537528477</v>
      </c>
      <c r="J836">
        <v>344556.69676200795</v>
      </c>
      <c r="K836">
        <v>2303.5728014091574</v>
      </c>
      <c r="L836">
        <v>-2.6026208067233014</v>
      </c>
      <c r="M836">
        <v>-54355.988935875241</v>
      </c>
    </row>
    <row r="837" spans="4:13" x14ac:dyDescent="0.55000000000000004">
      <c r="D837">
        <v>832</v>
      </c>
      <c r="E837">
        <v>988.29537420703718</v>
      </c>
      <c r="F837">
        <v>18.086964232495575</v>
      </c>
      <c r="G837">
        <v>360750.98927570449</v>
      </c>
      <c r="H837">
        <v>2696.5560571548876</v>
      </c>
      <c r="I837">
        <v>17.354158814434829</v>
      </c>
      <c r="J837">
        <v>344386.62023154169</v>
      </c>
      <c r="K837">
        <v>1708.2606829478505</v>
      </c>
      <c r="L837">
        <v>-0.73280541806074595</v>
      </c>
      <c r="M837">
        <v>-16364.369044162799</v>
      </c>
    </row>
    <row r="838" spans="4:13" x14ac:dyDescent="0.55000000000000004">
      <c r="D838">
        <v>833</v>
      </c>
      <c r="E838">
        <v>571.37738145048411</v>
      </c>
      <c r="F838">
        <v>17.910002671635024</v>
      </c>
      <c r="G838">
        <v>357628.67605124996</v>
      </c>
      <c r="H838">
        <v>2889.6855729480162</v>
      </c>
      <c r="I838">
        <v>16.600703345515335</v>
      </c>
      <c r="J838">
        <v>329124.38133735867</v>
      </c>
      <c r="K838">
        <v>2318.3081914975319</v>
      </c>
      <c r="L838">
        <v>-1.3092993261196888</v>
      </c>
      <c r="M838">
        <v>-28504.294713891286</v>
      </c>
    </row>
    <row r="839" spans="4:13" x14ac:dyDescent="0.55000000000000004">
      <c r="D839">
        <v>834</v>
      </c>
      <c r="E839">
        <v>652.47238806221901</v>
      </c>
      <c r="F839">
        <v>18.936828111383061</v>
      </c>
      <c r="G839">
        <v>378084.08983959898</v>
      </c>
      <c r="H839">
        <v>2695.5445569129884</v>
      </c>
      <c r="I839">
        <v>17.610826062951137</v>
      </c>
      <c r="J839">
        <v>349520.97670210979</v>
      </c>
      <c r="K839">
        <v>2043.0721688507692</v>
      </c>
      <c r="L839">
        <v>-1.3260020484319242</v>
      </c>
      <c r="M839">
        <v>-28563.113137489185</v>
      </c>
    </row>
    <row r="840" spans="4:13" x14ac:dyDescent="0.55000000000000004">
      <c r="D840">
        <v>835</v>
      </c>
      <c r="E840">
        <v>885.55431892363799</v>
      </c>
      <c r="F840">
        <v>19.15344941213765</v>
      </c>
      <c r="G840">
        <v>382183.43392382941</v>
      </c>
      <c r="H840">
        <v>2963.1312813538534</v>
      </c>
      <c r="I840">
        <v>18.071832618921583</v>
      </c>
      <c r="J840">
        <v>358473.52109707776</v>
      </c>
      <c r="K840">
        <v>2077.5769624302156</v>
      </c>
      <c r="L840">
        <v>-1.0816167932160674</v>
      </c>
      <c r="M840">
        <v>-23709.91282675165</v>
      </c>
    </row>
    <row r="841" spans="4:13" x14ac:dyDescent="0.55000000000000004">
      <c r="D841">
        <v>836</v>
      </c>
      <c r="E841">
        <v>1136.0451397896054</v>
      </c>
      <c r="F841">
        <v>18.001115618910426</v>
      </c>
      <c r="G841">
        <v>358886.26723841892</v>
      </c>
      <c r="H841">
        <v>2967.3575305335435</v>
      </c>
      <c r="I841">
        <v>16.719010789465862</v>
      </c>
      <c r="J841">
        <v>331412.8582587837</v>
      </c>
      <c r="K841">
        <v>1831.3123907439381</v>
      </c>
      <c r="L841">
        <v>-1.2821048294445632</v>
      </c>
      <c r="M841">
        <v>-27473.40897963522</v>
      </c>
    </row>
    <row r="842" spans="4:13" x14ac:dyDescent="0.55000000000000004">
      <c r="D842">
        <v>837</v>
      </c>
      <c r="E842">
        <v>781.42166539284051</v>
      </c>
      <c r="F842">
        <v>18.715075948056008</v>
      </c>
      <c r="G842">
        <v>373520.09729572735</v>
      </c>
      <c r="H842">
        <v>2726.6278201971036</v>
      </c>
      <c r="I842">
        <v>17.842505897587394</v>
      </c>
      <c r="J842">
        <v>354123.49013155082</v>
      </c>
      <c r="K842">
        <v>1945.206154804263</v>
      </c>
      <c r="L842">
        <v>-0.8725700504686138</v>
      </c>
      <c r="M842">
        <v>-19396.60716417653</v>
      </c>
    </row>
    <row r="843" spans="4:13" x14ac:dyDescent="0.55000000000000004">
      <c r="D843">
        <v>838</v>
      </c>
      <c r="E843">
        <v>340.2402962252587</v>
      </c>
      <c r="F843">
        <v>19.126635335603826</v>
      </c>
      <c r="G843">
        <v>382192.46641585126</v>
      </c>
      <c r="H843">
        <v>2710.3474584434025</v>
      </c>
      <c r="I843">
        <v>18.085221063934345</v>
      </c>
      <c r="J843">
        <v>358994.07382024347</v>
      </c>
      <c r="K843">
        <v>2370.1071622181439</v>
      </c>
      <c r="L843">
        <v>-1.0414142716694812</v>
      </c>
      <c r="M843">
        <v>-23198.392595607787</v>
      </c>
    </row>
    <row r="844" spans="4:13" x14ac:dyDescent="0.55000000000000004">
      <c r="D844">
        <v>839</v>
      </c>
      <c r="E844">
        <v>767.72757928059036</v>
      </c>
      <c r="F844">
        <v>18.079892946512928</v>
      </c>
      <c r="G844">
        <v>360830.13135097793</v>
      </c>
      <c r="H844">
        <v>2881.7078890062185</v>
      </c>
      <c r="I844">
        <v>16.756243920373731</v>
      </c>
      <c r="J844">
        <v>332243.17051846837</v>
      </c>
      <c r="K844">
        <v>2113.9803097256281</v>
      </c>
      <c r="L844">
        <v>-1.3236490261391971</v>
      </c>
      <c r="M844">
        <v>-28586.960832509561</v>
      </c>
    </row>
    <row r="845" spans="4:13" x14ac:dyDescent="0.55000000000000004">
      <c r="D845">
        <v>840</v>
      </c>
      <c r="E845">
        <v>678.57396345235463</v>
      </c>
      <c r="F845">
        <v>16.518070864971488</v>
      </c>
      <c r="G845">
        <v>329682.84333597741</v>
      </c>
      <c r="H845">
        <v>2708.1542042441893</v>
      </c>
      <c r="I845">
        <v>15.867209237273437</v>
      </c>
      <c r="J845">
        <v>314636.03054122452</v>
      </c>
      <c r="K845">
        <v>2029.5802407918345</v>
      </c>
      <c r="L845">
        <v>-0.65086162769805078</v>
      </c>
      <c r="M845">
        <v>-15046.812794752885</v>
      </c>
    </row>
    <row r="846" spans="4:13" x14ac:dyDescent="0.55000000000000004">
      <c r="D846">
        <v>841</v>
      </c>
      <c r="E846">
        <v>1377.959174905573</v>
      </c>
      <c r="F846">
        <v>20.709384298745778</v>
      </c>
      <c r="G846">
        <v>412809.72680001002</v>
      </c>
      <c r="H846">
        <v>2995.3089148065856</v>
      </c>
      <c r="I846">
        <v>19.699555389209102</v>
      </c>
      <c r="J846">
        <v>390995.79886937549</v>
      </c>
      <c r="K846">
        <v>1617.3497399010125</v>
      </c>
      <c r="L846">
        <v>-1.0098289095366759</v>
      </c>
      <c r="M846">
        <v>-21813.927930634527</v>
      </c>
    </row>
    <row r="847" spans="4:13" x14ac:dyDescent="0.55000000000000004">
      <c r="D847">
        <v>842</v>
      </c>
      <c r="E847">
        <v>584.96111320026966</v>
      </c>
      <c r="F847">
        <v>17.713356352013928</v>
      </c>
      <c r="G847">
        <v>353682.16592707828</v>
      </c>
      <c r="H847">
        <v>2666.0170877192359</v>
      </c>
      <c r="I847">
        <v>16.369550486279891</v>
      </c>
      <c r="J847">
        <v>324724.99263787857</v>
      </c>
      <c r="K847">
        <v>2081.0559745189662</v>
      </c>
      <c r="L847">
        <v>-1.343805865734037</v>
      </c>
      <c r="M847">
        <v>-28957.173289199709</v>
      </c>
    </row>
    <row r="848" spans="4:13" x14ac:dyDescent="0.55000000000000004">
      <c r="D848">
        <v>843</v>
      </c>
      <c r="E848">
        <v>384.5073381356566</v>
      </c>
      <c r="F848">
        <v>19.844518737151763</v>
      </c>
      <c r="G848">
        <v>396505.86740489956</v>
      </c>
      <c r="H848">
        <v>2737.2064380994034</v>
      </c>
      <c r="I848">
        <v>18.099199121586107</v>
      </c>
      <c r="J848">
        <v>359246.77599362278</v>
      </c>
      <c r="K848">
        <v>2352.6990999637469</v>
      </c>
      <c r="L848">
        <v>-1.7453196155656556</v>
      </c>
      <c r="M848">
        <v>-37259.091411276779</v>
      </c>
    </row>
    <row r="849" spans="4:13" x14ac:dyDescent="0.55000000000000004">
      <c r="D849">
        <v>844</v>
      </c>
      <c r="E849">
        <v>661.43751295731488</v>
      </c>
      <c r="F849">
        <v>18.079894591199714</v>
      </c>
      <c r="G849">
        <v>360936.45431103697</v>
      </c>
      <c r="H849">
        <v>2734.7224927626758</v>
      </c>
      <c r="I849">
        <v>17.403330094708995</v>
      </c>
      <c r="J849">
        <v>345331.87940141722</v>
      </c>
      <c r="K849">
        <v>2073.2849798053608</v>
      </c>
      <c r="L849">
        <v>-0.67656449649071959</v>
      </c>
      <c r="M849">
        <v>-15604.574909619754</v>
      </c>
    </row>
    <row r="850" spans="4:13" x14ac:dyDescent="0.55000000000000004">
      <c r="D850">
        <v>845</v>
      </c>
      <c r="E850">
        <v>712.51826099273671</v>
      </c>
      <c r="F850">
        <v>21.654548450523741</v>
      </c>
      <c r="G850">
        <v>432378.45074948209</v>
      </c>
      <c r="H850">
        <v>2736.8134402575829</v>
      </c>
      <c r="I850">
        <v>19.478011976658451</v>
      </c>
      <c r="J850">
        <v>386823.42609291145</v>
      </c>
      <c r="K850">
        <v>2024.2951792648462</v>
      </c>
      <c r="L850">
        <v>-2.1765364738652906</v>
      </c>
      <c r="M850">
        <v>-45555.024656570633</v>
      </c>
    </row>
    <row r="851" spans="4:13" x14ac:dyDescent="0.55000000000000004">
      <c r="D851">
        <v>846</v>
      </c>
      <c r="E851">
        <v>879.063215851986</v>
      </c>
      <c r="F851">
        <v>20.110166221790184</v>
      </c>
      <c r="G851">
        <v>401324.26121995173</v>
      </c>
      <c r="H851">
        <v>2698.4208457753261</v>
      </c>
      <c r="I851">
        <v>17.697937047018264</v>
      </c>
      <c r="J851">
        <v>351260.32009458996</v>
      </c>
      <c r="K851">
        <v>1819.35762992334</v>
      </c>
      <c r="L851">
        <v>-2.4122291747719196</v>
      </c>
      <c r="M851">
        <v>-50063.941125361773</v>
      </c>
    </row>
    <row r="852" spans="4:13" x14ac:dyDescent="0.55000000000000004">
      <c r="D852">
        <v>847</v>
      </c>
      <c r="E852">
        <v>504.20701979093138</v>
      </c>
      <c r="F852">
        <v>20.234937782480298</v>
      </c>
      <c r="G852">
        <v>404194.54862981499</v>
      </c>
      <c r="H852">
        <v>2624.8630494931422</v>
      </c>
      <c r="I852">
        <v>18.943047347101338</v>
      </c>
      <c r="J852">
        <v>376236.08389253367</v>
      </c>
      <c r="K852">
        <v>2120.6560297022106</v>
      </c>
      <c r="L852">
        <v>-1.29189043537896</v>
      </c>
      <c r="M852">
        <v>-27958.46473728132</v>
      </c>
    </row>
    <row r="853" spans="4:13" x14ac:dyDescent="0.55000000000000004">
      <c r="D853">
        <v>848</v>
      </c>
      <c r="E853">
        <v>780.10762146955972</v>
      </c>
      <c r="F853">
        <v>19.767623856810054</v>
      </c>
      <c r="G853">
        <v>394572.36951473157</v>
      </c>
      <c r="H853">
        <v>2619.9781259106958</v>
      </c>
      <c r="I853">
        <v>18.875817630531607</v>
      </c>
      <c r="J853">
        <v>374896.37448472145</v>
      </c>
      <c r="K853">
        <v>1839.8705044411361</v>
      </c>
      <c r="L853">
        <v>-0.89180622627844741</v>
      </c>
      <c r="M853">
        <v>-19675.995030010119</v>
      </c>
    </row>
    <row r="854" spans="4:13" x14ac:dyDescent="0.55000000000000004">
      <c r="D854">
        <v>849</v>
      </c>
      <c r="E854">
        <v>806.83842491736937</v>
      </c>
      <c r="F854">
        <v>19.190887666746153</v>
      </c>
      <c r="G854">
        <v>383010.9149100057</v>
      </c>
      <c r="H854">
        <v>2917.6176126558248</v>
      </c>
      <c r="I854">
        <v>17.285283166508052</v>
      </c>
      <c r="J854">
        <v>342788.04571750521</v>
      </c>
      <c r="K854">
        <v>2110.7791877384552</v>
      </c>
      <c r="L854">
        <v>-1.9056045002381019</v>
      </c>
      <c r="M854">
        <v>-40222.869192500482</v>
      </c>
    </row>
    <row r="855" spans="4:13" x14ac:dyDescent="0.55000000000000004">
      <c r="D855">
        <v>850</v>
      </c>
      <c r="E855">
        <v>634.42832192055687</v>
      </c>
      <c r="F855">
        <v>18.100820484235776</v>
      </c>
      <c r="G855">
        <v>361381.98136279493</v>
      </c>
      <c r="H855">
        <v>3002.7813561456433</v>
      </c>
      <c r="I855">
        <v>16.82929774343738</v>
      </c>
      <c r="J855">
        <v>333583.17351260199</v>
      </c>
      <c r="K855">
        <v>2368.3530342250865</v>
      </c>
      <c r="L855">
        <v>-1.271522740798396</v>
      </c>
      <c r="M855">
        <v>-27798.807850192941</v>
      </c>
    </row>
    <row r="856" spans="4:13" x14ac:dyDescent="0.55000000000000004">
      <c r="D856">
        <v>851</v>
      </c>
      <c r="E856">
        <v>602.81210313295367</v>
      </c>
      <c r="F856">
        <v>19.431210636120227</v>
      </c>
      <c r="G856">
        <v>388021.40061927156</v>
      </c>
      <c r="H856">
        <v>2904.9079117092638</v>
      </c>
      <c r="I856">
        <v>15.97826471100586</v>
      </c>
      <c r="J856">
        <v>316660.38630840793</v>
      </c>
      <c r="K856">
        <v>2302.09580857631</v>
      </c>
      <c r="L856">
        <v>-3.452945925114367</v>
      </c>
      <c r="M856">
        <v>-71361.014310863626</v>
      </c>
    </row>
    <row r="857" spans="4:13" x14ac:dyDescent="0.55000000000000004">
      <c r="D857">
        <v>852</v>
      </c>
      <c r="E857">
        <v>826.1149759495928</v>
      </c>
      <c r="F857">
        <v>19.175208673576162</v>
      </c>
      <c r="G857">
        <v>382678.05849557364</v>
      </c>
      <c r="H857">
        <v>2749.5079408360125</v>
      </c>
      <c r="I857">
        <v>17.974205335978954</v>
      </c>
      <c r="J857">
        <v>356734.59877874306</v>
      </c>
      <c r="K857">
        <v>1923.3929648864196</v>
      </c>
      <c r="L857">
        <v>-1.2010033375972071</v>
      </c>
      <c r="M857">
        <v>-25943.459716830577</v>
      </c>
    </row>
    <row r="858" spans="4:13" x14ac:dyDescent="0.55000000000000004">
      <c r="D858">
        <v>853</v>
      </c>
      <c r="E858">
        <v>540.3886028011525</v>
      </c>
      <c r="F858">
        <v>17.332498602944465</v>
      </c>
      <c r="G858">
        <v>346109.58345608815</v>
      </c>
      <c r="H858">
        <v>2901.2484958700516</v>
      </c>
      <c r="I858">
        <v>16.075239899394319</v>
      </c>
      <c r="J858">
        <v>318603.54949201632</v>
      </c>
      <c r="K858">
        <v>2360.8598930688991</v>
      </c>
      <c r="L858">
        <v>-1.2572587035501464</v>
      </c>
      <c r="M858">
        <v>-27506.03396407183</v>
      </c>
    </row>
    <row r="859" spans="4:13" x14ac:dyDescent="0.55000000000000004">
      <c r="D859">
        <v>854</v>
      </c>
      <c r="E859">
        <v>605.88414585316627</v>
      </c>
      <c r="F859">
        <v>17.398665976693067</v>
      </c>
      <c r="G859">
        <v>347367.43538800819</v>
      </c>
      <c r="H859">
        <v>2868.2307162830934</v>
      </c>
      <c r="I859">
        <v>16.503523335588298</v>
      </c>
      <c r="J859">
        <v>327202.23599548289</v>
      </c>
      <c r="K859">
        <v>2262.3465704299269</v>
      </c>
      <c r="L859">
        <v>-0.89514264110476915</v>
      </c>
      <c r="M859">
        <v>-20165.199392525305</v>
      </c>
    </row>
    <row r="860" spans="4:13" x14ac:dyDescent="0.55000000000000004">
      <c r="D860">
        <v>855</v>
      </c>
      <c r="E860">
        <v>790.91813724894746</v>
      </c>
      <c r="F860">
        <v>19.002153600212587</v>
      </c>
      <c r="G860">
        <v>379252.15386700281</v>
      </c>
      <c r="H860">
        <v>2742.2313175213299</v>
      </c>
      <c r="I860">
        <v>17.545888351221635</v>
      </c>
      <c r="J860">
        <v>348175.53570691141</v>
      </c>
      <c r="K860">
        <v>1951.3131802723824</v>
      </c>
      <c r="L860">
        <v>-1.4562652489909524</v>
      </c>
      <c r="M860">
        <v>-31076.618160091399</v>
      </c>
    </row>
    <row r="861" spans="4:13" x14ac:dyDescent="0.55000000000000004">
      <c r="D861">
        <v>856</v>
      </c>
      <c r="E861">
        <v>741.07403426599831</v>
      </c>
      <c r="F861">
        <v>16.195846299028766</v>
      </c>
      <c r="G861">
        <v>323175.85194630933</v>
      </c>
      <c r="H861">
        <v>2720.764988710192</v>
      </c>
      <c r="I861">
        <v>15.605864571146119</v>
      </c>
      <c r="J861">
        <v>309396.52643421222</v>
      </c>
      <c r="K861">
        <v>1979.6909544441937</v>
      </c>
      <c r="L861">
        <v>-0.58998172788264647</v>
      </c>
      <c r="M861">
        <v>-13779.325512097101</v>
      </c>
    </row>
    <row r="862" spans="4:13" x14ac:dyDescent="0.55000000000000004">
      <c r="D862">
        <v>857</v>
      </c>
      <c r="E862">
        <v>617.36407358245174</v>
      </c>
      <c r="F862">
        <v>20.422381663742318</v>
      </c>
      <c r="G862">
        <v>407830.2692012639</v>
      </c>
      <c r="H862">
        <v>2881.8558641270561</v>
      </c>
      <c r="I862">
        <v>18.679299470846971</v>
      </c>
      <c r="J862">
        <v>370704.13355281239</v>
      </c>
      <c r="K862">
        <v>2264.4917905446046</v>
      </c>
      <c r="L862">
        <v>-1.743082192895347</v>
      </c>
      <c r="M862">
        <v>-37126.135648451513</v>
      </c>
    </row>
    <row r="863" spans="4:13" x14ac:dyDescent="0.55000000000000004">
      <c r="D863">
        <v>858</v>
      </c>
      <c r="E863">
        <v>806.6860637090623</v>
      </c>
      <c r="F863">
        <v>18.945712778499804</v>
      </c>
      <c r="G863">
        <v>378107.56950628699</v>
      </c>
      <c r="H863">
        <v>2680.0794900234268</v>
      </c>
      <c r="I863">
        <v>17.741027943520436</v>
      </c>
      <c r="J863">
        <v>352140.47938038531</v>
      </c>
      <c r="K863">
        <v>1873.3934263143647</v>
      </c>
      <c r="L863">
        <v>-1.2046848349793677</v>
      </c>
      <c r="M863">
        <v>-25967.090125901683</v>
      </c>
    </row>
    <row r="864" spans="4:13" x14ac:dyDescent="0.55000000000000004">
      <c r="D864">
        <v>859</v>
      </c>
      <c r="E864">
        <v>728.90239049475679</v>
      </c>
      <c r="F864">
        <v>19.691902275505523</v>
      </c>
      <c r="G864">
        <v>393109.14311961568</v>
      </c>
      <c r="H864">
        <v>2665.3474106694721</v>
      </c>
      <c r="I864">
        <v>18.486819090823037</v>
      </c>
      <c r="J864">
        <v>367071.03440579126</v>
      </c>
      <c r="K864">
        <v>1936.4450201747154</v>
      </c>
      <c r="L864">
        <v>-1.2050831846824863</v>
      </c>
      <c r="M864">
        <v>-26038.108713824418</v>
      </c>
    </row>
    <row r="865" spans="4:13" x14ac:dyDescent="0.55000000000000004">
      <c r="D865">
        <v>860</v>
      </c>
      <c r="E865">
        <v>741.62396806861636</v>
      </c>
      <c r="F865">
        <v>23.178860315606748</v>
      </c>
      <c r="G865">
        <v>462835.58234406635</v>
      </c>
      <c r="H865">
        <v>2773.2616189577129</v>
      </c>
      <c r="I865">
        <v>21.200700533930522</v>
      </c>
      <c r="J865">
        <v>421240.74905965274</v>
      </c>
      <c r="K865">
        <v>2031.6376508890967</v>
      </c>
      <c r="L865">
        <v>-1.9781597816762257</v>
      </c>
      <c r="M865">
        <v>-41594.833284413617</v>
      </c>
    </row>
    <row r="866" spans="4:13" x14ac:dyDescent="0.55000000000000004">
      <c r="D866">
        <v>861</v>
      </c>
      <c r="E866">
        <v>829.8806567656236</v>
      </c>
      <c r="F866">
        <v>18.099142090829407</v>
      </c>
      <c r="G866">
        <v>361152.96115982253</v>
      </c>
      <c r="H866">
        <v>2725.909988349485</v>
      </c>
      <c r="I866">
        <v>15.731982904225797</v>
      </c>
      <c r="J866">
        <v>311913.74809616647</v>
      </c>
      <c r="K866">
        <v>1896.0293315838614</v>
      </c>
      <c r="L866">
        <v>-2.3671591866036099</v>
      </c>
      <c r="M866">
        <v>-49239.213063656061</v>
      </c>
    </row>
    <row r="867" spans="4:13" x14ac:dyDescent="0.55000000000000004">
      <c r="D867">
        <v>862</v>
      </c>
      <c r="E867">
        <v>749.02938488082293</v>
      </c>
      <c r="F867">
        <v>19.253574729600285</v>
      </c>
      <c r="G867">
        <v>384322.46520712483</v>
      </c>
      <c r="H867">
        <v>2678.1427863569847</v>
      </c>
      <c r="I867">
        <v>16.954877470246142</v>
      </c>
      <c r="J867">
        <v>336419.4066185659</v>
      </c>
      <c r="K867">
        <v>1929.1134014761619</v>
      </c>
      <c r="L867">
        <v>-2.2986972593541424</v>
      </c>
      <c r="M867">
        <v>-47903.058588558924</v>
      </c>
    </row>
    <row r="868" spans="4:13" x14ac:dyDescent="0.55000000000000004">
      <c r="D868">
        <v>863</v>
      </c>
      <c r="E868">
        <v>687.33782518281043</v>
      </c>
      <c r="F868">
        <v>18.765527580855036</v>
      </c>
      <c r="G868">
        <v>374623.21379191789</v>
      </c>
      <c r="H868">
        <v>2720.5124741367154</v>
      </c>
      <c r="I868">
        <v>17.743389065312815</v>
      </c>
      <c r="J868">
        <v>352147.26883211959</v>
      </c>
      <c r="K868">
        <v>2033.174648953905</v>
      </c>
      <c r="L868">
        <v>-1.0221385155422205</v>
      </c>
      <c r="M868">
        <v>-22475.944959798304</v>
      </c>
    </row>
    <row r="869" spans="4:13" x14ac:dyDescent="0.55000000000000004">
      <c r="D869">
        <v>864</v>
      </c>
      <c r="E869">
        <v>556.11308854558933</v>
      </c>
      <c r="F869">
        <v>20.96764340353328</v>
      </c>
      <c r="G869">
        <v>418796.75498212007</v>
      </c>
      <c r="H869">
        <v>2812.8218749285566</v>
      </c>
      <c r="I869">
        <v>18.398151611156205</v>
      </c>
      <c r="J869">
        <v>365150.21034819557</v>
      </c>
      <c r="K869">
        <v>2256.7087863829674</v>
      </c>
      <c r="L869">
        <v>-2.5694917923770753</v>
      </c>
      <c r="M869">
        <v>-53646.544633924495</v>
      </c>
    </row>
    <row r="870" spans="4:13" x14ac:dyDescent="0.55000000000000004">
      <c r="D870">
        <v>865</v>
      </c>
      <c r="E870">
        <v>693.25953538276008</v>
      </c>
      <c r="F870">
        <v>20.72828106990848</v>
      </c>
      <c r="G870">
        <v>413872.36186278687</v>
      </c>
      <c r="H870">
        <v>2853.150880726469</v>
      </c>
      <c r="I870">
        <v>17.435538323302456</v>
      </c>
      <c r="J870">
        <v>345857.61558532267</v>
      </c>
      <c r="K870">
        <v>2159.891345343709</v>
      </c>
      <c r="L870">
        <v>-3.2927427466060237</v>
      </c>
      <c r="M870">
        <v>-68014.746277464204</v>
      </c>
    </row>
    <row r="871" spans="4:13" x14ac:dyDescent="0.55000000000000004">
      <c r="D871">
        <v>866</v>
      </c>
      <c r="E871">
        <v>615.73107073408494</v>
      </c>
      <c r="F871">
        <v>18.622406420338674</v>
      </c>
      <c r="G871">
        <v>371832.3973360394</v>
      </c>
      <c r="H871">
        <v>2650.8854063083359</v>
      </c>
      <c r="I871">
        <v>17.794165045382805</v>
      </c>
      <c r="J871">
        <v>353232.41550134774</v>
      </c>
      <c r="K871">
        <v>2035.154335574251</v>
      </c>
      <c r="L871">
        <v>-0.82824137495586925</v>
      </c>
      <c r="M871">
        <v>-18599.981834691658</v>
      </c>
    </row>
    <row r="872" spans="4:13" x14ac:dyDescent="0.55000000000000004">
      <c r="D872">
        <v>867</v>
      </c>
      <c r="E872">
        <v>775.41099638681419</v>
      </c>
      <c r="F872">
        <v>16.927424753948074</v>
      </c>
      <c r="G872">
        <v>337773.08408257464</v>
      </c>
      <c r="H872">
        <v>2883.1884623491515</v>
      </c>
      <c r="I872">
        <v>15.865723018566319</v>
      </c>
      <c r="J872">
        <v>314431.27190897719</v>
      </c>
      <c r="K872">
        <v>2107.7774659623374</v>
      </c>
      <c r="L872">
        <v>-1.0617017353817548</v>
      </c>
      <c r="M872">
        <v>-23341.812173597456</v>
      </c>
    </row>
    <row r="873" spans="4:13" x14ac:dyDescent="0.55000000000000004">
      <c r="D873">
        <v>868</v>
      </c>
      <c r="E873">
        <v>1024.6186966102496</v>
      </c>
      <c r="F873">
        <v>18.626924149488865</v>
      </c>
      <c r="G873">
        <v>371513.86429316702</v>
      </c>
      <c r="H873">
        <v>2774.914532809672</v>
      </c>
      <c r="I873">
        <v>17.469646400289214</v>
      </c>
      <c r="J873">
        <v>346618.01347297459</v>
      </c>
      <c r="K873">
        <v>1750.2958361994224</v>
      </c>
      <c r="L873">
        <v>-1.1572777491996504</v>
      </c>
      <c r="M873">
        <v>-24895.850820192427</v>
      </c>
    </row>
    <row r="874" spans="4:13" x14ac:dyDescent="0.55000000000000004">
      <c r="D874">
        <v>869</v>
      </c>
      <c r="E874">
        <v>857.22313300551889</v>
      </c>
      <c r="F874">
        <v>17.26794004663811</v>
      </c>
      <c r="G874">
        <v>344501.57779975672</v>
      </c>
      <c r="H874">
        <v>2745.6191884658729</v>
      </c>
      <c r="I874">
        <v>16.722070481813201</v>
      </c>
      <c r="J874">
        <v>331695.79044779815</v>
      </c>
      <c r="K874">
        <v>1888.3960554603541</v>
      </c>
      <c r="L874">
        <v>-0.54586956482490834</v>
      </c>
      <c r="M874">
        <v>-12805.78735195857</v>
      </c>
    </row>
    <row r="875" spans="4:13" x14ac:dyDescent="0.55000000000000004">
      <c r="D875">
        <v>870</v>
      </c>
      <c r="E875">
        <v>914.77498947479842</v>
      </c>
      <c r="F875">
        <v>17.313153280470729</v>
      </c>
      <c r="G875">
        <v>345348.2906199398</v>
      </c>
      <c r="H875">
        <v>2720.2079117617827</v>
      </c>
      <c r="I875">
        <v>16.510337464219152</v>
      </c>
      <c r="J875">
        <v>327486.54137262126</v>
      </c>
      <c r="K875">
        <v>1805.4329222869842</v>
      </c>
      <c r="L875">
        <v>-0.80281581625157727</v>
      </c>
      <c r="M875">
        <v>-17861.749247318541</v>
      </c>
    </row>
    <row r="876" spans="4:13" x14ac:dyDescent="0.55000000000000004">
      <c r="D876">
        <v>871</v>
      </c>
      <c r="E876">
        <v>511.29022249981318</v>
      </c>
      <c r="F876">
        <v>18.934690509725854</v>
      </c>
      <c r="G876">
        <v>378182.51997201727</v>
      </c>
      <c r="H876">
        <v>2723.7136351736908</v>
      </c>
      <c r="I876">
        <v>17.036908722546332</v>
      </c>
      <c r="J876">
        <v>338014.46081575297</v>
      </c>
      <c r="K876">
        <v>2212.4234126738775</v>
      </c>
      <c r="L876">
        <v>-1.8977817871795217</v>
      </c>
      <c r="M876">
        <v>-40168.059156264295</v>
      </c>
    </row>
    <row r="877" spans="4:13" x14ac:dyDescent="0.55000000000000004">
      <c r="D877">
        <v>872</v>
      </c>
      <c r="E877">
        <v>420.80757935860282</v>
      </c>
      <c r="F877">
        <v>21.410193574056873</v>
      </c>
      <c r="G877">
        <v>427783.06390177889</v>
      </c>
      <c r="H877">
        <v>2679.1546197618095</v>
      </c>
      <c r="I877">
        <v>19.488720987641443</v>
      </c>
      <c r="J877">
        <v>387095.26513306703</v>
      </c>
      <c r="K877">
        <v>2258.3470404032068</v>
      </c>
      <c r="L877">
        <v>-1.9214725864154296</v>
      </c>
      <c r="M877">
        <v>-40687.798768711858</v>
      </c>
    </row>
    <row r="878" spans="4:13" x14ac:dyDescent="0.55000000000000004">
      <c r="D878">
        <v>873</v>
      </c>
      <c r="E878">
        <v>617.65714678908819</v>
      </c>
      <c r="F878">
        <v>18.717215281064639</v>
      </c>
      <c r="G878">
        <v>373726.64847450372</v>
      </c>
      <c r="H878">
        <v>2657.4890581225754</v>
      </c>
      <c r="I878">
        <v>17.944948808127073</v>
      </c>
      <c r="J878">
        <v>356241.48710441892</v>
      </c>
      <c r="K878">
        <v>2039.8319113334874</v>
      </c>
      <c r="L878">
        <v>-0.77226647293756656</v>
      </c>
      <c r="M878">
        <v>-17485.161370084796</v>
      </c>
    </row>
    <row r="879" spans="4:13" x14ac:dyDescent="0.55000000000000004">
      <c r="D879">
        <v>874</v>
      </c>
      <c r="E879">
        <v>732.70325412137197</v>
      </c>
      <c r="F879">
        <v>19.245567502975728</v>
      </c>
      <c r="G879">
        <v>384178.64680539322</v>
      </c>
      <c r="H879">
        <v>2908.9237912737453</v>
      </c>
      <c r="I879">
        <v>18.384957624504572</v>
      </c>
      <c r="J879">
        <v>364790.22869881772</v>
      </c>
      <c r="K879">
        <v>2176.2205371523733</v>
      </c>
      <c r="L879">
        <v>-0.86060987847115555</v>
      </c>
      <c r="M879">
        <v>-19388.418106575496</v>
      </c>
    </row>
    <row r="880" spans="4:13" x14ac:dyDescent="0.55000000000000004">
      <c r="D880">
        <v>875</v>
      </c>
      <c r="E880">
        <v>587.72823590944245</v>
      </c>
      <c r="F880">
        <v>18.88684234430762</v>
      </c>
      <c r="G880">
        <v>377149.11865024298</v>
      </c>
      <c r="H880">
        <v>2683.3705708577741</v>
      </c>
      <c r="I880">
        <v>17.279997509217679</v>
      </c>
      <c r="J880">
        <v>342916.57961349579</v>
      </c>
      <c r="K880">
        <v>2095.6423349483316</v>
      </c>
      <c r="L880">
        <v>-1.6068448350899409</v>
      </c>
      <c r="M880">
        <v>-34232.539036747185</v>
      </c>
    </row>
    <row r="881" spans="4:13" x14ac:dyDescent="0.55000000000000004">
      <c r="D881">
        <v>876</v>
      </c>
      <c r="E881">
        <v>879.16706406516255</v>
      </c>
      <c r="F881">
        <v>20.562679574586291</v>
      </c>
      <c r="G881">
        <v>410374.42442766065</v>
      </c>
      <c r="H881">
        <v>3055.9758770593753</v>
      </c>
      <c r="I881">
        <v>18.711142244415893</v>
      </c>
      <c r="J881">
        <v>371166.86901125847</v>
      </c>
      <c r="K881">
        <v>2176.8088129942125</v>
      </c>
      <c r="L881">
        <v>-1.8515373301703981</v>
      </c>
      <c r="M881">
        <v>-39207.555416402174</v>
      </c>
    </row>
    <row r="882" spans="4:13" x14ac:dyDescent="0.55000000000000004">
      <c r="D882">
        <v>877</v>
      </c>
      <c r="E882">
        <v>872.98561405246915</v>
      </c>
      <c r="F882">
        <v>20.333893987638731</v>
      </c>
      <c r="G882">
        <v>405804.89413872216</v>
      </c>
      <c r="H882">
        <v>2776.4003088326426</v>
      </c>
      <c r="I882">
        <v>18.445385221338384</v>
      </c>
      <c r="J882">
        <v>366131.30411793501</v>
      </c>
      <c r="K882">
        <v>1903.4146947801735</v>
      </c>
      <c r="L882">
        <v>-1.8885087663003475</v>
      </c>
      <c r="M882">
        <v>-39673.590020787145</v>
      </c>
    </row>
    <row r="883" spans="4:13" x14ac:dyDescent="0.55000000000000004">
      <c r="D883">
        <v>878</v>
      </c>
      <c r="E883">
        <v>538.29087667655767</v>
      </c>
      <c r="F883">
        <v>19.743815312134554</v>
      </c>
      <c r="G883">
        <v>394338.0153660145</v>
      </c>
      <c r="H883">
        <v>2696.0936189868403</v>
      </c>
      <c r="I883">
        <v>17.83256873443003</v>
      </c>
      <c r="J883">
        <v>353955.28106961376</v>
      </c>
      <c r="K883">
        <v>2157.8027423102826</v>
      </c>
      <c r="L883">
        <v>-1.9112465777045244</v>
      </c>
      <c r="M883">
        <v>-40382.73429640074</v>
      </c>
    </row>
    <row r="884" spans="4:13" x14ac:dyDescent="0.55000000000000004">
      <c r="D884">
        <v>879</v>
      </c>
      <c r="E884">
        <v>667.83899633136002</v>
      </c>
      <c r="F884">
        <v>19.252216115375163</v>
      </c>
      <c r="G884">
        <v>384376.48331117188</v>
      </c>
      <c r="H884">
        <v>2628.3910481358726</v>
      </c>
      <c r="I884">
        <v>18.432779534873536</v>
      </c>
      <c r="J884">
        <v>366027.19964933483</v>
      </c>
      <c r="K884">
        <v>1960.5520518045125</v>
      </c>
      <c r="L884">
        <v>-0.81943658050162682</v>
      </c>
      <c r="M884">
        <v>-18349.283661837049</v>
      </c>
    </row>
    <row r="885" spans="4:13" x14ac:dyDescent="0.55000000000000004">
      <c r="D885">
        <v>880</v>
      </c>
      <c r="E885">
        <v>692.53939017803191</v>
      </c>
      <c r="F885">
        <v>18.357542320627438</v>
      </c>
      <c r="G885">
        <v>366458.30702237069</v>
      </c>
      <c r="H885">
        <v>2811.6300113483621</v>
      </c>
      <c r="I885">
        <v>16.368730933695126</v>
      </c>
      <c r="J885">
        <v>324562.98866255418</v>
      </c>
      <c r="K885">
        <v>2119.0906211703305</v>
      </c>
      <c r="L885">
        <v>-1.9888113869323121</v>
      </c>
      <c r="M885">
        <v>-41895.318359816505</v>
      </c>
    </row>
    <row r="886" spans="4:13" x14ac:dyDescent="0.55000000000000004">
      <c r="D886">
        <v>881</v>
      </c>
      <c r="E886">
        <v>637.04949117929095</v>
      </c>
      <c r="F886">
        <v>19.938182468615548</v>
      </c>
      <c r="G886">
        <v>398126.59988113167</v>
      </c>
      <c r="H886">
        <v>2824.7066657403843</v>
      </c>
      <c r="I886">
        <v>17.614618495314815</v>
      </c>
      <c r="J886">
        <v>349467.66324055591</v>
      </c>
      <c r="K886">
        <v>2187.6571745610936</v>
      </c>
      <c r="L886">
        <v>-2.3235639733007325</v>
      </c>
      <c r="M886">
        <v>-48658.936640575761</v>
      </c>
    </row>
    <row r="887" spans="4:13" x14ac:dyDescent="0.55000000000000004">
      <c r="D887">
        <v>882</v>
      </c>
      <c r="E887">
        <v>711.51643682659233</v>
      </c>
      <c r="F887">
        <v>19.014563821539571</v>
      </c>
      <c r="G887">
        <v>379579.75999396481</v>
      </c>
      <c r="H887">
        <v>2687.9902364022391</v>
      </c>
      <c r="I887">
        <v>18.117986685176209</v>
      </c>
      <c r="J887">
        <v>359671.74346712191</v>
      </c>
      <c r="K887">
        <v>1976.4737995756468</v>
      </c>
      <c r="L887">
        <v>-0.89657713636336211</v>
      </c>
      <c r="M887">
        <v>-19908.016526842897</v>
      </c>
    </row>
    <row r="888" spans="4:13" x14ac:dyDescent="0.55000000000000004">
      <c r="D888">
        <v>883</v>
      </c>
      <c r="E888">
        <v>802.01307950140881</v>
      </c>
      <c r="F888">
        <v>17.506764155712844</v>
      </c>
      <c r="G888">
        <v>349333.27003475546</v>
      </c>
      <c r="H888">
        <v>2770.6213524596906</v>
      </c>
      <c r="I888">
        <v>16.127717227703968</v>
      </c>
      <c r="J888">
        <v>319783.72320161964</v>
      </c>
      <c r="K888">
        <v>1968.6082729582818</v>
      </c>
      <c r="L888">
        <v>-1.3790469280088757</v>
      </c>
      <c r="M888">
        <v>-29549.546833135828</v>
      </c>
    </row>
    <row r="889" spans="4:13" x14ac:dyDescent="0.55000000000000004">
      <c r="D889">
        <v>884</v>
      </c>
      <c r="E889">
        <v>691.74485321346174</v>
      </c>
      <c r="F889">
        <v>17.87223961239388</v>
      </c>
      <c r="G889">
        <v>356753.04739466409</v>
      </c>
      <c r="H889">
        <v>2776.2342272363439</v>
      </c>
      <c r="I889">
        <v>16.687629122934748</v>
      </c>
      <c r="J889">
        <v>330976.34823145857</v>
      </c>
      <c r="K889">
        <v>2084.4893740228822</v>
      </c>
      <c r="L889">
        <v>-1.1846104894591321</v>
      </c>
      <c r="M889">
        <v>-25776.699163205514</v>
      </c>
    </row>
    <row r="890" spans="4:13" x14ac:dyDescent="0.55000000000000004">
      <c r="D890">
        <v>885</v>
      </c>
      <c r="E890">
        <v>820.24898490549003</v>
      </c>
      <c r="F890">
        <v>21.42868187178048</v>
      </c>
      <c r="G890">
        <v>427753.38845070411</v>
      </c>
      <c r="H890">
        <v>2706.9417777318931</v>
      </c>
      <c r="I890">
        <v>19.515815818612353</v>
      </c>
      <c r="J890">
        <v>387609.37459451519</v>
      </c>
      <c r="K890">
        <v>1886.6927928264031</v>
      </c>
      <c r="L890">
        <v>-1.912866053168127</v>
      </c>
      <c r="M890">
        <v>-40144.013856188918</v>
      </c>
    </row>
    <row r="891" spans="4:13" x14ac:dyDescent="0.55000000000000004">
      <c r="D891">
        <v>886</v>
      </c>
      <c r="E891">
        <v>721.05527727180879</v>
      </c>
      <c r="F891">
        <v>16.576584439965806</v>
      </c>
      <c r="G891">
        <v>330810.63352204429</v>
      </c>
      <c r="H891">
        <v>2731.3545033485143</v>
      </c>
      <c r="I891">
        <v>15.121712837422542</v>
      </c>
      <c r="J891">
        <v>299702.90224510233</v>
      </c>
      <c r="K891">
        <v>2010.2992260767055</v>
      </c>
      <c r="L891">
        <v>-1.454871602543264</v>
      </c>
      <c r="M891">
        <v>-31107.731276941951</v>
      </c>
    </row>
    <row r="892" spans="4:13" x14ac:dyDescent="0.55000000000000004">
      <c r="D892">
        <v>887</v>
      </c>
      <c r="E892">
        <v>705.17568767524347</v>
      </c>
      <c r="F892">
        <v>17.673830452571107</v>
      </c>
      <c r="G892">
        <v>352771.43336374691</v>
      </c>
      <c r="H892">
        <v>2878.0079785661119</v>
      </c>
      <c r="I892">
        <v>16.727368302517188</v>
      </c>
      <c r="J892">
        <v>331669.35807177768</v>
      </c>
      <c r="K892">
        <v>2172.8322908908685</v>
      </c>
      <c r="L892">
        <v>-0.94646215005391809</v>
      </c>
      <c r="M892">
        <v>-21102.075291969231</v>
      </c>
    </row>
    <row r="893" spans="4:13" x14ac:dyDescent="0.55000000000000004">
      <c r="D893">
        <v>888</v>
      </c>
      <c r="E893">
        <v>398.99193372804427</v>
      </c>
      <c r="F893">
        <v>18.860050812274785</v>
      </c>
      <c r="G893">
        <v>376802.02431176766</v>
      </c>
      <c r="H893">
        <v>2700.603468195497</v>
      </c>
      <c r="I893">
        <v>16.113089439723911</v>
      </c>
      <c r="J893">
        <v>319561.18532628275</v>
      </c>
      <c r="K893">
        <v>2301.6115344674527</v>
      </c>
      <c r="L893">
        <v>-2.7469613725508744</v>
      </c>
      <c r="M893">
        <v>-57240.838985484908</v>
      </c>
    </row>
    <row r="894" spans="4:13" x14ac:dyDescent="0.55000000000000004">
      <c r="D894">
        <v>889</v>
      </c>
      <c r="E894">
        <v>594.3304149818963</v>
      </c>
      <c r="F894">
        <v>19.826214409565409</v>
      </c>
      <c r="G894">
        <v>395929.95777632634</v>
      </c>
      <c r="H894">
        <v>2782.9297556973061</v>
      </c>
      <c r="I894">
        <v>18.023852808621459</v>
      </c>
      <c r="J894">
        <v>357694.12641673186</v>
      </c>
      <c r="K894">
        <v>2188.5993407154097</v>
      </c>
      <c r="L894">
        <v>-1.80236160094395</v>
      </c>
      <c r="M894">
        <v>-38235.831359594478</v>
      </c>
    </row>
    <row r="895" spans="4:13" x14ac:dyDescent="0.55000000000000004">
      <c r="D895">
        <v>890</v>
      </c>
      <c r="E895">
        <v>646.21286082721997</v>
      </c>
      <c r="F895">
        <v>17.731003759676994</v>
      </c>
      <c r="G895">
        <v>353973.86233271268</v>
      </c>
      <c r="H895">
        <v>2690.1983107561505</v>
      </c>
      <c r="I895">
        <v>16.593195363863231</v>
      </c>
      <c r="J895">
        <v>329173.70896650851</v>
      </c>
      <c r="K895">
        <v>2043.9854499289304</v>
      </c>
      <c r="L895">
        <v>-1.1378083958137637</v>
      </c>
      <c r="M895">
        <v>-24800.153366204177</v>
      </c>
    </row>
    <row r="896" spans="4:13" x14ac:dyDescent="0.55000000000000004">
      <c r="D896">
        <v>891</v>
      </c>
      <c r="E896">
        <v>840.44767672354885</v>
      </c>
      <c r="F896">
        <v>20.65114229273237</v>
      </c>
      <c r="G896">
        <v>412182.39817792387</v>
      </c>
      <c r="H896">
        <v>2723.4612331991329</v>
      </c>
      <c r="I896">
        <v>18.049526839012543</v>
      </c>
      <c r="J896">
        <v>358267.07554705173</v>
      </c>
      <c r="K896">
        <v>1883.0135564755842</v>
      </c>
      <c r="L896">
        <v>-2.6016154537198268</v>
      </c>
      <c r="M896">
        <v>-53915.322630872135</v>
      </c>
    </row>
    <row r="897" spans="4:13" x14ac:dyDescent="0.55000000000000004">
      <c r="D897">
        <v>892</v>
      </c>
      <c r="E897">
        <v>823.3595094457844</v>
      </c>
      <c r="F897">
        <v>18.533614308446644</v>
      </c>
      <c r="G897">
        <v>369848.92665948707</v>
      </c>
      <c r="H897">
        <v>2651.7800809097312</v>
      </c>
      <c r="I897">
        <v>17.804904080439663</v>
      </c>
      <c r="J897">
        <v>353446.30152788351</v>
      </c>
      <c r="K897">
        <v>1828.4205714639468</v>
      </c>
      <c r="L897">
        <v>-0.72871022800698171</v>
      </c>
      <c r="M897">
        <v>-16402.625131603563</v>
      </c>
    </row>
    <row r="898" spans="4:13" x14ac:dyDescent="0.55000000000000004">
      <c r="D898">
        <v>893</v>
      </c>
      <c r="E898">
        <v>773.51829031335228</v>
      </c>
      <c r="F898">
        <v>21.916022346862349</v>
      </c>
      <c r="G898">
        <v>437546.92864693358</v>
      </c>
      <c r="H898">
        <v>2744.2847488936486</v>
      </c>
      <c r="I898">
        <v>19.963786528252161</v>
      </c>
      <c r="J898">
        <v>396531.44581614959</v>
      </c>
      <c r="K898">
        <v>1970.7664585802963</v>
      </c>
      <c r="L898">
        <v>-1.9522358186101876</v>
      </c>
      <c r="M898">
        <v>-41015.482830783993</v>
      </c>
    </row>
    <row r="899" spans="4:13" x14ac:dyDescent="0.55000000000000004">
      <c r="D899">
        <v>894</v>
      </c>
      <c r="E899">
        <v>645.13715948434071</v>
      </c>
      <c r="F899">
        <v>16.90109253243617</v>
      </c>
      <c r="G899">
        <v>337376.7134892391</v>
      </c>
      <c r="H899">
        <v>2726.7518732555873</v>
      </c>
      <c r="I899">
        <v>15.461268909174574</v>
      </c>
      <c r="J899">
        <v>306498.62631023588</v>
      </c>
      <c r="K899">
        <v>2081.6147137712464</v>
      </c>
      <c r="L899">
        <v>-1.4398236232615957</v>
      </c>
      <c r="M899">
        <v>-30878.087179003225</v>
      </c>
    </row>
    <row r="900" spans="4:13" x14ac:dyDescent="0.55000000000000004">
      <c r="D900">
        <v>895</v>
      </c>
      <c r="E900">
        <v>736.35535802725633</v>
      </c>
      <c r="F900">
        <v>16.340974292647378</v>
      </c>
      <c r="G900">
        <v>326083.1304949203</v>
      </c>
      <c r="H900">
        <v>2793.0252486865093</v>
      </c>
      <c r="I900">
        <v>15.076154212074867</v>
      </c>
      <c r="J900">
        <v>298730.05899281084</v>
      </c>
      <c r="K900">
        <v>2056.6698906592528</v>
      </c>
      <c r="L900">
        <v>-1.2648200805725107</v>
      </c>
      <c r="M900">
        <v>-27353.071502109466</v>
      </c>
    </row>
    <row r="901" spans="4:13" x14ac:dyDescent="0.55000000000000004">
      <c r="D901">
        <v>896</v>
      </c>
      <c r="E901">
        <v>480.43222116603158</v>
      </c>
      <c r="F901">
        <v>19.174088419743441</v>
      </c>
      <c r="G901">
        <v>383001.33617370279</v>
      </c>
      <c r="H901">
        <v>2847.3570372660192</v>
      </c>
      <c r="I901">
        <v>16.84245950947291</v>
      </c>
      <c r="J901">
        <v>334001.83315219218</v>
      </c>
      <c r="K901">
        <v>2366.9248160999878</v>
      </c>
      <c r="L901">
        <v>-2.3316289102705312</v>
      </c>
      <c r="M901">
        <v>-48999.503021510609</v>
      </c>
    </row>
    <row r="902" spans="4:13" x14ac:dyDescent="0.55000000000000004">
      <c r="D902">
        <v>897</v>
      </c>
      <c r="E902">
        <v>621.06944949399679</v>
      </c>
      <c r="F902">
        <v>19.892866581164206</v>
      </c>
      <c r="G902">
        <v>397236.26217379014</v>
      </c>
      <c r="H902">
        <v>2728.1603399236265</v>
      </c>
      <c r="I902">
        <v>18.511266513644308</v>
      </c>
      <c r="J902">
        <v>367497.16993296251</v>
      </c>
      <c r="K902">
        <v>2107.0908904296298</v>
      </c>
      <c r="L902">
        <v>-1.3816000675198978</v>
      </c>
      <c r="M902">
        <v>-29739.092240827624</v>
      </c>
    </row>
    <row r="903" spans="4:13" x14ac:dyDescent="0.55000000000000004">
      <c r="D903">
        <v>898</v>
      </c>
      <c r="E903">
        <v>925.74886237785631</v>
      </c>
      <c r="F903">
        <v>19.532424126407385</v>
      </c>
      <c r="G903">
        <v>389722.73366576986</v>
      </c>
      <c r="H903">
        <v>2961.2271436806768</v>
      </c>
      <c r="I903">
        <v>18.130327459330609</v>
      </c>
      <c r="J903">
        <v>359645.32204293151</v>
      </c>
      <c r="K903">
        <v>2035.4782813028205</v>
      </c>
      <c r="L903">
        <v>-1.4020966670767763</v>
      </c>
      <c r="M903">
        <v>-30077.41162283835</v>
      </c>
    </row>
    <row r="904" spans="4:13" x14ac:dyDescent="0.55000000000000004">
      <c r="D904">
        <v>899</v>
      </c>
      <c r="E904">
        <v>758.81572559831022</v>
      </c>
      <c r="F904">
        <v>17.682009582614512</v>
      </c>
      <c r="G904">
        <v>352881.37592669192</v>
      </c>
      <c r="H904">
        <v>2734.4345366019052</v>
      </c>
      <c r="I904">
        <v>17.179655636197005</v>
      </c>
      <c r="J904">
        <v>340858.67818733823</v>
      </c>
      <c r="K904">
        <v>1975.6188110035951</v>
      </c>
      <c r="L904">
        <v>-0.5023539464175073</v>
      </c>
      <c r="M904">
        <v>-12022.697739353694</v>
      </c>
    </row>
    <row r="905" spans="4:13" x14ac:dyDescent="0.55000000000000004">
      <c r="D905">
        <v>900</v>
      </c>
      <c r="E905">
        <v>1159.1704662369093</v>
      </c>
      <c r="F905">
        <v>18.335885098761544</v>
      </c>
      <c r="G905">
        <v>365558.531508994</v>
      </c>
      <c r="H905">
        <v>2689.5712666117793</v>
      </c>
      <c r="I905">
        <v>17.561216874719918</v>
      </c>
      <c r="J905">
        <v>348534.76622778655</v>
      </c>
      <c r="K905">
        <v>1530.40080037487</v>
      </c>
      <c r="L905">
        <v>-0.77466822404162627</v>
      </c>
      <c r="M905">
        <v>-17023.765281207452</v>
      </c>
    </row>
    <row r="906" spans="4:13" x14ac:dyDescent="0.55000000000000004">
      <c r="D906">
        <v>901</v>
      </c>
      <c r="E906">
        <v>935.75317029056612</v>
      </c>
      <c r="F906">
        <v>17.883951060867808</v>
      </c>
      <c r="G906">
        <v>356743.26804706559</v>
      </c>
      <c r="H906">
        <v>2829.9777981723623</v>
      </c>
      <c r="I906">
        <v>16.577237230472484</v>
      </c>
      <c r="J906">
        <v>328714.76681127731</v>
      </c>
      <c r="K906">
        <v>1894.2246278817961</v>
      </c>
      <c r="L906">
        <v>-1.3067138303953243</v>
      </c>
      <c r="M906">
        <v>-28028.501235788281</v>
      </c>
    </row>
    <row r="907" spans="4:13" x14ac:dyDescent="0.55000000000000004">
      <c r="D907">
        <v>902</v>
      </c>
      <c r="E907">
        <v>463.91841697494829</v>
      </c>
      <c r="F907">
        <v>17.591068555939088</v>
      </c>
      <c r="G907">
        <v>351357.45270180685</v>
      </c>
      <c r="H907">
        <v>2971.2744364814171</v>
      </c>
      <c r="I907">
        <v>16.412739972068554</v>
      </c>
      <c r="J907">
        <v>325283.52500488964</v>
      </c>
      <c r="K907">
        <v>2507.3560195064688</v>
      </c>
      <c r="L907">
        <v>-1.1783285838705346</v>
      </c>
      <c r="M907">
        <v>-26073.927696917206</v>
      </c>
    </row>
    <row r="908" spans="4:13" x14ac:dyDescent="0.55000000000000004">
      <c r="D908">
        <v>903</v>
      </c>
      <c r="E908">
        <v>711.35869035537667</v>
      </c>
      <c r="F908">
        <v>18.901725578069939</v>
      </c>
      <c r="G908">
        <v>377323.15287104342</v>
      </c>
      <c r="H908">
        <v>2715.1593623999315</v>
      </c>
      <c r="I908">
        <v>16.88670951674013</v>
      </c>
      <c r="J908">
        <v>335019.03097240266</v>
      </c>
      <c r="K908">
        <v>2003.8006720445549</v>
      </c>
      <c r="L908">
        <v>-2.0150160613298098</v>
      </c>
      <c r="M908">
        <v>-42304.121898640762</v>
      </c>
    </row>
    <row r="909" spans="4:13" x14ac:dyDescent="0.55000000000000004">
      <c r="D909">
        <v>904</v>
      </c>
      <c r="E909">
        <v>575.59170807047212</v>
      </c>
      <c r="F909">
        <v>14.649074987200535</v>
      </c>
      <c r="G909">
        <v>292405.9080359402</v>
      </c>
      <c r="H909">
        <v>2682.5563803677114</v>
      </c>
      <c r="I909">
        <v>14.297914186488679</v>
      </c>
      <c r="J909">
        <v>283275.72734940588</v>
      </c>
      <c r="K909">
        <v>2106.9646722972393</v>
      </c>
      <c r="L909">
        <v>-0.35116080071185607</v>
      </c>
      <c r="M909">
        <v>-9130.1806865343242</v>
      </c>
    </row>
    <row r="910" spans="4:13" x14ac:dyDescent="0.55000000000000004">
      <c r="D910">
        <v>905</v>
      </c>
      <c r="E910">
        <v>643.20799813731207</v>
      </c>
      <c r="F910">
        <v>19.212348782887126</v>
      </c>
      <c r="G910">
        <v>383603.76765960519</v>
      </c>
      <c r="H910">
        <v>2945.1503464752941</v>
      </c>
      <c r="I910">
        <v>17.5612358886534</v>
      </c>
      <c r="J910">
        <v>348279.56742659269</v>
      </c>
      <c r="K910">
        <v>2301.9423483379819</v>
      </c>
      <c r="L910">
        <v>-1.6511128942337265</v>
      </c>
      <c r="M910">
        <v>-35324.200233012496</v>
      </c>
    </row>
    <row r="911" spans="4:13" x14ac:dyDescent="0.55000000000000004">
      <c r="D911">
        <v>906</v>
      </c>
      <c r="E911">
        <v>668.9312890857716</v>
      </c>
      <c r="F911">
        <v>18.530126582698546</v>
      </c>
      <c r="G911">
        <v>369933.60036488518</v>
      </c>
      <c r="H911">
        <v>2757.8406970513879</v>
      </c>
      <c r="I911">
        <v>17.204099892142366</v>
      </c>
      <c r="J911">
        <v>341324.15714579594</v>
      </c>
      <c r="K911">
        <v>2088.9094079656161</v>
      </c>
      <c r="L911">
        <v>-1.3260266905561799</v>
      </c>
      <c r="M911">
        <v>-28609.44321908924</v>
      </c>
    </row>
    <row r="912" spans="4:13" x14ac:dyDescent="0.55000000000000004">
      <c r="D912">
        <v>907</v>
      </c>
      <c r="E912">
        <v>608.22029783156677</v>
      </c>
      <c r="F912">
        <v>22.608260122699168</v>
      </c>
      <c r="G912">
        <v>451556.98215615179</v>
      </c>
      <c r="H912">
        <v>2704.1290126906574</v>
      </c>
      <c r="I912">
        <v>21.164423717708395</v>
      </c>
      <c r="J912">
        <v>420584.34534147719</v>
      </c>
      <c r="K912">
        <v>2095.9087148590907</v>
      </c>
      <c r="L912">
        <v>-1.4438364049907726</v>
      </c>
      <c r="M912">
        <v>-30972.636814674595</v>
      </c>
    </row>
    <row r="913" spans="4:13" x14ac:dyDescent="0.55000000000000004">
      <c r="D913">
        <v>908</v>
      </c>
      <c r="E913">
        <v>1003.1353402900863</v>
      </c>
      <c r="F913">
        <v>16.924949609175073</v>
      </c>
      <c r="G913">
        <v>337495.8568432114</v>
      </c>
      <c r="H913">
        <v>2727.9076792357309</v>
      </c>
      <c r="I913">
        <v>15.94522643458118</v>
      </c>
      <c r="J913">
        <v>316176.62101238786</v>
      </c>
      <c r="K913">
        <v>1724.7723389456446</v>
      </c>
      <c r="L913">
        <v>-0.97972317459389302</v>
      </c>
      <c r="M913">
        <v>-21319.235830823542</v>
      </c>
    </row>
    <row r="914" spans="4:13" x14ac:dyDescent="0.55000000000000004">
      <c r="D914">
        <v>909</v>
      </c>
      <c r="E914">
        <v>534.31643519627278</v>
      </c>
      <c r="F914">
        <v>18.904578094299662</v>
      </c>
      <c r="G914">
        <v>377557.24545079697</v>
      </c>
      <c r="H914">
        <v>2847.9762778285076</v>
      </c>
      <c r="I914">
        <v>17.285304031488803</v>
      </c>
      <c r="J914">
        <v>342858.10435194755</v>
      </c>
      <c r="K914">
        <v>2313.6598426322348</v>
      </c>
      <c r="L914">
        <v>-1.6192740628108595</v>
      </c>
      <c r="M914">
        <v>-34699.141098849417</v>
      </c>
    </row>
    <row r="915" spans="4:13" x14ac:dyDescent="0.55000000000000004">
      <c r="D915">
        <v>910</v>
      </c>
      <c r="E915">
        <v>1055.776992154138</v>
      </c>
      <c r="F915">
        <v>19.005460154058181</v>
      </c>
      <c r="G915">
        <v>379053.4260890095</v>
      </c>
      <c r="H915">
        <v>2822.1350134456329</v>
      </c>
      <c r="I915">
        <v>17.100887094762047</v>
      </c>
      <c r="J915">
        <v>339195.60688179533</v>
      </c>
      <c r="K915">
        <v>1766.3580212914949</v>
      </c>
      <c r="L915">
        <v>-1.9045730592961334</v>
      </c>
      <c r="M915">
        <v>-39857.819207214168</v>
      </c>
    </row>
    <row r="916" spans="4:13" x14ac:dyDescent="0.55000000000000004">
      <c r="D916">
        <v>911</v>
      </c>
      <c r="E916">
        <v>1033.5235946571629</v>
      </c>
      <c r="F916">
        <v>19.697856828653073</v>
      </c>
      <c r="G916">
        <v>392923.61297840427</v>
      </c>
      <c r="H916">
        <v>2658.9420272213902</v>
      </c>
      <c r="I916">
        <v>18.834360425199488</v>
      </c>
      <c r="J916">
        <v>374028.26647676842</v>
      </c>
      <c r="K916">
        <v>1625.4184325642273</v>
      </c>
      <c r="L916">
        <v>-0.8634964034535848</v>
      </c>
      <c r="M916">
        <v>-18895.346501635853</v>
      </c>
    </row>
    <row r="917" spans="4:13" x14ac:dyDescent="0.55000000000000004">
      <c r="D917">
        <v>912</v>
      </c>
      <c r="E917">
        <v>652.46129932754422</v>
      </c>
      <c r="F917">
        <v>20.494469784567464</v>
      </c>
      <c r="G917">
        <v>409236.93439202174</v>
      </c>
      <c r="H917">
        <v>2742.4954910559236</v>
      </c>
      <c r="I917">
        <v>19.050857936831868</v>
      </c>
      <c r="J917">
        <v>378274.66324558138</v>
      </c>
      <c r="K917">
        <v>2090.0341917283795</v>
      </c>
      <c r="L917">
        <v>-1.4436118477355961</v>
      </c>
      <c r="M917">
        <v>-30962.271146440355</v>
      </c>
    </row>
    <row r="918" spans="4:13" x14ac:dyDescent="0.55000000000000004">
      <c r="D918">
        <v>913</v>
      </c>
      <c r="E918">
        <v>514.66553381420363</v>
      </c>
      <c r="F918">
        <v>18.695650787607239</v>
      </c>
      <c r="G918">
        <v>373398.35021833057</v>
      </c>
      <c r="H918">
        <v>2630.9442345025764</v>
      </c>
      <c r="I918">
        <v>17.449810185892964</v>
      </c>
      <c r="J918">
        <v>346365.25948335673</v>
      </c>
      <c r="K918">
        <v>2116.2787006883727</v>
      </c>
      <c r="L918">
        <v>-1.2458406017142742</v>
      </c>
      <c r="M918">
        <v>-27033.090734973841</v>
      </c>
    </row>
    <row r="919" spans="4:13" x14ac:dyDescent="0.55000000000000004">
      <c r="D919">
        <v>914</v>
      </c>
      <c r="E919">
        <v>588.75417928263346</v>
      </c>
      <c r="F919">
        <v>20.947739079987176</v>
      </c>
      <c r="G919">
        <v>418366.02742046089</v>
      </c>
      <c r="H919">
        <v>2705.4115921631828</v>
      </c>
      <c r="I919">
        <v>18.974326732901154</v>
      </c>
      <c r="J919">
        <v>376781.12306585989</v>
      </c>
      <c r="K919">
        <v>2116.6574128805496</v>
      </c>
      <c r="L919">
        <v>-1.9734123470860219</v>
      </c>
      <c r="M919">
        <v>-41584.904354600993</v>
      </c>
    </row>
    <row r="920" spans="4:13" x14ac:dyDescent="0.55000000000000004">
      <c r="D920">
        <v>915</v>
      </c>
      <c r="E920">
        <v>598.36126293636653</v>
      </c>
      <c r="F920">
        <v>18.219130034641672</v>
      </c>
      <c r="G920">
        <v>363784.23942989705</v>
      </c>
      <c r="H920">
        <v>2748.4984959709059</v>
      </c>
      <c r="I920">
        <v>16.723758742372915</v>
      </c>
      <c r="J920">
        <v>331726.6763514874</v>
      </c>
      <c r="K920">
        <v>2150.1372330345393</v>
      </c>
      <c r="L920">
        <v>-1.4953712922687572</v>
      </c>
      <c r="M920">
        <v>-32057.563078409643</v>
      </c>
    </row>
    <row r="921" spans="4:13" x14ac:dyDescent="0.55000000000000004">
      <c r="D921">
        <v>916</v>
      </c>
      <c r="E921">
        <v>643.008519835058</v>
      </c>
      <c r="F921">
        <v>20.648290134228404</v>
      </c>
      <c r="G921">
        <v>412322.79416473303</v>
      </c>
      <c r="H921">
        <v>2622.5510999471676</v>
      </c>
      <c r="I921">
        <v>19.269177122365519</v>
      </c>
      <c r="J921">
        <v>382760.99134736322</v>
      </c>
      <c r="K921">
        <v>1979.5425801121096</v>
      </c>
      <c r="L921">
        <v>-1.3791130118628843</v>
      </c>
      <c r="M921">
        <v>-29561.802817369811</v>
      </c>
    </row>
    <row r="922" spans="4:13" x14ac:dyDescent="0.55000000000000004">
      <c r="D922">
        <v>917</v>
      </c>
      <c r="E922">
        <v>642.98565060390706</v>
      </c>
      <c r="F922">
        <v>20.590133864326763</v>
      </c>
      <c r="G922">
        <v>411159.69163593138</v>
      </c>
      <c r="H922">
        <v>2695.1373554514626</v>
      </c>
      <c r="I922">
        <v>19.028440243123089</v>
      </c>
      <c r="J922">
        <v>377873.66750701034</v>
      </c>
      <c r="K922">
        <v>2052.1517048475553</v>
      </c>
      <c r="L922">
        <v>-1.5616936212036734</v>
      </c>
      <c r="M922">
        <v>-33286.024128921039</v>
      </c>
    </row>
    <row r="923" spans="4:13" x14ac:dyDescent="0.55000000000000004">
      <c r="D923">
        <v>918</v>
      </c>
      <c r="E923">
        <v>689.49877335889403</v>
      </c>
      <c r="F923">
        <v>17.8913695921722</v>
      </c>
      <c r="G923">
        <v>357137.89307008515</v>
      </c>
      <c r="H923">
        <v>2948.8546546492958</v>
      </c>
      <c r="I923">
        <v>16.606382095502081</v>
      </c>
      <c r="J923">
        <v>329178.78725539235</v>
      </c>
      <c r="K923">
        <v>2259.3558812904016</v>
      </c>
      <c r="L923">
        <v>-1.2849874966701194</v>
      </c>
      <c r="M923">
        <v>-27959.105814692797</v>
      </c>
    </row>
    <row r="924" spans="4:13" x14ac:dyDescent="0.55000000000000004">
      <c r="D924">
        <v>919</v>
      </c>
      <c r="E924">
        <v>634.65481423622259</v>
      </c>
      <c r="F924">
        <v>18.450285367651105</v>
      </c>
      <c r="G924">
        <v>368371.05253878591</v>
      </c>
      <c r="H924">
        <v>2675.9234795469247</v>
      </c>
      <c r="I924">
        <v>17.75913978030264</v>
      </c>
      <c r="J924">
        <v>352506.87212650588</v>
      </c>
      <c r="K924">
        <v>2041.2686653107021</v>
      </c>
      <c r="L924">
        <v>-0.69114558734846554</v>
      </c>
      <c r="M924">
        <v>-15864.180412280024</v>
      </c>
    </row>
    <row r="925" spans="4:13" x14ac:dyDescent="0.55000000000000004">
      <c r="D925">
        <v>920</v>
      </c>
      <c r="E925">
        <v>712.52875382616025</v>
      </c>
      <c r="F925">
        <v>16.732701217645101</v>
      </c>
      <c r="G925">
        <v>333941.49559907586</v>
      </c>
      <c r="H925">
        <v>2875.8784151112482</v>
      </c>
      <c r="I925">
        <v>16.284639375673766</v>
      </c>
      <c r="J925">
        <v>322816.90909836412</v>
      </c>
      <c r="K925">
        <v>2163.3496612850877</v>
      </c>
      <c r="L925">
        <v>-0.44806184197133447</v>
      </c>
      <c r="M925">
        <v>-11124.586500711739</v>
      </c>
    </row>
    <row r="926" spans="4:13" x14ac:dyDescent="0.55000000000000004">
      <c r="D926">
        <v>921</v>
      </c>
      <c r="E926">
        <v>618.71106961573855</v>
      </c>
      <c r="F926">
        <v>20.213824392837481</v>
      </c>
      <c r="G926">
        <v>403657.77678713389</v>
      </c>
      <c r="H926">
        <v>2717.7494105458709</v>
      </c>
      <c r="I926">
        <v>18.576046605657723</v>
      </c>
      <c r="J926">
        <v>368803.18270260858</v>
      </c>
      <c r="K926">
        <v>2099.0383409301321</v>
      </c>
      <c r="L926">
        <v>-1.6377777871797576</v>
      </c>
      <c r="M926">
        <v>-34854.594084525306</v>
      </c>
    </row>
    <row r="927" spans="4:13" x14ac:dyDescent="0.55000000000000004">
      <c r="D927">
        <v>922</v>
      </c>
      <c r="E927">
        <v>700.24272533450824</v>
      </c>
      <c r="F927">
        <v>18.117083260318889</v>
      </c>
      <c r="G927">
        <v>361641.42248104332</v>
      </c>
      <c r="H927">
        <v>2907.1788618733599</v>
      </c>
      <c r="I927">
        <v>16.309074738406181</v>
      </c>
      <c r="J927">
        <v>323274.31590625027</v>
      </c>
      <c r="K927">
        <v>2206.9361365388518</v>
      </c>
      <c r="L927">
        <v>-1.8080085219127078</v>
      </c>
      <c r="M927">
        <v>-38367.106574793055</v>
      </c>
    </row>
    <row r="928" spans="4:13" x14ac:dyDescent="0.55000000000000004">
      <c r="D928">
        <v>923</v>
      </c>
      <c r="E928">
        <v>904.09844893145976</v>
      </c>
      <c r="F928">
        <v>20.70392061410611</v>
      </c>
      <c r="G928">
        <v>413174.31383319071</v>
      </c>
      <c r="H928">
        <v>2719.5969510296127</v>
      </c>
      <c r="I928">
        <v>18.59208197888789</v>
      </c>
      <c r="J928">
        <v>369122.04262672819</v>
      </c>
      <c r="K928">
        <v>1815.498502098153</v>
      </c>
      <c r="L928">
        <v>-2.1118386352182199</v>
      </c>
      <c r="M928">
        <v>-44052.271206462523</v>
      </c>
    </row>
    <row r="929" spans="4:13" x14ac:dyDescent="0.55000000000000004">
      <c r="D929">
        <v>924</v>
      </c>
      <c r="E929">
        <v>721.90293335137005</v>
      </c>
      <c r="F929">
        <v>20.582210214008573</v>
      </c>
      <c r="G929">
        <v>410922.30134682008</v>
      </c>
      <c r="H929">
        <v>2729.9224363754493</v>
      </c>
      <c r="I929">
        <v>18.3406084755282</v>
      </c>
      <c r="J929">
        <v>364082.24707418855</v>
      </c>
      <c r="K929">
        <v>2008.0195030240793</v>
      </c>
      <c r="L929">
        <v>-2.241601738480373</v>
      </c>
      <c r="M929">
        <v>-46840.054272631533</v>
      </c>
    </row>
    <row r="930" spans="4:13" x14ac:dyDescent="0.55000000000000004">
      <c r="D930">
        <v>925</v>
      </c>
      <c r="E930">
        <v>482.65832330593202</v>
      </c>
      <c r="F930">
        <v>18.626105989634191</v>
      </c>
      <c r="G930">
        <v>372039.46146937786</v>
      </c>
      <c r="H930">
        <v>2789.7931288579912</v>
      </c>
      <c r="I930">
        <v>17.180087403777318</v>
      </c>
      <c r="J930">
        <v>340811.95494668838</v>
      </c>
      <c r="K930">
        <v>2307.1348055520593</v>
      </c>
      <c r="L930">
        <v>-1.4460185858568728</v>
      </c>
      <c r="M930">
        <v>-31227.50652268948</v>
      </c>
    </row>
    <row r="931" spans="4:13" x14ac:dyDescent="0.55000000000000004">
      <c r="D931">
        <v>926</v>
      </c>
      <c r="E931">
        <v>537.94423884852097</v>
      </c>
      <c r="F931">
        <v>18.554199541556631</v>
      </c>
      <c r="G931">
        <v>370546.04659228411</v>
      </c>
      <c r="H931">
        <v>2763.9359549577057</v>
      </c>
      <c r="I931">
        <v>16.675564313996855</v>
      </c>
      <c r="J931">
        <v>330747.3503249794</v>
      </c>
      <c r="K931">
        <v>2225.9917161091848</v>
      </c>
      <c r="L931">
        <v>-1.8786352275597764</v>
      </c>
      <c r="M931">
        <v>-39798.696267304709</v>
      </c>
    </row>
    <row r="932" spans="4:13" x14ac:dyDescent="0.55000000000000004">
      <c r="D932">
        <v>927</v>
      </c>
      <c r="E932">
        <v>776.01245230517588</v>
      </c>
      <c r="F932">
        <v>17.561050295329213</v>
      </c>
      <c r="G932">
        <v>350444.99345427909</v>
      </c>
      <c r="H932">
        <v>2645.8422794437265</v>
      </c>
      <c r="I932">
        <v>16.429965037029877</v>
      </c>
      <c r="J932">
        <v>325953.45846115379</v>
      </c>
      <c r="K932">
        <v>1869.8298271385506</v>
      </c>
      <c r="L932">
        <v>-1.1310852582993363</v>
      </c>
      <c r="M932">
        <v>-24491.5349931253</v>
      </c>
    </row>
    <row r="933" spans="4:13" x14ac:dyDescent="0.55000000000000004">
      <c r="D933">
        <v>928</v>
      </c>
      <c r="E933">
        <v>590.31835926903159</v>
      </c>
      <c r="F933">
        <v>19.945462231288765</v>
      </c>
      <c r="G933">
        <v>398318.92626650631</v>
      </c>
      <c r="H933">
        <v>2911.5327152817877</v>
      </c>
      <c r="I933">
        <v>18.141234216068192</v>
      </c>
      <c r="J933">
        <v>359913.15160608204</v>
      </c>
      <c r="K933">
        <v>2321.2143560127561</v>
      </c>
      <c r="L933">
        <v>-1.8042280152205734</v>
      </c>
      <c r="M933">
        <v>-38405.774660424271</v>
      </c>
    </row>
    <row r="934" spans="4:13" x14ac:dyDescent="0.55000000000000004">
      <c r="D934">
        <v>929</v>
      </c>
      <c r="E934">
        <v>615.53910240217328</v>
      </c>
      <c r="F934">
        <v>17.851360000887638</v>
      </c>
      <c r="G934">
        <v>356411.6609153506</v>
      </c>
      <c r="H934">
        <v>2833.7812696898327</v>
      </c>
      <c r="I934">
        <v>17.246123309292948</v>
      </c>
      <c r="J934">
        <v>342088.68491616909</v>
      </c>
      <c r="K934">
        <v>2218.2421672876594</v>
      </c>
      <c r="L934">
        <v>-0.60523669159469051</v>
      </c>
      <c r="M934">
        <v>-14322.975999181508</v>
      </c>
    </row>
    <row r="935" spans="4:13" x14ac:dyDescent="0.55000000000000004">
      <c r="D935">
        <v>930</v>
      </c>
      <c r="E935">
        <v>509.14881235338834</v>
      </c>
      <c r="F935">
        <v>18.854094461174874</v>
      </c>
      <c r="G935">
        <v>376572.7404111441</v>
      </c>
      <c r="H935">
        <v>2671.5172868183049</v>
      </c>
      <c r="I935">
        <v>17.488137271645606</v>
      </c>
      <c r="J935">
        <v>347091.22814609384</v>
      </c>
      <c r="K935">
        <v>2162.3684744649167</v>
      </c>
      <c r="L935">
        <v>-1.3659571895292686</v>
      </c>
      <c r="M935">
        <v>-29481.51226505026</v>
      </c>
    </row>
    <row r="936" spans="4:13" x14ac:dyDescent="0.55000000000000004">
      <c r="D936">
        <v>931</v>
      </c>
      <c r="E936">
        <v>765.23892849315064</v>
      </c>
      <c r="F936">
        <v>19.389195997767992</v>
      </c>
      <c r="G936">
        <v>387018.68102686666</v>
      </c>
      <c r="H936">
        <v>2733.087441201691</v>
      </c>
      <c r="I936">
        <v>17.734157710755802</v>
      </c>
      <c r="J936">
        <v>351950.06677391438</v>
      </c>
      <c r="K936">
        <v>1967.8485127085405</v>
      </c>
      <c r="L936">
        <v>-1.6550382870121894</v>
      </c>
      <c r="M936">
        <v>-35068.614252952277</v>
      </c>
    </row>
    <row r="937" spans="4:13" x14ac:dyDescent="0.55000000000000004">
      <c r="D937">
        <v>932</v>
      </c>
      <c r="E937">
        <v>803.45898867922779</v>
      </c>
      <c r="F937">
        <v>21.096505667309618</v>
      </c>
      <c r="G937">
        <v>421126.65435751312</v>
      </c>
      <c r="H937">
        <v>3001.9129016946099</v>
      </c>
      <c r="I937">
        <v>18.228851940692941</v>
      </c>
      <c r="J937">
        <v>361575.12591216422</v>
      </c>
      <c r="K937">
        <v>2198.4539130153821</v>
      </c>
      <c r="L937">
        <v>-2.8676537266166768</v>
      </c>
      <c r="M937">
        <v>-59551.5284453489</v>
      </c>
    </row>
    <row r="938" spans="4:13" x14ac:dyDescent="0.55000000000000004">
      <c r="D938">
        <v>933</v>
      </c>
      <c r="E938">
        <v>463.41732793400053</v>
      </c>
      <c r="F938">
        <v>21.165583898408489</v>
      </c>
      <c r="G938">
        <v>422848.26064023579</v>
      </c>
      <c r="H938">
        <v>2939.6229243093044</v>
      </c>
      <c r="I938">
        <v>19.272324168108511</v>
      </c>
      <c r="J938">
        <v>382506.86043786095</v>
      </c>
      <c r="K938">
        <v>2476.2055963753037</v>
      </c>
      <c r="L938">
        <v>-1.8932597302999774</v>
      </c>
      <c r="M938">
        <v>-40341.400202374847</v>
      </c>
    </row>
    <row r="939" spans="4:13" x14ac:dyDescent="0.55000000000000004">
      <c r="D939">
        <v>934</v>
      </c>
      <c r="E939">
        <v>613.02435097405873</v>
      </c>
      <c r="F939">
        <v>16.984906284856237</v>
      </c>
      <c r="G939">
        <v>339085.10134615068</v>
      </c>
      <c r="H939">
        <v>2705.5089376981437</v>
      </c>
      <c r="I939">
        <v>16.508850199843756</v>
      </c>
      <c r="J939">
        <v>327471.49505917699</v>
      </c>
      <c r="K939">
        <v>2092.4845867240847</v>
      </c>
      <c r="L939">
        <v>-0.47605608501248042</v>
      </c>
      <c r="M939">
        <v>-11613.606286973692</v>
      </c>
    </row>
    <row r="940" spans="4:13" x14ac:dyDescent="0.55000000000000004">
      <c r="D940">
        <v>935</v>
      </c>
      <c r="E940">
        <v>687.59603536909833</v>
      </c>
      <c r="F940">
        <v>17.497151259488042</v>
      </c>
      <c r="G940">
        <v>349255.42915439175</v>
      </c>
      <c r="H940">
        <v>2683.4829731028499</v>
      </c>
      <c r="I940">
        <v>16.353601300993418</v>
      </c>
      <c r="J940">
        <v>324388.54304676555</v>
      </c>
      <c r="K940">
        <v>1995.8869377337514</v>
      </c>
      <c r="L940">
        <v>-1.1435499584946243</v>
      </c>
      <c r="M940">
        <v>-24866.886107626196</v>
      </c>
    </row>
    <row r="941" spans="4:13" x14ac:dyDescent="0.55000000000000004">
      <c r="D941">
        <v>936</v>
      </c>
      <c r="E941">
        <v>816.08577149698567</v>
      </c>
      <c r="F941">
        <v>18.092785371543197</v>
      </c>
      <c r="G941">
        <v>361039.62165936694</v>
      </c>
      <c r="H941">
        <v>2828.0799886175328</v>
      </c>
      <c r="I941">
        <v>17.326632151681775</v>
      </c>
      <c r="J941">
        <v>343704.563045018</v>
      </c>
      <c r="K941">
        <v>2011.9942171205471</v>
      </c>
      <c r="L941">
        <v>-0.76615321986142249</v>
      </c>
      <c r="M941">
        <v>-17335.058614348934</v>
      </c>
    </row>
    <row r="942" spans="4:13" x14ac:dyDescent="0.55000000000000004">
      <c r="D942">
        <v>937</v>
      </c>
      <c r="E942">
        <v>916.29904214962869</v>
      </c>
      <c r="F942">
        <v>16.135271801944306</v>
      </c>
      <c r="G942">
        <v>321789.13699673652</v>
      </c>
      <c r="H942">
        <v>3181.4752377136037</v>
      </c>
      <c r="I942">
        <v>15.542935921240385</v>
      </c>
      <c r="J942">
        <v>307677.24318709411</v>
      </c>
      <c r="K942">
        <v>2265.1761955639749</v>
      </c>
      <c r="L942">
        <v>-0.59233588070392074</v>
      </c>
      <c r="M942">
        <v>-14111.89380964241</v>
      </c>
    </row>
    <row r="943" spans="4:13" x14ac:dyDescent="0.55000000000000004">
      <c r="D943">
        <v>938</v>
      </c>
      <c r="E943">
        <v>874.40381203469724</v>
      </c>
      <c r="F943">
        <v>18.861979429147958</v>
      </c>
      <c r="G943">
        <v>376365.18477092445</v>
      </c>
      <c r="H943">
        <v>2727.7339888332599</v>
      </c>
      <c r="I943">
        <v>17.832859798332464</v>
      </c>
      <c r="J943">
        <v>353929.46197781601</v>
      </c>
      <c r="K943">
        <v>1853.3301767985627</v>
      </c>
      <c r="L943">
        <v>-1.0291196308154937</v>
      </c>
      <c r="M943">
        <v>-22435.722793108434</v>
      </c>
    </row>
    <row r="944" spans="4:13" x14ac:dyDescent="0.55000000000000004">
      <c r="D944">
        <v>939</v>
      </c>
      <c r="E944">
        <v>658.77773067448823</v>
      </c>
      <c r="F944">
        <v>18.325124488094481</v>
      </c>
      <c r="G944">
        <v>365843.71203121514</v>
      </c>
      <c r="H944">
        <v>2709.1759608439488</v>
      </c>
      <c r="I944">
        <v>17.057798369409113</v>
      </c>
      <c r="J944">
        <v>338446.79142733826</v>
      </c>
      <c r="K944">
        <v>2050.3982301694605</v>
      </c>
      <c r="L944">
        <v>-1.2673261186853679</v>
      </c>
      <c r="M944">
        <v>-27396.920603876875</v>
      </c>
    </row>
    <row r="945" spans="4:13" x14ac:dyDescent="0.55000000000000004">
      <c r="D945">
        <v>940</v>
      </c>
      <c r="E945">
        <v>680.63761749723608</v>
      </c>
      <c r="F945">
        <v>20.516961194099206</v>
      </c>
      <c r="G945">
        <v>409658.58626448689</v>
      </c>
      <c r="H945">
        <v>2715.5070862772518</v>
      </c>
      <c r="I945">
        <v>19.400856407294821</v>
      </c>
      <c r="J945">
        <v>385301.62105961918</v>
      </c>
      <c r="K945">
        <v>2034.8694687800157</v>
      </c>
      <c r="L945">
        <v>-1.1161047868043852</v>
      </c>
      <c r="M945">
        <v>-24356.965204867709</v>
      </c>
    </row>
    <row r="946" spans="4:13" x14ac:dyDescent="0.55000000000000004">
      <c r="D946">
        <v>941</v>
      </c>
      <c r="E946">
        <v>728.61969209424433</v>
      </c>
      <c r="F946">
        <v>18.451948542987672</v>
      </c>
      <c r="G946">
        <v>368310.35116765922</v>
      </c>
      <c r="H946">
        <v>2787.7821863684508</v>
      </c>
      <c r="I946">
        <v>17.012044634386864</v>
      </c>
      <c r="J946">
        <v>337453.11050136888</v>
      </c>
      <c r="K946">
        <v>2059.1624942742064</v>
      </c>
      <c r="L946">
        <v>-1.4399039086008081</v>
      </c>
      <c r="M946">
        <v>-30857.240666290338</v>
      </c>
    </row>
    <row r="947" spans="4:13" x14ac:dyDescent="0.55000000000000004">
      <c r="D947">
        <v>942</v>
      </c>
      <c r="E947">
        <v>572.48293796657561</v>
      </c>
      <c r="F947">
        <v>18.739485565089858</v>
      </c>
      <c r="G947">
        <v>374217.22836383054</v>
      </c>
      <c r="H947">
        <v>2676.3777555018769</v>
      </c>
      <c r="I947">
        <v>17.347506595136171</v>
      </c>
      <c r="J947">
        <v>344273.75414722151</v>
      </c>
      <c r="K947">
        <v>2103.8948175353012</v>
      </c>
      <c r="L947">
        <v>-1.3919789699536871</v>
      </c>
      <c r="M947">
        <v>-29943.474216609029</v>
      </c>
    </row>
    <row r="948" spans="4:13" x14ac:dyDescent="0.55000000000000004">
      <c r="D948">
        <v>943</v>
      </c>
      <c r="E948">
        <v>861.92103525728078</v>
      </c>
      <c r="F948">
        <v>18.321427514904613</v>
      </c>
      <c r="G948">
        <v>365566.62926283496</v>
      </c>
      <c r="H948">
        <v>2914.2045953710649</v>
      </c>
      <c r="I948">
        <v>17.098288331326145</v>
      </c>
      <c r="J948">
        <v>339051.56203115184</v>
      </c>
      <c r="K948">
        <v>2052.283560113784</v>
      </c>
      <c r="L948">
        <v>-1.2231391835784677</v>
      </c>
      <c r="M948">
        <v>-26515.067231683119</v>
      </c>
    </row>
    <row r="949" spans="4:13" x14ac:dyDescent="0.55000000000000004">
      <c r="D949">
        <v>944</v>
      </c>
      <c r="E949">
        <v>1053.8508372338067</v>
      </c>
      <c r="F949">
        <v>16.022138046542238</v>
      </c>
      <c r="G949">
        <v>319388.91009361093</v>
      </c>
      <c r="H949">
        <v>3006.801505105494</v>
      </c>
      <c r="I949">
        <v>15.168150097320074</v>
      </c>
      <c r="J949">
        <v>300356.20044129598</v>
      </c>
      <c r="K949">
        <v>1952.9506678716873</v>
      </c>
      <c r="L949">
        <v>-0.85398794922216403</v>
      </c>
      <c r="M949">
        <v>-19032.709652314952</v>
      </c>
    </row>
    <row r="950" spans="4:13" x14ac:dyDescent="0.55000000000000004">
      <c r="D950">
        <v>945</v>
      </c>
      <c r="E950">
        <v>816.9000078458165</v>
      </c>
      <c r="F950">
        <v>19.983510714276651</v>
      </c>
      <c r="G950">
        <v>398853.31427768717</v>
      </c>
      <c r="H950">
        <v>2765.1604295464626</v>
      </c>
      <c r="I950">
        <v>18.27809252708208</v>
      </c>
      <c r="J950">
        <v>362796.69011209515</v>
      </c>
      <c r="K950">
        <v>1948.260421700646</v>
      </c>
      <c r="L950">
        <v>-1.7054181871945708</v>
      </c>
      <c r="M950">
        <v>-36056.624165592017</v>
      </c>
    </row>
    <row r="951" spans="4:13" x14ac:dyDescent="0.55000000000000004">
      <c r="D951">
        <v>946</v>
      </c>
      <c r="E951">
        <v>423.00582049598592</v>
      </c>
      <c r="F951">
        <v>20.320455956460211</v>
      </c>
      <c r="G951">
        <v>405986.11330870824</v>
      </c>
      <c r="H951">
        <v>2748.3791843129302</v>
      </c>
      <c r="I951">
        <v>17.689060416353193</v>
      </c>
      <c r="J951">
        <v>351032.82914275094</v>
      </c>
      <c r="K951">
        <v>2325.3733638169442</v>
      </c>
      <c r="L951">
        <v>-2.6313955401070181</v>
      </c>
      <c r="M951">
        <v>-54953.284165957302</v>
      </c>
    </row>
    <row r="952" spans="4:13" x14ac:dyDescent="0.55000000000000004">
      <c r="D952">
        <v>947</v>
      </c>
      <c r="E952">
        <v>695.22980562284897</v>
      </c>
      <c r="F952">
        <v>16.495850121905956</v>
      </c>
      <c r="G952">
        <v>329221.77263249632</v>
      </c>
      <c r="H952">
        <v>2683.2758883562069</v>
      </c>
      <c r="I952">
        <v>15.13350654557839</v>
      </c>
      <c r="J952">
        <v>299986.85502321162</v>
      </c>
      <c r="K952">
        <v>1988.0460827333579</v>
      </c>
      <c r="L952">
        <v>-1.3623435763275662</v>
      </c>
      <c r="M952">
        <v>-29234.91760928469</v>
      </c>
    </row>
    <row r="953" spans="4:13" x14ac:dyDescent="0.55000000000000004">
      <c r="D953">
        <v>948</v>
      </c>
      <c r="E953">
        <v>661.9997010754031</v>
      </c>
      <c r="F953">
        <v>18.384622224846524</v>
      </c>
      <c r="G953">
        <v>367030.44479585503</v>
      </c>
      <c r="H953">
        <v>2829.8346705498539</v>
      </c>
      <c r="I953">
        <v>17.252380394873423</v>
      </c>
      <c r="J953">
        <v>342217.77322691865</v>
      </c>
      <c r="K953">
        <v>2167.8349694744506</v>
      </c>
      <c r="L953">
        <v>-1.1322418299731005</v>
      </c>
      <c r="M953">
        <v>-24812.671568936377</v>
      </c>
    </row>
    <row r="954" spans="4:13" x14ac:dyDescent="0.55000000000000004">
      <c r="D954">
        <v>949</v>
      </c>
      <c r="E954">
        <v>616.48442153476128</v>
      </c>
      <c r="F954">
        <v>21.738671656442659</v>
      </c>
      <c r="G954">
        <v>434156.9487073184</v>
      </c>
      <c r="H954">
        <v>2740.3495391192159</v>
      </c>
      <c r="I954">
        <v>20.204602621742136</v>
      </c>
      <c r="J954">
        <v>401351.70289572352</v>
      </c>
      <c r="K954">
        <v>2123.8651175844548</v>
      </c>
      <c r="L954">
        <v>-1.5340690347005221</v>
      </c>
      <c r="M954">
        <v>-32805.245811594883</v>
      </c>
    </row>
    <row r="955" spans="4:13" x14ac:dyDescent="0.55000000000000004">
      <c r="D955">
        <v>950</v>
      </c>
      <c r="E955">
        <v>793.01082165609989</v>
      </c>
      <c r="F955">
        <v>21.237119486113855</v>
      </c>
      <c r="G955">
        <v>423949.37890062103</v>
      </c>
      <c r="H955">
        <v>2636.4303745151838</v>
      </c>
      <c r="I955">
        <v>20.162771186336947</v>
      </c>
      <c r="J955">
        <v>400618.99335222377</v>
      </c>
      <c r="K955">
        <v>1843.419552859084</v>
      </c>
      <c r="L955">
        <v>-1.0743482997769078</v>
      </c>
      <c r="M955">
        <v>-23330.385548397258</v>
      </c>
    </row>
    <row r="956" spans="4:13" x14ac:dyDescent="0.55000000000000004">
      <c r="D956">
        <v>951</v>
      </c>
      <c r="E956">
        <v>636.46226186880551</v>
      </c>
      <c r="F956">
        <v>19.20356210640859</v>
      </c>
      <c r="G956">
        <v>383434.77986630297</v>
      </c>
      <c r="H956">
        <v>2685.2402408884845</v>
      </c>
      <c r="I956">
        <v>17.454601976788769</v>
      </c>
      <c r="J956">
        <v>346406.79929488688</v>
      </c>
      <c r="K956">
        <v>2048.7779790196792</v>
      </c>
      <c r="L956">
        <v>-1.7489601296198209</v>
      </c>
      <c r="M956">
        <v>-37027.98057141609</v>
      </c>
    </row>
    <row r="957" spans="4:13" x14ac:dyDescent="0.55000000000000004">
      <c r="D957">
        <v>952</v>
      </c>
      <c r="E957">
        <v>870.64436508626829</v>
      </c>
      <c r="F957">
        <v>17.77521934996571</v>
      </c>
      <c r="G957">
        <v>354633.74263422791</v>
      </c>
      <c r="H957">
        <v>2689.2213400007017</v>
      </c>
      <c r="I957">
        <v>16.976186335214351</v>
      </c>
      <c r="J957">
        <v>336834.50536428631</v>
      </c>
      <c r="K957">
        <v>1818.5769749144333</v>
      </c>
      <c r="L957">
        <v>-0.79903301475135891</v>
      </c>
      <c r="M957">
        <v>-17799.237269941601</v>
      </c>
    </row>
    <row r="958" spans="4:13" x14ac:dyDescent="0.55000000000000004">
      <c r="D958">
        <v>953</v>
      </c>
      <c r="E958">
        <v>653.62446291502204</v>
      </c>
      <c r="F958">
        <v>18.034733100628571</v>
      </c>
      <c r="G958">
        <v>360041.03754965641</v>
      </c>
      <c r="H958">
        <v>2712.8636482906409</v>
      </c>
      <c r="I958">
        <v>16.805056009540781</v>
      </c>
      <c r="J958">
        <v>333388.25654252496</v>
      </c>
      <c r="K958">
        <v>2059.2391853756189</v>
      </c>
      <c r="L958">
        <v>-1.2296770910877903</v>
      </c>
      <c r="M958">
        <v>-26652.781007131445</v>
      </c>
    </row>
    <row r="959" spans="4:13" x14ac:dyDescent="0.55000000000000004">
      <c r="D959">
        <v>954</v>
      </c>
      <c r="E959">
        <v>815.05079826778206</v>
      </c>
      <c r="F959">
        <v>21.398198697452937</v>
      </c>
      <c r="G959">
        <v>427148.92315079097</v>
      </c>
      <c r="H959">
        <v>2670.3478973226579</v>
      </c>
      <c r="I959">
        <v>19.264181898406882</v>
      </c>
      <c r="J959">
        <v>382613.29007081495</v>
      </c>
      <c r="K959">
        <v>1855.2970990548758</v>
      </c>
      <c r="L959">
        <v>-2.134016799046055</v>
      </c>
      <c r="M959">
        <v>-44535.633079976018</v>
      </c>
    </row>
    <row r="960" spans="4:13" x14ac:dyDescent="0.55000000000000004">
      <c r="D960">
        <v>955</v>
      </c>
      <c r="E960">
        <v>599.3530689855088</v>
      </c>
      <c r="F960">
        <v>16.120647966814811</v>
      </c>
      <c r="G960">
        <v>321813.60626731074</v>
      </c>
      <c r="H960">
        <v>2717.7496555793846</v>
      </c>
      <c r="I960">
        <v>15.473420075406871</v>
      </c>
      <c r="J960">
        <v>306750.65185255802</v>
      </c>
      <c r="K960">
        <v>2118.3965865938758</v>
      </c>
      <c r="L960">
        <v>-0.64722789140794035</v>
      </c>
      <c r="M960">
        <v>-15062.954414752719</v>
      </c>
    </row>
    <row r="961" spans="4:13" x14ac:dyDescent="0.55000000000000004">
      <c r="D961">
        <v>956</v>
      </c>
      <c r="E961">
        <v>654.03191813140393</v>
      </c>
      <c r="F961">
        <v>17.489491428692318</v>
      </c>
      <c r="G961">
        <v>349135.79665571498</v>
      </c>
      <c r="H961">
        <v>2723.5132517519023</v>
      </c>
      <c r="I961">
        <v>16.443106488810258</v>
      </c>
      <c r="J961">
        <v>326138.61652445327</v>
      </c>
      <c r="K961">
        <v>2069.4813336204984</v>
      </c>
      <c r="L961">
        <v>-1.0463849398820599</v>
      </c>
      <c r="M961">
        <v>-22997.180131261703</v>
      </c>
    </row>
    <row r="962" spans="4:13" x14ac:dyDescent="0.55000000000000004">
      <c r="D962">
        <v>957</v>
      </c>
      <c r="E962">
        <v>759.3985744503824</v>
      </c>
      <c r="F962">
        <v>19.62932692142568</v>
      </c>
      <c r="G962">
        <v>391827.13985406316</v>
      </c>
      <c r="H962">
        <v>2887.0065996924668</v>
      </c>
      <c r="I962">
        <v>18.152579886757245</v>
      </c>
      <c r="J962">
        <v>360164.59113545244</v>
      </c>
      <c r="K962">
        <v>2127.6080252420843</v>
      </c>
      <c r="L962">
        <v>-1.4767470346684348</v>
      </c>
      <c r="M962">
        <v>-31662.54871861072</v>
      </c>
    </row>
    <row r="963" spans="4:13" x14ac:dyDescent="0.55000000000000004">
      <c r="D963">
        <v>958</v>
      </c>
      <c r="E963">
        <v>675.69095111802596</v>
      </c>
      <c r="F963">
        <v>21.578002952320148</v>
      </c>
      <c r="G963">
        <v>430884.36809528497</v>
      </c>
      <c r="H963">
        <v>2708.5192953570672</v>
      </c>
      <c r="I963">
        <v>19.921048709763063</v>
      </c>
      <c r="J963">
        <v>395712.4548999042</v>
      </c>
      <c r="K963">
        <v>2032.8283442390411</v>
      </c>
      <c r="L963">
        <v>-1.6569542425570845</v>
      </c>
      <c r="M963">
        <v>-35171.913195380766</v>
      </c>
    </row>
    <row r="964" spans="4:13" x14ac:dyDescent="0.55000000000000004">
      <c r="D964">
        <v>959</v>
      </c>
      <c r="E964">
        <v>783.86066355479704</v>
      </c>
      <c r="F964">
        <v>20.913046221683562</v>
      </c>
      <c r="G964">
        <v>417477.06377011642</v>
      </c>
      <c r="H964">
        <v>2725.5924740502255</v>
      </c>
      <c r="I964">
        <v>19.146327329888024</v>
      </c>
      <c r="J964">
        <v>380200.95412371022</v>
      </c>
      <c r="K964">
        <v>1941.7318104954284</v>
      </c>
      <c r="L964">
        <v>-1.7667188917955379</v>
      </c>
      <c r="M964">
        <v>-37276.109646406199</v>
      </c>
    </row>
    <row r="965" spans="4:13" x14ac:dyDescent="0.55000000000000004">
      <c r="D965">
        <v>960</v>
      </c>
      <c r="E965">
        <v>572.38053497239594</v>
      </c>
      <c r="F965">
        <v>20.739089160618434</v>
      </c>
      <c r="G965">
        <v>414209.40267739625</v>
      </c>
      <c r="H965">
        <v>2791.0792144353918</v>
      </c>
      <c r="I965">
        <v>18.046848948879976</v>
      </c>
      <c r="J965">
        <v>358145.89976316411</v>
      </c>
      <c r="K965">
        <v>2218.6986794629956</v>
      </c>
      <c r="L965">
        <v>-2.6922402117384578</v>
      </c>
      <c r="M965">
        <v>-56063.502914232144</v>
      </c>
    </row>
    <row r="966" spans="4:13" x14ac:dyDescent="0.55000000000000004">
      <c r="D966">
        <v>961</v>
      </c>
      <c r="E966">
        <v>762.07259362366324</v>
      </c>
      <c r="F966">
        <v>19.12686411920938</v>
      </c>
      <c r="G966">
        <v>381775.20979056391</v>
      </c>
      <c r="H966">
        <v>2965.2695661346897</v>
      </c>
      <c r="I966">
        <v>17.405237820939035</v>
      </c>
      <c r="J966">
        <v>345139.48685264605</v>
      </c>
      <c r="K966">
        <v>2203.1969725110266</v>
      </c>
      <c r="L966">
        <v>-1.7216262982703441</v>
      </c>
      <c r="M966">
        <v>-36635.722937917861</v>
      </c>
    </row>
    <row r="967" spans="4:13" x14ac:dyDescent="0.55000000000000004">
      <c r="D967">
        <v>962</v>
      </c>
      <c r="E967">
        <v>606.37668618805264</v>
      </c>
      <c r="F967">
        <v>18.946236362300159</v>
      </c>
      <c r="G967">
        <v>378318.35055981512</v>
      </c>
      <c r="H967">
        <v>2693.1005534000515</v>
      </c>
      <c r="I967">
        <v>17.20533921032046</v>
      </c>
      <c r="J967">
        <v>341413.68365300912</v>
      </c>
      <c r="K967">
        <v>2086.7238672119988</v>
      </c>
      <c r="L967">
        <v>-1.7408971519796985</v>
      </c>
      <c r="M967">
        <v>-36904.666906806</v>
      </c>
    </row>
    <row r="968" spans="4:13" x14ac:dyDescent="0.55000000000000004">
      <c r="D968">
        <v>963</v>
      </c>
      <c r="E968">
        <v>926.5835544648271</v>
      </c>
      <c r="F968">
        <v>18.738935196004093</v>
      </c>
      <c r="G968">
        <v>373852.12036561704</v>
      </c>
      <c r="H968">
        <v>2825.4343224986146</v>
      </c>
      <c r="I968">
        <v>17.345292288997832</v>
      </c>
      <c r="J968">
        <v>344080.41145745805</v>
      </c>
      <c r="K968">
        <v>1898.8507680337875</v>
      </c>
      <c r="L968">
        <v>-1.3936429070062601</v>
      </c>
      <c r="M968">
        <v>-29771.708908158995</v>
      </c>
    </row>
    <row r="969" spans="4:13" x14ac:dyDescent="0.55000000000000004">
      <c r="D969">
        <v>964</v>
      </c>
      <c r="E969">
        <v>703.06505104635221</v>
      </c>
      <c r="F969">
        <v>21.95547924001416</v>
      </c>
      <c r="G969">
        <v>438406.51974923682</v>
      </c>
      <c r="H969">
        <v>2749.9799751097239</v>
      </c>
      <c r="I969">
        <v>19.411253950755285</v>
      </c>
      <c r="J969">
        <v>385475.09903999593</v>
      </c>
      <c r="K969">
        <v>2046.9149240633717</v>
      </c>
      <c r="L969">
        <v>-2.5442252892588755</v>
      </c>
      <c r="M969">
        <v>-52931.420709240891</v>
      </c>
    </row>
    <row r="970" spans="4:13" x14ac:dyDescent="0.55000000000000004">
      <c r="D970">
        <v>965</v>
      </c>
      <c r="E970">
        <v>496.03744730937512</v>
      </c>
      <c r="F970">
        <v>18.702395064689973</v>
      </c>
      <c r="G970">
        <v>373551.8638464901</v>
      </c>
      <c r="H970">
        <v>2888.5721756797952</v>
      </c>
      <c r="I970">
        <v>17.246868470912464</v>
      </c>
      <c r="J970">
        <v>342048.7972425695</v>
      </c>
      <c r="K970">
        <v>2392.53472837042</v>
      </c>
      <c r="L970">
        <v>-1.4555265937775097</v>
      </c>
      <c r="M970">
        <v>-31503.066603920597</v>
      </c>
    </row>
    <row r="971" spans="4:13" x14ac:dyDescent="0.55000000000000004">
      <c r="D971">
        <v>966</v>
      </c>
      <c r="E971">
        <v>709.12075954852469</v>
      </c>
      <c r="F971">
        <v>19.66438163443437</v>
      </c>
      <c r="G971">
        <v>392578.51192913891</v>
      </c>
      <c r="H971">
        <v>2751.6029068139574</v>
      </c>
      <c r="I971">
        <v>18.685985097497429</v>
      </c>
      <c r="J971">
        <v>370968.0990431346</v>
      </c>
      <c r="K971">
        <v>2042.4821472654326</v>
      </c>
      <c r="L971">
        <v>-0.97839653693694117</v>
      </c>
      <c r="M971">
        <v>-21610.412886004313</v>
      </c>
    </row>
    <row r="972" spans="4:13" x14ac:dyDescent="0.55000000000000004">
      <c r="D972">
        <v>967</v>
      </c>
      <c r="E972">
        <v>832.19031011321636</v>
      </c>
      <c r="F972">
        <v>18.612799340630474</v>
      </c>
      <c r="G972">
        <v>371423.79650249629</v>
      </c>
      <c r="H972">
        <v>2628.3293105079333</v>
      </c>
      <c r="I972">
        <v>17.670512996846551</v>
      </c>
      <c r="J972">
        <v>350781.9306264231</v>
      </c>
      <c r="K972">
        <v>1796.139000394717</v>
      </c>
      <c r="L972">
        <v>-0.94228634378392329</v>
      </c>
      <c r="M972">
        <v>-20641.865876073192</v>
      </c>
    </row>
    <row r="973" spans="4:13" x14ac:dyDescent="0.55000000000000004">
      <c r="D973">
        <v>968</v>
      </c>
      <c r="E973">
        <v>644.97003425875641</v>
      </c>
      <c r="F973">
        <v>19.739086342150763</v>
      </c>
      <c r="G973">
        <v>394136.75680875656</v>
      </c>
      <c r="H973">
        <v>3050.0448345120267</v>
      </c>
      <c r="I973">
        <v>17.568399879019488</v>
      </c>
      <c r="J973">
        <v>348317.95274587773</v>
      </c>
      <c r="K973">
        <v>2405.07480025327</v>
      </c>
      <c r="L973">
        <v>-2.1706864631312754</v>
      </c>
      <c r="M973">
        <v>-45818.804062878829</v>
      </c>
    </row>
    <row r="974" spans="4:13" x14ac:dyDescent="0.55000000000000004">
      <c r="D974">
        <v>969</v>
      </c>
      <c r="E974">
        <v>967.50810005673929</v>
      </c>
      <c r="F974">
        <v>17.905894307415512</v>
      </c>
      <c r="G974">
        <v>357150.37804825348</v>
      </c>
      <c r="H974">
        <v>2688.5782705853035</v>
      </c>
      <c r="I974">
        <v>16.777599935175886</v>
      </c>
      <c r="J974">
        <v>332863.42043293244</v>
      </c>
      <c r="K974">
        <v>1721.0701705285642</v>
      </c>
      <c r="L974">
        <v>-1.1282943722396261</v>
      </c>
      <c r="M974">
        <v>-24286.957615321036</v>
      </c>
    </row>
    <row r="975" spans="4:13" x14ac:dyDescent="0.55000000000000004">
      <c r="D975">
        <v>970</v>
      </c>
      <c r="E975">
        <v>475.70427283880008</v>
      </c>
      <c r="F975">
        <v>19.186006127240354</v>
      </c>
      <c r="G975">
        <v>383244.41827196832</v>
      </c>
      <c r="H975">
        <v>2669.5940466427842</v>
      </c>
      <c r="I975">
        <v>18.020053159970342</v>
      </c>
      <c r="J975">
        <v>357731.46915276407</v>
      </c>
      <c r="K975">
        <v>2193.8897738039841</v>
      </c>
      <c r="L975">
        <v>-1.1659529672700124</v>
      </c>
      <c r="M975">
        <v>-25512.949119204248</v>
      </c>
    </row>
    <row r="976" spans="4:13" x14ac:dyDescent="0.55000000000000004">
      <c r="D976">
        <v>971</v>
      </c>
      <c r="E976">
        <v>614.49059523077574</v>
      </c>
      <c r="F976">
        <v>17.116551292959183</v>
      </c>
      <c r="G976">
        <v>341716.53526395292</v>
      </c>
      <c r="H976">
        <v>2717.1317692187458</v>
      </c>
      <c r="I976">
        <v>15.947552064397357</v>
      </c>
      <c r="J976">
        <v>316233.90951872838</v>
      </c>
      <c r="K976">
        <v>2102.64117398797</v>
      </c>
      <c r="L976">
        <v>-1.1689992285618267</v>
      </c>
      <c r="M976">
        <v>-25482.625745224534</v>
      </c>
    </row>
    <row r="977" spans="4:13" x14ac:dyDescent="0.55000000000000004">
      <c r="D977">
        <v>972</v>
      </c>
      <c r="E977">
        <v>687.35080302424376</v>
      </c>
      <c r="F977">
        <v>19.624987320181631</v>
      </c>
      <c r="G977">
        <v>391812.39560060838</v>
      </c>
      <c r="H977">
        <v>2705.6319402420045</v>
      </c>
      <c r="I977">
        <v>18.593269671029805</v>
      </c>
      <c r="J977">
        <v>369159.76148035406</v>
      </c>
      <c r="K977">
        <v>2018.2811372177607</v>
      </c>
      <c r="L977">
        <v>-1.0317176491518261</v>
      </c>
      <c r="M977">
        <v>-22652.634120254312</v>
      </c>
    </row>
    <row r="978" spans="4:13" x14ac:dyDescent="0.55000000000000004">
      <c r="D978">
        <v>973</v>
      </c>
      <c r="E978">
        <v>564.1751333900329</v>
      </c>
      <c r="F978">
        <v>18.32395249951508</v>
      </c>
      <c r="G978">
        <v>365914.87485691154</v>
      </c>
      <c r="H978">
        <v>2680.0733316590395</v>
      </c>
      <c r="I978">
        <v>16.738867413092482</v>
      </c>
      <c r="J978">
        <v>332097.27493019064</v>
      </c>
      <c r="K978">
        <v>2115.8981982690066</v>
      </c>
      <c r="L978">
        <v>-1.5850850864225983</v>
      </c>
      <c r="M978">
        <v>-33817.599926720897</v>
      </c>
    </row>
    <row r="979" spans="4:13" x14ac:dyDescent="0.55000000000000004">
      <c r="D979">
        <v>974</v>
      </c>
      <c r="E979">
        <v>927.05812926536146</v>
      </c>
      <c r="F979">
        <v>17.375989743689132</v>
      </c>
      <c r="G979">
        <v>346592.73674451729</v>
      </c>
      <c r="H979">
        <v>2683.6820447965456</v>
      </c>
      <c r="I979">
        <v>16.531740654906724</v>
      </c>
      <c r="J979">
        <v>327951.13105333794</v>
      </c>
      <c r="K979">
        <v>1756.6239155311841</v>
      </c>
      <c r="L979">
        <v>-0.84424908878240856</v>
      </c>
      <c r="M979">
        <v>-18641.605691179342</v>
      </c>
    </row>
    <row r="980" spans="4:13" x14ac:dyDescent="0.55000000000000004">
      <c r="D980">
        <v>975</v>
      </c>
      <c r="E980">
        <v>669.52802614566826</v>
      </c>
      <c r="F980">
        <v>17.3557912322321</v>
      </c>
      <c r="G980">
        <v>346446.29661849636</v>
      </c>
      <c r="H980">
        <v>2698.1617608019019</v>
      </c>
      <c r="I980">
        <v>16.25282572262164</v>
      </c>
      <c r="J980">
        <v>322358.35269163089</v>
      </c>
      <c r="K980">
        <v>2028.6337346562336</v>
      </c>
      <c r="L980">
        <v>-1.1029655096104598</v>
      </c>
      <c r="M980">
        <v>-24087.943926865468</v>
      </c>
    </row>
    <row r="981" spans="4:13" x14ac:dyDescent="0.55000000000000004">
      <c r="D981">
        <v>976</v>
      </c>
      <c r="E981">
        <v>693.3623333213377</v>
      </c>
      <c r="F981">
        <v>17.922066206785068</v>
      </c>
      <c r="G981">
        <v>357747.96180237998</v>
      </c>
      <c r="H981">
        <v>2677.0058352538249</v>
      </c>
      <c r="I981">
        <v>16.887732321430331</v>
      </c>
      <c r="J981">
        <v>335077.64059335284</v>
      </c>
      <c r="K981">
        <v>1983.6435019324872</v>
      </c>
      <c r="L981">
        <v>-1.0343338853547372</v>
      </c>
      <c r="M981">
        <v>-22670.321209027141</v>
      </c>
    </row>
    <row r="982" spans="4:13" x14ac:dyDescent="0.55000000000000004">
      <c r="D982">
        <v>977</v>
      </c>
      <c r="E982">
        <v>678.56524500937292</v>
      </c>
      <c r="F982">
        <v>16.147929489471935</v>
      </c>
      <c r="G982">
        <v>322280.02454442933</v>
      </c>
      <c r="H982">
        <v>2919.6240812261208</v>
      </c>
      <c r="I982">
        <v>15.239124089564363</v>
      </c>
      <c r="J982">
        <v>301862.85771006113</v>
      </c>
      <c r="K982">
        <v>2241.0588362167477</v>
      </c>
      <c r="L982">
        <v>-0.90880539990757114</v>
      </c>
      <c r="M982">
        <v>-20417.166834368196</v>
      </c>
    </row>
    <row r="983" spans="4:13" x14ac:dyDescent="0.55000000000000004">
      <c r="D983">
        <v>978</v>
      </c>
      <c r="E983">
        <v>1071.6093394094421</v>
      </c>
      <c r="F983">
        <v>18.720497596364361</v>
      </c>
      <c r="G983">
        <v>373338.34258787776</v>
      </c>
      <c r="H983">
        <v>2737.1258894216667</v>
      </c>
      <c r="I983">
        <v>17.449003689391823</v>
      </c>
      <c r="J983">
        <v>346242.9478984148</v>
      </c>
      <c r="K983">
        <v>1665.5165500122246</v>
      </c>
      <c r="L983">
        <v>-1.2714939069725375</v>
      </c>
      <c r="M983">
        <v>-27095.394689462963</v>
      </c>
    </row>
    <row r="984" spans="4:13" x14ac:dyDescent="0.55000000000000004">
      <c r="D984">
        <v>979</v>
      </c>
      <c r="E984">
        <v>508.65989343380232</v>
      </c>
      <c r="F984">
        <v>18.108863585665219</v>
      </c>
      <c r="G984">
        <v>361668.6118198706</v>
      </c>
      <c r="H984">
        <v>2698.5105392542064</v>
      </c>
      <c r="I984">
        <v>16.84060099642425</v>
      </c>
      <c r="J984">
        <v>334113.50938923075</v>
      </c>
      <c r="K984">
        <v>2189.8506458204042</v>
      </c>
      <c r="L984">
        <v>-1.2682625892409689</v>
      </c>
      <c r="M984">
        <v>-27555.102430639847</v>
      </c>
    </row>
    <row r="985" spans="4:13" x14ac:dyDescent="0.55000000000000004">
      <c r="D985">
        <v>980</v>
      </c>
      <c r="E985">
        <v>553.13430046620329</v>
      </c>
      <c r="F985">
        <v>16.239291233432592</v>
      </c>
      <c r="G985">
        <v>324232.69036818563</v>
      </c>
      <c r="H985">
        <v>2673.3690972163186</v>
      </c>
      <c r="I985">
        <v>15.15515620586792</v>
      </c>
      <c r="J985">
        <v>300429.75502014207</v>
      </c>
      <c r="K985">
        <v>2120.2347967501155</v>
      </c>
      <c r="L985">
        <v>-1.0841350275646722</v>
      </c>
      <c r="M985">
        <v>-23802.935348043568</v>
      </c>
    </row>
    <row r="986" spans="4:13" x14ac:dyDescent="0.55000000000000004">
      <c r="D986">
        <v>981</v>
      </c>
      <c r="E986">
        <v>844.66085907616946</v>
      </c>
      <c r="F986">
        <v>18.480318660194509</v>
      </c>
      <c r="G986">
        <v>368761.71234481398</v>
      </c>
      <c r="H986">
        <v>2820.7518982182341</v>
      </c>
      <c r="I986">
        <v>17.19917574572743</v>
      </c>
      <c r="J986">
        <v>341162.76301633037</v>
      </c>
      <c r="K986">
        <v>1976.0910391420648</v>
      </c>
      <c r="L986">
        <v>-1.281142914467079</v>
      </c>
      <c r="M986">
        <v>-27598.949328483606</v>
      </c>
    </row>
    <row r="987" spans="4:13" x14ac:dyDescent="0.55000000000000004">
      <c r="D987">
        <v>982</v>
      </c>
      <c r="E987">
        <v>666.15958377540881</v>
      </c>
      <c r="F987">
        <v>19.214978898107592</v>
      </c>
      <c r="G987">
        <v>383633.41837837646</v>
      </c>
      <c r="H987">
        <v>2745.386438167402</v>
      </c>
      <c r="I987">
        <v>16.972890750275749</v>
      </c>
      <c r="J987">
        <v>336712.42856734752</v>
      </c>
      <c r="K987">
        <v>2079.2268543919931</v>
      </c>
      <c r="L987">
        <v>-2.2420881478318435</v>
      </c>
      <c r="M987">
        <v>-46920.989811028936</v>
      </c>
    </row>
    <row r="988" spans="4:13" x14ac:dyDescent="0.55000000000000004">
      <c r="D988">
        <v>983</v>
      </c>
      <c r="E988">
        <v>881.3434079044489</v>
      </c>
      <c r="F988">
        <v>16.91607616445075</v>
      </c>
      <c r="G988">
        <v>337440.17988111055</v>
      </c>
      <c r="H988">
        <v>2659.7569401340488</v>
      </c>
      <c r="I988">
        <v>16.407595878996588</v>
      </c>
      <c r="J988">
        <v>325492.16063979774</v>
      </c>
      <c r="K988">
        <v>1778.4135322295999</v>
      </c>
      <c r="L988">
        <v>-0.50848028545416213</v>
      </c>
      <c r="M988">
        <v>-11948.01924131281</v>
      </c>
    </row>
    <row r="989" spans="4:13" x14ac:dyDescent="0.55000000000000004">
      <c r="D989">
        <v>984</v>
      </c>
      <c r="E989">
        <v>538.00634145271374</v>
      </c>
      <c r="F989">
        <v>17.839270230743878</v>
      </c>
      <c r="G989">
        <v>356247.39827342483</v>
      </c>
      <c r="H989">
        <v>2682.587180594187</v>
      </c>
      <c r="I989">
        <v>16.00784209105824</v>
      </c>
      <c r="J989">
        <v>317474.25464057061</v>
      </c>
      <c r="K989">
        <v>2144.580839141473</v>
      </c>
      <c r="L989">
        <v>-1.831428139685638</v>
      </c>
      <c r="M989">
        <v>-38773.143632854219</v>
      </c>
    </row>
    <row r="990" spans="4:13" x14ac:dyDescent="0.55000000000000004">
      <c r="D990">
        <v>985</v>
      </c>
      <c r="E990">
        <v>861.43638566300115</v>
      </c>
      <c r="F990">
        <v>15.243050099390837</v>
      </c>
      <c r="G990">
        <v>303999.56560215377</v>
      </c>
      <c r="H990">
        <v>2661.9249232342936</v>
      </c>
      <c r="I990">
        <v>14.838334395480791</v>
      </c>
      <c r="J990">
        <v>294104.76298638154</v>
      </c>
      <c r="K990">
        <v>1800.4885375712925</v>
      </c>
      <c r="L990">
        <v>-0.40471570391004619</v>
      </c>
      <c r="M990">
        <v>-9894.8026157722343</v>
      </c>
    </row>
    <row r="991" spans="4:13" x14ac:dyDescent="0.55000000000000004">
      <c r="D991">
        <v>986</v>
      </c>
      <c r="E991">
        <v>732.67681033648546</v>
      </c>
      <c r="F991">
        <v>17.892036275975723</v>
      </c>
      <c r="G991">
        <v>357108.04870917799</v>
      </c>
      <c r="H991">
        <v>2891.1445952418094</v>
      </c>
      <c r="I991">
        <v>15.877867634901497</v>
      </c>
      <c r="J991">
        <v>314666.20810278814</v>
      </c>
      <c r="K991">
        <v>2158.4677849053242</v>
      </c>
      <c r="L991">
        <v>-2.0141686410742263</v>
      </c>
      <c r="M991">
        <v>-42441.840606389858</v>
      </c>
    </row>
    <row r="992" spans="4:13" x14ac:dyDescent="0.55000000000000004">
      <c r="D992">
        <v>987</v>
      </c>
      <c r="E992">
        <v>747.19373348789111</v>
      </c>
      <c r="F992">
        <v>19.594238077201943</v>
      </c>
      <c r="G992">
        <v>391137.56781055097</v>
      </c>
      <c r="H992">
        <v>2667.5773022634194</v>
      </c>
      <c r="I992">
        <v>18.298169965150866</v>
      </c>
      <c r="J992">
        <v>363295.82200075389</v>
      </c>
      <c r="K992">
        <v>1920.3835687755281</v>
      </c>
      <c r="L992">
        <v>-1.2960681120510777</v>
      </c>
      <c r="M992">
        <v>-27841.745809797081</v>
      </c>
    </row>
    <row r="993" spans="4:13" x14ac:dyDescent="0.55000000000000004">
      <c r="D993">
        <v>988</v>
      </c>
      <c r="E993">
        <v>740.73129087233281</v>
      </c>
      <c r="F993">
        <v>19.681945938608198</v>
      </c>
      <c r="G993">
        <v>392898.18748129165</v>
      </c>
      <c r="H993">
        <v>2782.9405282762682</v>
      </c>
      <c r="I993">
        <v>16.62533076944721</v>
      </c>
      <c r="J993">
        <v>329723.67486066796</v>
      </c>
      <c r="K993">
        <v>2042.2092374039353</v>
      </c>
      <c r="L993">
        <v>-3.0566151691609882</v>
      </c>
      <c r="M993">
        <v>-63174.512620623689</v>
      </c>
    </row>
    <row r="994" spans="4:13" x14ac:dyDescent="0.55000000000000004">
      <c r="D994">
        <v>989</v>
      </c>
      <c r="E994">
        <v>298.50203759527523</v>
      </c>
      <c r="F994">
        <v>19.300247330207664</v>
      </c>
      <c r="G994">
        <v>385706.44456655806</v>
      </c>
      <c r="H994">
        <v>2702.9693888863376</v>
      </c>
      <c r="I994">
        <v>17.79539661621962</v>
      </c>
      <c r="J994">
        <v>353204.96293550602</v>
      </c>
      <c r="K994">
        <v>2404.4673512910622</v>
      </c>
      <c r="L994">
        <v>-1.5048507139880449</v>
      </c>
      <c r="M994">
        <v>-32501.48163105204</v>
      </c>
    </row>
    <row r="995" spans="4:13" x14ac:dyDescent="0.55000000000000004">
      <c r="D995">
        <v>990</v>
      </c>
      <c r="E995">
        <v>717.5378356325084</v>
      </c>
      <c r="F995">
        <v>16.967043136448471</v>
      </c>
      <c r="G995">
        <v>338623.32489333692</v>
      </c>
      <c r="H995">
        <v>2800.5004420737882</v>
      </c>
      <c r="I995">
        <v>15.671560939184468</v>
      </c>
      <c r="J995">
        <v>310630.71834161557</v>
      </c>
      <c r="K995">
        <v>2082.9626064412796</v>
      </c>
      <c r="L995">
        <v>-1.2954821972640023</v>
      </c>
      <c r="M995">
        <v>-27992.606551721343</v>
      </c>
    </row>
    <row r="996" spans="4:13" x14ac:dyDescent="0.55000000000000004">
      <c r="D996">
        <v>991</v>
      </c>
      <c r="E996">
        <v>515.96926911368553</v>
      </c>
      <c r="F996">
        <v>20.475314066544492</v>
      </c>
      <c r="G996">
        <v>408990.31206177617</v>
      </c>
      <c r="H996">
        <v>2869.6528010528718</v>
      </c>
      <c r="I996">
        <v>18.652117357926592</v>
      </c>
      <c r="J996">
        <v>370172.69435747893</v>
      </c>
      <c r="K996">
        <v>2353.6835319391862</v>
      </c>
      <c r="L996">
        <v>-1.8231967086178997</v>
      </c>
      <c r="M996">
        <v>-38817.617704297241</v>
      </c>
    </row>
    <row r="997" spans="4:13" x14ac:dyDescent="0.55000000000000004">
      <c r="D997">
        <v>992</v>
      </c>
      <c r="E997">
        <v>787.94427249875002</v>
      </c>
      <c r="F997">
        <v>14.867720612342708</v>
      </c>
      <c r="G997">
        <v>296566.46797435539</v>
      </c>
      <c r="H997">
        <v>2706.6044743024677</v>
      </c>
      <c r="I997">
        <v>14.703753316578702</v>
      </c>
      <c r="J997">
        <v>291368.46185727161</v>
      </c>
      <c r="K997">
        <v>1918.6602018037177</v>
      </c>
      <c r="L997">
        <v>-0.16396729576400659</v>
      </c>
      <c r="M997">
        <v>-5198.0061170837726</v>
      </c>
    </row>
    <row r="998" spans="4:13" x14ac:dyDescent="0.55000000000000004">
      <c r="D998">
        <v>993</v>
      </c>
      <c r="E998">
        <v>641.96591548574304</v>
      </c>
      <c r="F998">
        <v>17.983984423937638</v>
      </c>
      <c r="G998">
        <v>359037.72256326699</v>
      </c>
      <c r="H998">
        <v>2778.0936182647247</v>
      </c>
      <c r="I998">
        <v>16.923362587839041</v>
      </c>
      <c r="J998">
        <v>335689.15813851613</v>
      </c>
      <c r="K998">
        <v>2136.1277027789815</v>
      </c>
      <c r="L998">
        <v>-1.0606218360985977</v>
      </c>
      <c r="M998">
        <v>-23348.564424750861</v>
      </c>
    </row>
    <row r="999" spans="4:13" x14ac:dyDescent="0.55000000000000004">
      <c r="D999">
        <v>994</v>
      </c>
      <c r="E999">
        <v>701.28654322560101</v>
      </c>
      <c r="F999">
        <v>20.900095183471496</v>
      </c>
      <c r="G999">
        <v>417300.61712620436</v>
      </c>
      <c r="H999">
        <v>3120.4417755222448</v>
      </c>
      <c r="I999">
        <v>19.178774234516354</v>
      </c>
      <c r="J999">
        <v>380455.04291480483</v>
      </c>
      <c r="K999">
        <v>2419.1552322966436</v>
      </c>
      <c r="L999">
        <v>-1.7213209489551424</v>
      </c>
      <c r="M999">
        <v>-36845.574211399537</v>
      </c>
    </row>
    <row r="1000" spans="4:13" x14ac:dyDescent="0.55000000000000004">
      <c r="D1000">
        <v>995</v>
      </c>
      <c r="E1000">
        <v>900.57237384879681</v>
      </c>
      <c r="F1000">
        <v>21.264365698546356</v>
      </c>
      <c r="G1000">
        <v>424386.74159707833</v>
      </c>
      <c r="H1000">
        <v>2797.7889451347378</v>
      </c>
      <c r="I1000">
        <v>19.173078469308887</v>
      </c>
      <c r="J1000">
        <v>380663.78044104303</v>
      </c>
      <c r="K1000">
        <v>1897.216571285941</v>
      </c>
      <c r="L1000">
        <v>-2.0912872292374693</v>
      </c>
      <c r="M1000">
        <v>-43722.961156035308</v>
      </c>
    </row>
    <row r="1001" spans="4:13" x14ac:dyDescent="0.55000000000000004">
      <c r="D1001">
        <v>996</v>
      </c>
      <c r="E1001">
        <v>574.66987246625081</v>
      </c>
      <c r="F1001">
        <v>14.200731559513752</v>
      </c>
      <c r="G1001">
        <v>283439.96131780877</v>
      </c>
      <c r="H1001">
        <v>2765.6840671124965</v>
      </c>
      <c r="I1001">
        <v>13.797701943321471</v>
      </c>
      <c r="J1001">
        <v>273188.3547993169</v>
      </c>
      <c r="K1001">
        <v>2191.0141946462454</v>
      </c>
      <c r="L1001">
        <v>-0.40302961619228128</v>
      </c>
      <c r="M1001">
        <v>-10251.60651849187</v>
      </c>
    </row>
    <row r="1002" spans="4:13" x14ac:dyDescent="0.55000000000000004">
      <c r="D1002">
        <v>997</v>
      </c>
      <c r="E1002">
        <v>683.5364445214035</v>
      </c>
      <c r="F1002">
        <v>20.149417263027104</v>
      </c>
      <c r="G1002">
        <v>402304.80881602067</v>
      </c>
      <c r="H1002">
        <v>2932.5826761731114</v>
      </c>
      <c r="I1002">
        <v>18.214121316687518</v>
      </c>
      <c r="J1002">
        <v>361349.84365757724</v>
      </c>
      <c r="K1002">
        <v>2249.0462316517078</v>
      </c>
      <c r="L1002">
        <v>-1.9352959463395862</v>
      </c>
      <c r="M1002">
        <v>-40954.965158443432</v>
      </c>
    </row>
    <row r="1003" spans="4:13" x14ac:dyDescent="0.55000000000000004">
      <c r="D1003">
        <v>998</v>
      </c>
      <c r="E1003">
        <v>848.13949979095776</v>
      </c>
      <c r="F1003">
        <v>20.84717847729361</v>
      </c>
      <c r="G1003">
        <v>416095.43004608125</v>
      </c>
      <c r="H1003">
        <v>2970.8079661578968</v>
      </c>
      <c r="I1003">
        <v>18.677551542376371</v>
      </c>
      <c r="J1003">
        <v>370580.22288136953</v>
      </c>
      <c r="K1003">
        <v>2122.6684663669389</v>
      </c>
      <c r="L1003">
        <v>-2.1696269349172397</v>
      </c>
      <c r="M1003">
        <v>-45515.207164711726</v>
      </c>
    </row>
    <row r="1004" spans="4:13" x14ac:dyDescent="0.55000000000000004">
      <c r="D1004">
        <v>999</v>
      </c>
      <c r="E1004">
        <v>802.35135399355909</v>
      </c>
      <c r="F1004">
        <v>20.072340429215863</v>
      </c>
      <c r="G1004">
        <v>400644.45723032369</v>
      </c>
      <c r="H1004">
        <v>2632.5184777440008</v>
      </c>
      <c r="I1004">
        <v>18.62883580807792</v>
      </c>
      <c r="J1004">
        <v>369944.19768381439</v>
      </c>
      <c r="K1004">
        <v>1830.1671237504418</v>
      </c>
      <c r="L1004">
        <v>-1.4435046211379436</v>
      </c>
      <c r="M1004">
        <v>-30700.259546509304</v>
      </c>
    </row>
    <row r="1005" spans="4:13" x14ac:dyDescent="0.55000000000000004">
      <c r="D1005">
        <v>1000</v>
      </c>
      <c r="E1005">
        <v>570.88183676048538</v>
      </c>
      <c r="F1005">
        <v>20.08178563184514</v>
      </c>
      <c r="G1005">
        <v>401064.83080014231</v>
      </c>
      <c r="H1005">
        <v>2709.7367450238394</v>
      </c>
      <c r="I1005">
        <v>18.322501177613589</v>
      </c>
      <c r="J1005">
        <v>363740.2868072479</v>
      </c>
      <c r="K1005">
        <v>2138.854908263354</v>
      </c>
      <c r="L1005">
        <v>-1.7592844542315511</v>
      </c>
      <c r="M1005">
        <v>-37324.543992894411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PSA">
                <anchor moveWithCells="1" sizeWithCells="1">
                  <from>
                    <xdr:col>1</xdr:col>
                    <xdr:colOff>636270</xdr:colOff>
                    <xdr:row>1</xdr:row>
                    <xdr:rowOff>3810</xdr:rowOff>
                  </from>
                  <to>
                    <xdr:col>3</xdr:col>
                    <xdr:colOff>1306830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Frontend</vt:lpstr>
      <vt:lpstr>Input parameters</vt:lpstr>
      <vt:lpstr>Costing</vt:lpstr>
      <vt:lpstr>QALYs</vt:lpstr>
      <vt:lpstr>Engine</vt:lpstr>
      <vt:lpstr>PSA</vt:lpstr>
      <vt:lpstr>analysis_type</vt:lpstr>
      <vt:lpstr>average_costs_aspirin</vt:lpstr>
      <vt:lpstr>average_costs_warfarin</vt:lpstr>
      <vt:lpstr>average_incremental_costs</vt:lpstr>
      <vt:lpstr>average_incremental_net_benefit</vt:lpstr>
      <vt:lpstr>average_incremental_qalys</vt:lpstr>
      <vt:lpstr>average_net_benefit_aspirin</vt:lpstr>
      <vt:lpstr>average_net_benefit_warfarin</vt:lpstr>
      <vt:lpstr>average_qalys_aspirin</vt:lpstr>
      <vt:lpstr>average_qalys_warfarin</vt:lpstr>
      <vt:lpstr>last_psa_run_samples</vt:lpstr>
      <vt:lpstr>n_samples</vt:lpstr>
      <vt:lpstr>net_benefit_aspirin</vt:lpstr>
      <vt:lpstr>net_benefit_warfarin</vt:lpstr>
      <vt:lpstr>total_costs_aspirin</vt:lpstr>
      <vt:lpstr>total_costs_warfarin</vt:lpstr>
      <vt:lpstr>total_qalys_aspirin</vt:lpstr>
      <vt:lpstr>total_qalys_warfarin</vt:lpstr>
      <vt:lpstr>willingness_to_pay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2023-04-20T09:15:56Z</dcterms:modified>
</cp:coreProperties>
</file>