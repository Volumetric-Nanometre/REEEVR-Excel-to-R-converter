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14776\PycharmProjects\Excel-R-compiler\tests\test workbooks\"/>
    </mc:Choice>
  </mc:AlternateContent>
  <xr:revisionPtr revIDLastSave="0" documentId="13_ncr:1_{4E1C6EAF-E492-4B47-89F2-399F391B676B}" xr6:coauthVersionLast="47" xr6:coauthVersionMax="47" xr10:uidLastSave="{00000000-0000-0000-0000-000000000000}"/>
  <bookViews>
    <workbookView xWindow="-28920" yWindow="-165" windowWidth="29040" windowHeight="15840" firstSheet="2" activeTab="3" xr2:uid="{00000000-000D-0000-FFFF-FFFF00000000}"/>
  </bookViews>
  <sheets>
    <sheet name="Cover" sheetId="30" r:id="rId1"/>
    <sheet name="Model overview" sheetId="31" r:id="rId2"/>
    <sheet name="Model settings" sheetId="32" r:id="rId3"/>
    <sheet name="Model parameters" sheetId="33" r:id="rId4"/>
    <sheet name="Model engine A" sheetId="34" r:id="rId5"/>
    <sheet name="Model engine B" sheetId="41" r:id="rId6"/>
    <sheet name="Results" sheetId="36" r:id="rId7"/>
    <sheet name="DSA" sheetId="35" r:id="rId8"/>
    <sheet name="PSA" sheetId="42" r:id="rId9"/>
    <sheet name="List" sheetId="37" r:id="rId10"/>
  </sheets>
  <definedNames>
    <definedName name="Base_ICER">DSA!$W$12</definedName>
    <definedName name="CEAC_clear">PSA!$X$16:$Y$116</definedName>
    <definedName name="CEAC_current">PSA!$X$14:$Y$14</definedName>
    <definedName name="CEAC_paste">PSA!$X$15:$Y$15</definedName>
    <definedName name="deterministic_value">'Model parameters'!$G$15</definedName>
    <definedName name="discount_cost">'Model settings'!$N$14</definedName>
    <definedName name="discount_healthOutcome">'Model settings'!$N$15</definedName>
    <definedName name="drugAcosts">OFFSET(PSA!$L$17,0,0,COUNTA(PSA!$L:$L)-16,1)</definedName>
    <definedName name="DSA_results">DSA!$Q$17:$AB$42</definedName>
    <definedName name="DSA_start">DSA!$Q$16</definedName>
    <definedName name="IncCosts">OFFSET(PSA!I$16,1,0):OFFSET(PSA!I$16,NumSim,0)</definedName>
    <definedName name="Include_DSA">'Model parameters'!$I$15</definedName>
    <definedName name="Include_PSA">'Model parameters'!$J$15</definedName>
    <definedName name="IncQALY">OFFSET(PSA!H$16,1,0):OFFSET(PSA!H$16,NumSim,0)</definedName>
    <definedName name="Live_results">DSA!$U$12</definedName>
    <definedName name="lower_value">'Model parameters'!$N$15</definedName>
    <definedName name="NumSim">PSA!$G$12</definedName>
    <definedName name="OWSA_WTP">DSA!$E$11</definedName>
    <definedName name="p_c_A">'Model parameters'!$R$25</definedName>
    <definedName name="p_c_B">'Model parameters'!$R$26</definedName>
    <definedName name="p_c_h">'Model parameters'!$R$23</definedName>
    <definedName name="p_c_s">'Model parameters'!$R$24</definedName>
    <definedName name="p_control">'Model parameters'!$Q$15</definedName>
    <definedName name="p_DSA_rows">'Model parameters'!$I$12</definedName>
    <definedName name="p_hh_A">'Model parameters'!$R$16</definedName>
    <definedName name="p_hh_B">'Model parameters'!$R$19</definedName>
    <definedName name="p_hs_A">'Model parameters'!$R$17</definedName>
    <definedName name="p_hs_B">'Model parameters'!$R$20</definedName>
    <definedName name="p_lower">'Model parameters'!$M$10</definedName>
    <definedName name="p_rows">'Model parameters'!$I$11</definedName>
    <definedName name="p_se">'Model parameters'!$M$9</definedName>
    <definedName name="p_ss_A">'Model parameters'!$R$18</definedName>
    <definedName name="p_ss_B">'Model parameters'!$R$21</definedName>
    <definedName name="p_u_h">'Model parameters'!$R$28</definedName>
    <definedName name="p_u_s">'Model parameters'!$R$29</definedName>
    <definedName name="p_upper">'Model parameters'!$M$11</definedName>
    <definedName name="parameter_name">'Model parameters'!$E$15</definedName>
    <definedName name="PSA_current">PSA!$L$14:$O$14</definedName>
    <definedName name="PSA_range">OFFSET(PSA_simulation, 1,0):OFFSET(PSA_simulation, PSA!$G$12,0)</definedName>
    <definedName name="PSA_simulation">PSA!$L$16:$O$16</definedName>
    <definedName name="rng_ICER_Rank">DSA!$L$18:$N$27</definedName>
    <definedName name="rng_Sort">DSA!$Q$17:$AD$42</definedName>
    <definedName name="upper_value">'Model parameters'!$O$15</definedName>
    <definedName name="willingness_to_pay">'Model settings'!$N$13</definedName>
    <definedName name="WTP_List">PSA!$W$15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7" i="42" l="1"/>
  <c r="R217" i="42"/>
  <c r="S17" i="42"/>
  <c r="N15" i="42"/>
  <c r="O15" i="42"/>
  <c r="M15" i="42"/>
  <c r="L15" i="42"/>
  <c r="S18" i="42"/>
  <c r="S19" i="42"/>
  <c r="S20" i="42"/>
  <c r="S21" i="42"/>
  <c r="S22" i="42"/>
  <c r="S23" i="42"/>
  <c r="S24" i="42"/>
  <c r="S25" i="42"/>
  <c r="S26" i="42"/>
  <c r="S27" i="42"/>
  <c r="S28" i="42"/>
  <c r="S29" i="42"/>
  <c r="S30" i="42"/>
  <c r="S31" i="42"/>
  <c r="S32" i="42"/>
  <c r="S33" i="42"/>
  <c r="S34" i="42"/>
  <c r="S35" i="42"/>
  <c r="S36" i="42"/>
  <c r="S37" i="42"/>
  <c r="S38" i="42"/>
  <c r="S39" i="42"/>
  <c r="S40" i="42"/>
  <c r="S41" i="42"/>
  <c r="S42" i="42"/>
  <c r="S43" i="42"/>
  <c r="S44" i="42"/>
  <c r="S45" i="42"/>
  <c r="S46" i="42"/>
  <c r="S47" i="42"/>
  <c r="S48" i="42"/>
  <c r="S49" i="42"/>
  <c r="S50" i="42"/>
  <c r="S51" i="42"/>
  <c r="S52" i="42"/>
  <c r="S53" i="42"/>
  <c r="S54" i="42"/>
  <c r="S55" i="42"/>
  <c r="S56" i="42"/>
  <c r="S57" i="42"/>
  <c r="S58" i="42"/>
  <c r="S59" i="42"/>
  <c r="S60" i="42"/>
  <c r="S61" i="42"/>
  <c r="S62" i="42"/>
  <c r="S63" i="42"/>
  <c r="S64" i="42"/>
  <c r="S65" i="42"/>
  <c r="S66" i="42"/>
  <c r="S67" i="42"/>
  <c r="S68" i="42"/>
  <c r="S69" i="42"/>
  <c r="S70" i="42"/>
  <c r="S71" i="42"/>
  <c r="S72" i="42"/>
  <c r="S73" i="42"/>
  <c r="S74" i="42"/>
  <c r="S75" i="42"/>
  <c r="S76" i="42"/>
  <c r="S77" i="42"/>
  <c r="S78" i="42"/>
  <c r="S79" i="42"/>
  <c r="S80" i="42"/>
  <c r="S81" i="42"/>
  <c r="S82" i="42"/>
  <c r="S83" i="42"/>
  <c r="S84" i="42"/>
  <c r="S85" i="42"/>
  <c r="S86" i="42"/>
  <c r="S87" i="42"/>
  <c r="S88" i="42"/>
  <c r="S89" i="42"/>
  <c r="S90" i="42"/>
  <c r="S91" i="42"/>
  <c r="S92" i="42"/>
  <c r="S93" i="42"/>
  <c r="S94" i="42"/>
  <c r="S95" i="42"/>
  <c r="S96" i="42"/>
  <c r="S97" i="42"/>
  <c r="S98" i="42"/>
  <c r="S99" i="42"/>
  <c r="S100" i="42"/>
  <c r="S101" i="42"/>
  <c r="S102" i="42"/>
  <c r="S103" i="42"/>
  <c r="S104" i="42"/>
  <c r="S105" i="42"/>
  <c r="S106" i="42"/>
  <c r="S107" i="42"/>
  <c r="S108" i="42"/>
  <c r="S109" i="42"/>
  <c r="S110" i="42"/>
  <c r="S111" i="42"/>
  <c r="S112" i="42"/>
  <c r="S113" i="42"/>
  <c r="S114" i="42"/>
  <c r="S115" i="42"/>
  <c r="S116" i="42"/>
  <c r="S117" i="42"/>
  <c r="S118" i="42"/>
  <c r="S119" i="42"/>
  <c r="S120" i="42"/>
  <c r="S121" i="42"/>
  <c r="S122" i="42"/>
  <c r="S123" i="42"/>
  <c r="S124" i="42"/>
  <c r="S125" i="42"/>
  <c r="S126" i="42"/>
  <c r="S127" i="42"/>
  <c r="S128" i="42"/>
  <c r="S129" i="42"/>
  <c r="S130" i="42"/>
  <c r="S131" i="42"/>
  <c r="S132" i="42"/>
  <c r="S133" i="42"/>
  <c r="S134" i="42"/>
  <c r="S135" i="42"/>
  <c r="S136" i="42"/>
  <c r="S137" i="42"/>
  <c r="S138" i="42"/>
  <c r="S139" i="42"/>
  <c r="S140" i="42"/>
  <c r="S141" i="42"/>
  <c r="S142" i="42"/>
  <c r="S143" i="42"/>
  <c r="S144" i="42"/>
  <c r="S145" i="42"/>
  <c r="S146" i="42"/>
  <c r="S147" i="42"/>
  <c r="S148" i="42"/>
  <c r="S149" i="42"/>
  <c r="S150" i="42"/>
  <c r="S151" i="42"/>
  <c r="S152" i="42"/>
  <c r="S153" i="42"/>
  <c r="S154" i="42"/>
  <c r="S155" i="42"/>
  <c r="S156" i="42"/>
  <c r="S157" i="42"/>
  <c r="S158" i="42"/>
  <c r="S159" i="42"/>
  <c r="S160" i="42"/>
  <c r="S161" i="42"/>
  <c r="S162" i="42"/>
  <c r="S163" i="42"/>
  <c r="S164" i="42"/>
  <c r="S165" i="42"/>
  <c r="S166" i="42"/>
  <c r="S167" i="42"/>
  <c r="S168" i="42"/>
  <c r="S169" i="42"/>
  <c r="S170" i="42"/>
  <c r="S171" i="42"/>
  <c r="S172" i="42"/>
  <c r="S173" i="42"/>
  <c r="S174" i="42"/>
  <c r="S175" i="42"/>
  <c r="S176" i="42"/>
  <c r="S177" i="42"/>
  <c r="S178" i="42"/>
  <c r="S179" i="42"/>
  <c r="S180" i="42"/>
  <c r="S181" i="42"/>
  <c r="S182" i="42"/>
  <c r="S183" i="42"/>
  <c r="S184" i="42"/>
  <c r="S185" i="42"/>
  <c r="S186" i="42"/>
  <c r="S187" i="42"/>
  <c r="S188" i="42"/>
  <c r="S189" i="42"/>
  <c r="S190" i="42"/>
  <c r="S191" i="42"/>
  <c r="S192" i="42"/>
  <c r="S193" i="42"/>
  <c r="S194" i="42"/>
  <c r="S195" i="42"/>
  <c r="S196" i="42"/>
  <c r="S197" i="42"/>
  <c r="S198" i="42"/>
  <c r="S199" i="42"/>
  <c r="S200" i="42"/>
  <c r="S201" i="42"/>
  <c r="S202" i="42"/>
  <c r="S203" i="42"/>
  <c r="S204" i="42"/>
  <c r="S205" i="42"/>
  <c r="S206" i="42"/>
  <c r="S207" i="42"/>
  <c r="S208" i="42"/>
  <c r="S209" i="42"/>
  <c r="S210" i="42"/>
  <c r="S211" i="42"/>
  <c r="S212" i="42"/>
  <c r="S213" i="42"/>
  <c r="S214" i="42"/>
  <c r="S215" i="42"/>
  <c r="S216" i="42"/>
  <c r="S217" i="42"/>
  <c r="S218" i="42"/>
  <c r="S219" i="42"/>
  <c r="S220" i="42"/>
  <c r="S221" i="42"/>
  <c r="S222" i="42"/>
  <c r="S223" i="42"/>
  <c r="S224" i="42"/>
  <c r="S225" i="42"/>
  <c r="S226" i="42"/>
  <c r="S227" i="42"/>
  <c r="S228" i="42"/>
  <c r="S229" i="42"/>
  <c r="S230" i="42"/>
  <c r="S231" i="42"/>
  <c r="S232" i="42"/>
  <c r="S233" i="42"/>
  <c r="S234" i="42"/>
  <c r="S235" i="42"/>
  <c r="S236" i="42"/>
  <c r="S237" i="42"/>
  <c r="S238" i="42"/>
  <c r="S239" i="42"/>
  <c r="S240" i="42"/>
  <c r="S241" i="42"/>
  <c r="S242" i="42"/>
  <c r="S243" i="42"/>
  <c r="S244" i="42"/>
  <c r="S245" i="42"/>
  <c r="S246" i="42"/>
  <c r="S247" i="42"/>
  <c r="S248" i="42"/>
  <c r="S249" i="42"/>
  <c r="S250" i="42"/>
  <c r="S251" i="42"/>
  <c r="S252" i="42"/>
  <c r="S253" i="42"/>
  <c r="S254" i="42"/>
  <c r="S255" i="42"/>
  <c r="S256" i="42"/>
  <c r="S257" i="42"/>
  <c r="S258" i="42"/>
  <c r="S259" i="42"/>
  <c r="S260" i="42"/>
  <c r="S261" i="42"/>
  <c r="S262" i="42"/>
  <c r="S263" i="42"/>
  <c r="S264" i="42"/>
  <c r="S265" i="42"/>
  <c r="S266" i="42"/>
  <c r="S267" i="42"/>
  <c r="S268" i="42"/>
  <c r="S269" i="42"/>
  <c r="S270" i="42"/>
  <c r="S271" i="42"/>
  <c r="S272" i="42"/>
  <c r="S273" i="42"/>
  <c r="S274" i="42"/>
  <c r="S275" i="42"/>
  <c r="S276" i="42"/>
  <c r="S277" i="42"/>
  <c r="S278" i="42"/>
  <c r="S279" i="42"/>
  <c r="S280" i="42"/>
  <c r="S281" i="42"/>
  <c r="S282" i="42"/>
  <c r="S283" i="42"/>
  <c r="S284" i="42"/>
  <c r="S285" i="42"/>
  <c r="S286" i="42"/>
  <c r="S287" i="42"/>
  <c r="S288" i="42"/>
  <c r="S289" i="42"/>
  <c r="S290" i="42"/>
  <c r="S291" i="42"/>
  <c r="S292" i="42"/>
  <c r="S293" i="42"/>
  <c r="S294" i="42"/>
  <c r="S295" i="42"/>
  <c r="S296" i="42"/>
  <c r="S297" i="42"/>
  <c r="S298" i="42"/>
  <c r="S299" i="42"/>
  <c r="S300" i="42"/>
  <c r="S301" i="42"/>
  <c r="S302" i="42"/>
  <c r="S303" i="42"/>
  <c r="S304" i="42"/>
  <c r="S305" i="42"/>
  <c r="S306" i="42"/>
  <c r="S307" i="42"/>
  <c r="S308" i="42"/>
  <c r="S309" i="42"/>
  <c r="S310" i="42"/>
  <c r="S311" i="42"/>
  <c r="S312" i="42"/>
  <c r="S313" i="42"/>
  <c r="S314" i="42"/>
  <c r="S315" i="42"/>
  <c r="S316" i="42"/>
  <c r="S317" i="42"/>
  <c r="S318" i="42"/>
  <c r="S319" i="42"/>
  <c r="S320" i="42"/>
  <c r="S321" i="42"/>
  <c r="S322" i="42"/>
  <c r="S323" i="42"/>
  <c r="S324" i="42"/>
  <c r="S325" i="42"/>
  <c r="S326" i="42"/>
  <c r="S327" i="42"/>
  <c r="S328" i="42"/>
  <c r="S329" i="42"/>
  <c r="S330" i="42"/>
  <c r="S331" i="42"/>
  <c r="S332" i="42"/>
  <c r="S333" i="42"/>
  <c r="S334" i="42"/>
  <c r="S335" i="42"/>
  <c r="S336" i="42"/>
  <c r="S337" i="42"/>
  <c r="S338" i="42"/>
  <c r="S339" i="42"/>
  <c r="S340" i="42"/>
  <c r="S341" i="42"/>
  <c r="S342" i="42"/>
  <c r="S343" i="42"/>
  <c r="S344" i="42"/>
  <c r="S345" i="42"/>
  <c r="S346" i="42"/>
  <c r="S347" i="42"/>
  <c r="S348" i="42"/>
  <c r="S349" i="42"/>
  <c r="S350" i="42"/>
  <c r="S351" i="42"/>
  <c r="S352" i="42"/>
  <c r="S353" i="42"/>
  <c r="S354" i="42"/>
  <c r="S355" i="42"/>
  <c r="S356" i="42"/>
  <c r="S357" i="42"/>
  <c r="S358" i="42"/>
  <c r="S359" i="42"/>
  <c r="S360" i="42"/>
  <c r="S361" i="42"/>
  <c r="S362" i="42"/>
  <c r="S363" i="42"/>
  <c r="S364" i="42"/>
  <c r="S365" i="42"/>
  <c r="S366" i="42"/>
  <c r="S367" i="42"/>
  <c r="S368" i="42"/>
  <c r="S369" i="42"/>
  <c r="S370" i="42"/>
  <c r="S371" i="42"/>
  <c r="S372" i="42"/>
  <c r="S373" i="42"/>
  <c r="S374" i="42"/>
  <c r="S375" i="42"/>
  <c r="S376" i="42"/>
  <c r="S377" i="42"/>
  <c r="S378" i="42"/>
  <c r="S379" i="42"/>
  <c r="S380" i="42"/>
  <c r="S381" i="42"/>
  <c r="S382" i="42"/>
  <c r="S383" i="42"/>
  <c r="S384" i="42"/>
  <c r="S385" i="42"/>
  <c r="S386" i="42"/>
  <c r="S387" i="42"/>
  <c r="S388" i="42"/>
  <c r="S389" i="42"/>
  <c r="S390" i="42"/>
  <c r="S391" i="42"/>
  <c r="S392" i="42"/>
  <c r="S393" i="42"/>
  <c r="S394" i="42"/>
  <c r="S395" i="42"/>
  <c r="S396" i="42"/>
  <c r="S397" i="42"/>
  <c r="S398" i="42"/>
  <c r="S399" i="42"/>
  <c r="S400" i="42"/>
  <c r="S401" i="42"/>
  <c r="S402" i="42"/>
  <c r="S403" i="42"/>
  <c r="S404" i="42"/>
  <c r="S405" i="42"/>
  <c r="S406" i="42"/>
  <c r="S407" i="42"/>
  <c r="S408" i="42"/>
  <c r="S409" i="42"/>
  <c r="S410" i="42"/>
  <c r="S411" i="42"/>
  <c r="S412" i="42"/>
  <c r="S413" i="42"/>
  <c r="S414" i="42"/>
  <c r="S415" i="42"/>
  <c r="S416" i="42"/>
  <c r="S417" i="42"/>
  <c r="S418" i="42"/>
  <c r="S419" i="42"/>
  <c r="S420" i="42"/>
  <c r="S421" i="42"/>
  <c r="S422" i="42"/>
  <c r="S423" i="42"/>
  <c r="S424" i="42"/>
  <c r="S425" i="42"/>
  <c r="S426" i="42"/>
  <c r="S427" i="42"/>
  <c r="S428" i="42"/>
  <c r="S429" i="42"/>
  <c r="S430" i="42"/>
  <c r="S431" i="42"/>
  <c r="S432" i="42"/>
  <c r="S433" i="42"/>
  <c r="S434" i="42"/>
  <c r="S435" i="42"/>
  <c r="S436" i="42"/>
  <c r="S437" i="42"/>
  <c r="S438" i="42"/>
  <c r="S439" i="42"/>
  <c r="S440" i="42"/>
  <c r="S441" i="42"/>
  <c r="S442" i="42"/>
  <c r="S443" i="42"/>
  <c r="S444" i="42"/>
  <c r="S445" i="42"/>
  <c r="S446" i="42"/>
  <c r="S447" i="42"/>
  <c r="S448" i="42"/>
  <c r="S449" i="42"/>
  <c r="S450" i="42"/>
  <c r="S451" i="42"/>
  <c r="S452" i="42"/>
  <c r="S453" i="42"/>
  <c r="S454" i="42"/>
  <c r="S455" i="42"/>
  <c r="S456" i="42"/>
  <c r="S457" i="42"/>
  <c r="S458" i="42"/>
  <c r="S459" i="42"/>
  <c r="S460" i="42"/>
  <c r="S461" i="42"/>
  <c r="S462" i="42"/>
  <c r="S463" i="42"/>
  <c r="S464" i="42"/>
  <c r="S465" i="42"/>
  <c r="S466" i="42"/>
  <c r="S467" i="42"/>
  <c r="S468" i="42"/>
  <c r="S469" i="42"/>
  <c r="S470" i="42"/>
  <c r="S471" i="42"/>
  <c r="S472" i="42"/>
  <c r="S473" i="42"/>
  <c r="S474" i="42"/>
  <c r="S475" i="42"/>
  <c r="S476" i="42"/>
  <c r="S477" i="42"/>
  <c r="S478" i="42"/>
  <c r="S479" i="42"/>
  <c r="S480" i="42"/>
  <c r="S481" i="42"/>
  <c r="S482" i="42"/>
  <c r="S483" i="42"/>
  <c r="S484" i="42"/>
  <c r="S485" i="42"/>
  <c r="S486" i="42"/>
  <c r="S487" i="42"/>
  <c r="S488" i="42"/>
  <c r="S489" i="42"/>
  <c r="S490" i="42"/>
  <c r="S491" i="42"/>
  <c r="S492" i="42"/>
  <c r="S493" i="42"/>
  <c r="S494" i="42"/>
  <c r="S495" i="42"/>
  <c r="S496" i="42"/>
  <c r="S497" i="42"/>
  <c r="S498" i="42"/>
  <c r="S499" i="42"/>
  <c r="S500" i="42"/>
  <c r="S501" i="42"/>
  <c r="S502" i="42"/>
  <c r="S503" i="42"/>
  <c r="S504" i="42"/>
  <c r="S505" i="42"/>
  <c r="S506" i="42"/>
  <c r="S507" i="42"/>
  <c r="S508" i="42"/>
  <c r="S509" i="42"/>
  <c r="S510" i="42"/>
  <c r="S511" i="42"/>
  <c r="S512" i="42"/>
  <c r="S513" i="42"/>
  <c r="S514" i="42"/>
  <c r="S515" i="42"/>
  <c r="S516" i="42"/>
  <c r="S517" i="42"/>
  <c r="S518" i="42"/>
  <c r="S519" i="42"/>
  <c r="S520" i="42"/>
  <c r="S521" i="42"/>
  <c r="S522" i="42"/>
  <c r="S523" i="42"/>
  <c r="S524" i="42"/>
  <c r="S525" i="42"/>
  <c r="S526" i="42"/>
  <c r="S527" i="42"/>
  <c r="S528" i="42"/>
  <c r="S529" i="42"/>
  <c r="S530" i="42"/>
  <c r="S531" i="42"/>
  <c r="S532" i="42"/>
  <c r="S533" i="42"/>
  <c r="S534" i="42"/>
  <c r="S535" i="42"/>
  <c r="S536" i="42"/>
  <c r="S537" i="42"/>
  <c r="S538" i="42"/>
  <c r="S539" i="42"/>
  <c r="S540" i="42"/>
  <c r="S541" i="42"/>
  <c r="S542" i="42"/>
  <c r="S543" i="42"/>
  <c r="S544" i="42"/>
  <c r="S545" i="42"/>
  <c r="S546" i="42"/>
  <c r="S547" i="42"/>
  <c r="S548" i="42"/>
  <c r="S549" i="42"/>
  <c r="S550" i="42"/>
  <c r="S551" i="42"/>
  <c r="S552" i="42"/>
  <c r="S553" i="42"/>
  <c r="S554" i="42"/>
  <c r="S555" i="42"/>
  <c r="S556" i="42"/>
  <c r="S557" i="42"/>
  <c r="S558" i="42"/>
  <c r="S559" i="42"/>
  <c r="S560" i="42"/>
  <c r="S561" i="42"/>
  <c r="S562" i="42"/>
  <c r="S563" i="42"/>
  <c r="S564" i="42"/>
  <c r="S565" i="42"/>
  <c r="S566" i="42"/>
  <c r="S567" i="42"/>
  <c r="S568" i="42"/>
  <c r="S569" i="42"/>
  <c r="S570" i="42"/>
  <c r="S571" i="42"/>
  <c r="S572" i="42"/>
  <c r="S573" i="42"/>
  <c r="S574" i="42"/>
  <c r="S575" i="42"/>
  <c r="S576" i="42"/>
  <c r="S577" i="42"/>
  <c r="S578" i="42"/>
  <c r="S579" i="42"/>
  <c r="S580" i="42"/>
  <c r="S581" i="42"/>
  <c r="S582" i="42"/>
  <c r="S583" i="42"/>
  <c r="S584" i="42"/>
  <c r="S585" i="42"/>
  <c r="S586" i="42"/>
  <c r="S587" i="42"/>
  <c r="S588" i="42"/>
  <c r="S589" i="42"/>
  <c r="S590" i="42"/>
  <c r="S591" i="42"/>
  <c r="S592" i="42"/>
  <c r="S593" i="42"/>
  <c r="S594" i="42"/>
  <c r="S595" i="42"/>
  <c r="S596" i="42"/>
  <c r="S597" i="42"/>
  <c r="S598" i="42"/>
  <c r="S599" i="42"/>
  <c r="S600" i="42"/>
  <c r="S601" i="42"/>
  <c r="S602" i="42"/>
  <c r="S603" i="42"/>
  <c r="S604" i="42"/>
  <c r="S605" i="42"/>
  <c r="S606" i="42"/>
  <c r="S607" i="42"/>
  <c r="S608" i="42"/>
  <c r="S609" i="42"/>
  <c r="S610" i="42"/>
  <c r="S611" i="42"/>
  <c r="S612" i="42"/>
  <c r="S613" i="42"/>
  <c r="S614" i="42"/>
  <c r="S615" i="42"/>
  <c r="S616" i="42"/>
  <c r="S617" i="42"/>
  <c r="S618" i="42"/>
  <c r="S619" i="42"/>
  <c r="S620" i="42"/>
  <c r="S621" i="42"/>
  <c r="S622" i="42"/>
  <c r="S623" i="42"/>
  <c r="S624" i="42"/>
  <c r="S625" i="42"/>
  <c r="S626" i="42"/>
  <c r="S627" i="42"/>
  <c r="S628" i="42"/>
  <c r="S629" i="42"/>
  <c r="S630" i="42"/>
  <c r="S631" i="42"/>
  <c r="S632" i="42"/>
  <c r="S633" i="42"/>
  <c r="S634" i="42"/>
  <c r="S635" i="42"/>
  <c r="S636" i="42"/>
  <c r="S637" i="42"/>
  <c r="S638" i="42"/>
  <c r="S639" i="42"/>
  <c r="S640" i="42"/>
  <c r="S641" i="42"/>
  <c r="S642" i="42"/>
  <c r="S643" i="42"/>
  <c r="S644" i="42"/>
  <c r="S645" i="42"/>
  <c r="S646" i="42"/>
  <c r="S647" i="42"/>
  <c r="S648" i="42"/>
  <c r="S649" i="42"/>
  <c r="S650" i="42"/>
  <c r="S651" i="42"/>
  <c r="S652" i="42"/>
  <c r="S653" i="42"/>
  <c r="S654" i="42"/>
  <c r="S655" i="42"/>
  <c r="S656" i="42"/>
  <c r="S657" i="42"/>
  <c r="S658" i="42"/>
  <c r="S659" i="42"/>
  <c r="S660" i="42"/>
  <c r="S661" i="42"/>
  <c r="S662" i="42"/>
  <c r="S663" i="42"/>
  <c r="S664" i="42"/>
  <c r="S665" i="42"/>
  <c r="S666" i="42"/>
  <c r="S667" i="42"/>
  <c r="S668" i="42"/>
  <c r="S669" i="42"/>
  <c r="S670" i="42"/>
  <c r="S671" i="42"/>
  <c r="S672" i="42"/>
  <c r="S673" i="42"/>
  <c r="S674" i="42"/>
  <c r="S675" i="42"/>
  <c r="S676" i="42"/>
  <c r="S677" i="42"/>
  <c r="S678" i="42"/>
  <c r="S679" i="42"/>
  <c r="S680" i="42"/>
  <c r="S681" i="42"/>
  <c r="S682" i="42"/>
  <c r="S683" i="42"/>
  <c r="S684" i="42"/>
  <c r="S685" i="42"/>
  <c r="S686" i="42"/>
  <c r="S687" i="42"/>
  <c r="S688" i="42"/>
  <c r="S689" i="42"/>
  <c r="S690" i="42"/>
  <c r="S691" i="42"/>
  <c r="S692" i="42"/>
  <c r="S693" i="42"/>
  <c r="S694" i="42"/>
  <c r="S695" i="42"/>
  <c r="S696" i="42"/>
  <c r="S697" i="42"/>
  <c r="S698" i="42"/>
  <c r="S699" i="42"/>
  <c r="S700" i="42"/>
  <c r="S701" i="42"/>
  <c r="S702" i="42"/>
  <c r="S703" i="42"/>
  <c r="S704" i="42"/>
  <c r="S705" i="42"/>
  <c r="S706" i="42"/>
  <c r="S707" i="42"/>
  <c r="S708" i="42"/>
  <c r="S709" i="42"/>
  <c r="S710" i="42"/>
  <c r="S711" i="42"/>
  <c r="S712" i="42"/>
  <c r="S713" i="42"/>
  <c r="S714" i="42"/>
  <c r="S715" i="42"/>
  <c r="S716" i="42"/>
  <c r="S717" i="42"/>
  <c r="S718" i="42"/>
  <c r="S719" i="42"/>
  <c r="S720" i="42"/>
  <c r="S721" i="42"/>
  <c r="S722" i="42"/>
  <c r="S723" i="42"/>
  <c r="S724" i="42"/>
  <c r="S725" i="42"/>
  <c r="S726" i="42"/>
  <c r="S727" i="42"/>
  <c r="S728" i="42"/>
  <c r="S729" i="42"/>
  <c r="S730" i="42"/>
  <c r="S731" i="42"/>
  <c r="S732" i="42"/>
  <c r="S733" i="42"/>
  <c r="S734" i="42"/>
  <c r="S735" i="42"/>
  <c r="S736" i="42"/>
  <c r="S737" i="42"/>
  <c r="S738" i="42"/>
  <c r="S739" i="42"/>
  <c r="S740" i="42"/>
  <c r="S741" i="42"/>
  <c r="S742" i="42"/>
  <c r="S743" i="42"/>
  <c r="S744" i="42"/>
  <c r="S745" i="42"/>
  <c r="S746" i="42"/>
  <c r="S747" i="42"/>
  <c r="S748" i="42"/>
  <c r="S749" i="42"/>
  <c r="S750" i="42"/>
  <c r="S751" i="42"/>
  <c r="S752" i="42"/>
  <c r="S753" i="42"/>
  <c r="S754" i="42"/>
  <c r="S755" i="42"/>
  <c r="S756" i="42"/>
  <c r="S757" i="42"/>
  <c r="S758" i="42"/>
  <c r="S759" i="42"/>
  <c r="S760" i="42"/>
  <c r="S761" i="42"/>
  <c r="S762" i="42"/>
  <c r="S763" i="42"/>
  <c r="S764" i="42"/>
  <c r="S765" i="42"/>
  <c r="S766" i="42"/>
  <c r="S767" i="42"/>
  <c r="S768" i="42"/>
  <c r="S769" i="42"/>
  <c r="S770" i="42"/>
  <c r="S771" i="42"/>
  <c r="S772" i="42"/>
  <c r="S773" i="42"/>
  <c r="S774" i="42"/>
  <c r="S775" i="42"/>
  <c r="S776" i="42"/>
  <c r="S777" i="42"/>
  <c r="S778" i="42"/>
  <c r="S779" i="42"/>
  <c r="S780" i="42"/>
  <c r="S781" i="42"/>
  <c r="S782" i="42"/>
  <c r="S783" i="42"/>
  <c r="S784" i="42"/>
  <c r="S785" i="42"/>
  <c r="S786" i="42"/>
  <c r="S787" i="42"/>
  <c r="S788" i="42"/>
  <c r="S789" i="42"/>
  <c r="S790" i="42"/>
  <c r="S791" i="42"/>
  <c r="S792" i="42"/>
  <c r="S793" i="42"/>
  <c r="S794" i="42"/>
  <c r="S795" i="42"/>
  <c r="S796" i="42"/>
  <c r="S797" i="42"/>
  <c r="S798" i="42"/>
  <c r="S799" i="42"/>
  <c r="S800" i="42"/>
  <c r="S801" i="42"/>
  <c r="S802" i="42"/>
  <c r="S803" i="42"/>
  <c r="S804" i="42"/>
  <c r="S805" i="42"/>
  <c r="S806" i="42"/>
  <c r="S807" i="42"/>
  <c r="S808" i="42"/>
  <c r="S809" i="42"/>
  <c r="S810" i="42"/>
  <c r="S811" i="42"/>
  <c r="S812" i="42"/>
  <c r="S813" i="42"/>
  <c r="S814" i="42"/>
  <c r="S815" i="42"/>
  <c r="S816" i="42"/>
  <c r="S817" i="42"/>
  <c r="S818" i="42"/>
  <c r="S819" i="42"/>
  <c r="S820" i="42"/>
  <c r="S821" i="42"/>
  <c r="S822" i="42"/>
  <c r="S823" i="42"/>
  <c r="S824" i="42"/>
  <c r="S825" i="42"/>
  <c r="S826" i="42"/>
  <c r="S827" i="42"/>
  <c r="S828" i="42"/>
  <c r="S829" i="42"/>
  <c r="S830" i="42"/>
  <c r="S831" i="42"/>
  <c r="S832" i="42"/>
  <c r="S833" i="42"/>
  <c r="S834" i="42"/>
  <c r="S835" i="42"/>
  <c r="S836" i="42"/>
  <c r="S837" i="42"/>
  <c r="S838" i="42"/>
  <c r="S839" i="42"/>
  <c r="S840" i="42"/>
  <c r="S841" i="42"/>
  <c r="S842" i="42"/>
  <c r="S843" i="42"/>
  <c r="S844" i="42"/>
  <c r="S845" i="42"/>
  <c r="S846" i="42"/>
  <c r="S847" i="42"/>
  <c r="S848" i="42"/>
  <c r="S849" i="42"/>
  <c r="S850" i="42"/>
  <c r="S851" i="42"/>
  <c r="S852" i="42"/>
  <c r="S853" i="42"/>
  <c r="S854" i="42"/>
  <c r="S855" i="42"/>
  <c r="S856" i="42"/>
  <c r="S857" i="42"/>
  <c r="S858" i="42"/>
  <c r="S859" i="42"/>
  <c r="S860" i="42"/>
  <c r="S861" i="42"/>
  <c r="S862" i="42"/>
  <c r="S863" i="42"/>
  <c r="S864" i="42"/>
  <c r="S865" i="42"/>
  <c r="S866" i="42"/>
  <c r="S867" i="42"/>
  <c r="S868" i="42"/>
  <c r="S869" i="42"/>
  <c r="S870" i="42"/>
  <c r="S871" i="42"/>
  <c r="S872" i="42"/>
  <c r="S873" i="42"/>
  <c r="S874" i="42"/>
  <c r="S875" i="42"/>
  <c r="S876" i="42"/>
  <c r="S877" i="42"/>
  <c r="S878" i="42"/>
  <c r="S879" i="42"/>
  <c r="S880" i="42"/>
  <c r="S881" i="42"/>
  <c r="S882" i="42"/>
  <c r="S883" i="42"/>
  <c r="S884" i="42"/>
  <c r="S885" i="42"/>
  <c r="S886" i="42"/>
  <c r="S887" i="42"/>
  <c r="S888" i="42"/>
  <c r="S889" i="42"/>
  <c r="S890" i="42"/>
  <c r="S891" i="42"/>
  <c r="S892" i="42"/>
  <c r="S893" i="42"/>
  <c r="S894" i="42"/>
  <c r="S895" i="42"/>
  <c r="S896" i="42"/>
  <c r="S897" i="42"/>
  <c r="S898" i="42"/>
  <c r="S899" i="42"/>
  <c r="S900" i="42"/>
  <c r="S901" i="42"/>
  <c r="S902" i="42"/>
  <c r="S903" i="42"/>
  <c r="S904" i="42"/>
  <c r="S905" i="42"/>
  <c r="S906" i="42"/>
  <c r="S907" i="42"/>
  <c r="S908" i="42"/>
  <c r="S909" i="42"/>
  <c r="S910" i="42"/>
  <c r="S911" i="42"/>
  <c r="S912" i="42"/>
  <c r="S913" i="42"/>
  <c r="S914" i="42"/>
  <c r="S915" i="42"/>
  <c r="S916" i="42"/>
  <c r="S917" i="42"/>
  <c r="S918" i="42"/>
  <c r="S919" i="42"/>
  <c r="S920" i="42"/>
  <c r="S921" i="42"/>
  <c r="S922" i="42"/>
  <c r="S923" i="42"/>
  <c r="S924" i="42"/>
  <c r="S925" i="42"/>
  <c r="S926" i="42"/>
  <c r="S927" i="42"/>
  <c r="S928" i="42"/>
  <c r="S929" i="42"/>
  <c r="S930" i="42"/>
  <c r="S931" i="42"/>
  <c r="S932" i="42"/>
  <c r="S933" i="42"/>
  <c r="S934" i="42"/>
  <c r="S935" i="42"/>
  <c r="S936" i="42"/>
  <c r="S937" i="42"/>
  <c r="S938" i="42"/>
  <c r="S939" i="42"/>
  <c r="S940" i="42"/>
  <c r="S941" i="42"/>
  <c r="S942" i="42"/>
  <c r="S943" i="42"/>
  <c r="S944" i="42"/>
  <c r="S945" i="42"/>
  <c r="S946" i="42"/>
  <c r="S947" i="42"/>
  <c r="S948" i="42"/>
  <c r="S949" i="42"/>
  <c r="S950" i="42"/>
  <c r="S951" i="42"/>
  <c r="S952" i="42"/>
  <c r="S953" i="42"/>
  <c r="S954" i="42"/>
  <c r="S955" i="42"/>
  <c r="S956" i="42"/>
  <c r="S957" i="42"/>
  <c r="S958" i="42"/>
  <c r="S959" i="42"/>
  <c r="S960" i="42"/>
  <c r="S961" i="42"/>
  <c r="S962" i="42"/>
  <c r="S963" i="42"/>
  <c r="S964" i="42"/>
  <c r="S965" i="42"/>
  <c r="S966" i="42"/>
  <c r="S967" i="42"/>
  <c r="S968" i="42"/>
  <c r="S969" i="42"/>
  <c r="S970" i="42"/>
  <c r="S971" i="42"/>
  <c r="S972" i="42"/>
  <c r="S973" i="42"/>
  <c r="S974" i="42"/>
  <c r="S975" i="42"/>
  <c r="S976" i="42"/>
  <c r="S977" i="42"/>
  <c r="S978" i="42"/>
  <c r="S979" i="42"/>
  <c r="S980" i="42"/>
  <c r="S981" i="42"/>
  <c r="S982" i="42"/>
  <c r="S983" i="42"/>
  <c r="S984" i="42"/>
  <c r="S985" i="42"/>
  <c r="S986" i="42"/>
  <c r="S987" i="42"/>
  <c r="S988" i="42"/>
  <c r="S989" i="42"/>
  <c r="S990" i="42"/>
  <c r="S991" i="42"/>
  <c r="S992" i="42"/>
  <c r="S993" i="42"/>
  <c r="S994" i="42"/>
  <c r="S995" i="42"/>
  <c r="S996" i="42"/>
  <c r="S997" i="42"/>
  <c r="S998" i="42"/>
  <c r="S999" i="42"/>
  <c r="S1000" i="42"/>
  <c r="S1001" i="42"/>
  <c r="S1002" i="42"/>
  <c r="S1003" i="42"/>
  <c r="S1004" i="42"/>
  <c r="S1005" i="42"/>
  <c r="S1006" i="42"/>
  <c r="S1007" i="42"/>
  <c r="S1008" i="42"/>
  <c r="S1009" i="42"/>
  <c r="S1010" i="42"/>
  <c r="S1011" i="42"/>
  <c r="S1012" i="42"/>
  <c r="S1013" i="42"/>
  <c r="S1014" i="42"/>
  <c r="S1015" i="42"/>
  <c r="S1016" i="42"/>
  <c r="R18" i="42"/>
  <c r="R19" i="42"/>
  <c r="R20" i="42"/>
  <c r="R21" i="42"/>
  <c r="R22" i="42"/>
  <c r="R23" i="42"/>
  <c r="R24" i="42"/>
  <c r="R25" i="42"/>
  <c r="R26" i="42"/>
  <c r="R27" i="42"/>
  <c r="R28" i="42"/>
  <c r="R29" i="42"/>
  <c r="R30" i="42"/>
  <c r="R31" i="42"/>
  <c r="R32" i="42"/>
  <c r="R33" i="42"/>
  <c r="R34" i="42"/>
  <c r="R35" i="42"/>
  <c r="R36" i="42"/>
  <c r="R37" i="42"/>
  <c r="R38" i="42"/>
  <c r="R39" i="42"/>
  <c r="R40" i="42"/>
  <c r="R41" i="42"/>
  <c r="R42" i="42"/>
  <c r="R43" i="42"/>
  <c r="R44" i="42"/>
  <c r="R45" i="42"/>
  <c r="R46" i="42"/>
  <c r="R47" i="42"/>
  <c r="R48" i="42"/>
  <c r="R49" i="42"/>
  <c r="R50" i="42"/>
  <c r="R51" i="42"/>
  <c r="R52" i="42"/>
  <c r="R53" i="42"/>
  <c r="R54" i="42"/>
  <c r="R55" i="42"/>
  <c r="R56" i="42"/>
  <c r="R57" i="42"/>
  <c r="R58" i="42"/>
  <c r="R59" i="42"/>
  <c r="R60" i="42"/>
  <c r="R61" i="42"/>
  <c r="R62" i="42"/>
  <c r="R63" i="42"/>
  <c r="R64" i="42"/>
  <c r="R65" i="42"/>
  <c r="R66" i="42"/>
  <c r="R67" i="42"/>
  <c r="R68" i="42"/>
  <c r="R69" i="42"/>
  <c r="R70" i="42"/>
  <c r="R71" i="42"/>
  <c r="R72" i="42"/>
  <c r="R73" i="42"/>
  <c r="R74" i="42"/>
  <c r="R75" i="42"/>
  <c r="R76" i="42"/>
  <c r="R77" i="42"/>
  <c r="R78" i="42"/>
  <c r="R79" i="42"/>
  <c r="R80" i="42"/>
  <c r="R81" i="42"/>
  <c r="R82" i="42"/>
  <c r="R83" i="42"/>
  <c r="R84" i="42"/>
  <c r="R85" i="42"/>
  <c r="R86" i="42"/>
  <c r="R87" i="42"/>
  <c r="R88" i="42"/>
  <c r="R89" i="42"/>
  <c r="R90" i="42"/>
  <c r="R91" i="42"/>
  <c r="R92" i="42"/>
  <c r="R93" i="42"/>
  <c r="R94" i="42"/>
  <c r="R95" i="42"/>
  <c r="R96" i="42"/>
  <c r="R97" i="42"/>
  <c r="R98" i="42"/>
  <c r="R99" i="42"/>
  <c r="R100" i="42"/>
  <c r="R101" i="42"/>
  <c r="R102" i="42"/>
  <c r="R103" i="42"/>
  <c r="R104" i="42"/>
  <c r="R105" i="42"/>
  <c r="R106" i="42"/>
  <c r="R107" i="42"/>
  <c r="R108" i="42"/>
  <c r="R109" i="42"/>
  <c r="R110" i="42"/>
  <c r="R111" i="42"/>
  <c r="R112" i="42"/>
  <c r="R113" i="42"/>
  <c r="R114" i="42"/>
  <c r="R115" i="42"/>
  <c r="R116" i="42"/>
  <c r="R117" i="42"/>
  <c r="R118" i="42"/>
  <c r="R119" i="42"/>
  <c r="R120" i="42"/>
  <c r="R121" i="42"/>
  <c r="R122" i="42"/>
  <c r="R123" i="42"/>
  <c r="R124" i="42"/>
  <c r="R125" i="42"/>
  <c r="R126" i="42"/>
  <c r="R127" i="42"/>
  <c r="R128" i="42"/>
  <c r="R129" i="42"/>
  <c r="R130" i="42"/>
  <c r="R131" i="42"/>
  <c r="T131" i="42" s="1"/>
  <c r="R132" i="42"/>
  <c r="R133" i="42"/>
  <c r="R134" i="42"/>
  <c r="R135" i="42"/>
  <c r="R136" i="42"/>
  <c r="R137" i="42"/>
  <c r="R138" i="42"/>
  <c r="R139" i="42"/>
  <c r="T139" i="42" s="1"/>
  <c r="R140" i="42"/>
  <c r="R141" i="42"/>
  <c r="R142" i="42"/>
  <c r="R143" i="42"/>
  <c r="R144" i="42"/>
  <c r="R145" i="42"/>
  <c r="T145" i="42" s="1"/>
  <c r="R146" i="42"/>
  <c r="R147" i="42"/>
  <c r="R148" i="42"/>
  <c r="R149" i="42"/>
  <c r="R150" i="42"/>
  <c r="R151" i="42"/>
  <c r="R152" i="42"/>
  <c r="R153" i="42"/>
  <c r="T153" i="42" s="1"/>
  <c r="R154" i="42"/>
  <c r="R155" i="42"/>
  <c r="T155" i="42" s="1"/>
  <c r="R156" i="42"/>
  <c r="R157" i="42"/>
  <c r="R158" i="42"/>
  <c r="R159" i="42"/>
  <c r="R160" i="42"/>
  <c r="R161" i="42"/>
  <c r="R162" i="42"/>
  <c r="R163" i="42"/>
  <c r="R164" i="42"/>
  <c r="R165" i="42"/>
  <c r="R166" i="42"/>
  <c r="R167" i="42"/>
  <c r="R168" i="42"/>
  <c r="R169" i="42"/>
  <c r="T169" i="42" s="1"/>
  <c r="R170" i="42"/>
  <c r="R171" i="42"/>
  <c r="R172" i="42"/>
  <c r="R173" i="42"/>
  <c r="R174" i="42"/>
  <c r="R175" i="42"/>
  <c r="R176" i="42"/>
  <c r="R177" i="42"/>
  <c r="T177" i="42" s="1"/>
  <c r="R178" i="42"/>
  <c r="R179" i="42"/>
  <c r="T179" i="42" s="1"/>
  <c r="R180" i="42"/>
  <c r="R181" i="42"/>
  <c r="R182" i="42"/>
  <c r="R183" i="42"/>
  <c r="R184" i="42"/>
  <c r="R185" i="42"/>
  <c r="R186" i="42"/>
  <c r="R187" i="42"/>
  <c r="T187" i="42" s="1"/>
  <c r="R188" i="42"/>
  <c r="R189" i="42"/>
  <c r="R190" i="42"/>
  <c r="R191" i="42"/>
  <c r="R192" i="42"/>
  <c r="R193" i="42"/>
  <c r="T193" i="42" s="1"/>
  <c r="R194" i="42"/>
  <c r="R195" i="42"/>
  <c r="R196" i="42"/>
  <c r="R197" i="42"/>
  <c r="R198" i="42"/>
  <c r="R199" i="42"/>
  <c r="R200" i="42"/>
  <c r="R201" i="42"/>
  <c r="T201" i="42" s="1"/>
  <c r="R202" i="42"/>
  <c r="R203" i="42"/>
  <c r="T203" i="42" s="1"/>
  <c r="R204" i="42"/>
  <c r="R205" i="42"/>
  <c r="R206" i="42"/>
  <c r="R207" i="42"/>
  <c r="R208" i="42"/>
  <c r="R209" i="42"/>
  <c r="R210" i="42"/>
  <c r="R211" i="42"/>
  <c r="T211" i="42" s="1"/>
  <c r="R212" i="42"/>
  <c r="R213" i="42"/>
  <c r="R214" i="42"/>
  <c r="R215" i="42"/>
  <c r="R216" i="42"/>
  <c r="R218" i="42"/>
  <c r="R219" i="42"/>
  <c r="T219" i="42" s="1"/>
  <c r="R220" i="42"/>
  <c r="R221" i="42"/>
  <c r="R222" i="42"/>
  <c r="R223" i="42"/>
  <c r="R224" i="42"/>
  <c r="R225" i="42"/>
  <c r="R226" i="42"/>
  <c r="R227" i="42"/>
  <c r="T227" i="42" s="1"/>
  <c r="R228" i="42"/>
  <c r="T228" i="42" s="1"/>
  <c r="R229" i="42"/>
  <c r="R230" i="42"/>
  <c r="R231" i="42"/>
  <c r="R232" i="42"/>
  <c r="R233" i="42"/>
  <c r="R234" i="42"/>
  <c r="R235" i="42"/>
  <c r="R236" i="42"/>
  <c r="T236" i="42" s="1"/>
  <c r="R237" i="42"/>
  <c r="R238" i="42"/>
  <c r="R239" i="42"/>
  <c r="R240" i="42"/>
  <c r="R241" i="42"/>
  <c r="R242" i="42"/>
  <c r="R243" i="42"/>
  <c r="T243" i="42" s="1"/>
  <c r="R244" i="42"/>
  <c r="T244" i="42" s="1"/>
  <c r="R245" i="42"/>
  <c r="R246" i="42"/>
  <c r="R247" i="42"/>
  <c r="R248" i="42"/>
  <c r="R249" i="42"/>
  <c r="T249" i="42" s="1"/>
  <c r="R250" i="42"/>
  <c r="R251" i="42"/>
  <c r="T251" i="42" s="1"/>
  <c r="R252" i="42"/>
  <c r="T252" i="42" s="1"/>
  <c r="R253" i="42"/>
  <c r="R254" i="42"/>
  <c r="R255" i="42"/>
  <c r="R256" i="42"/>
  <c r="R257" i="42"/>
  <c r="R258" i="42"/>
  <c r="R259" i="42"/>
  <c r="T259" i="42" s="1"/>
  <c r="R260" i="42"/>
  <c r="T260" i="42" s="1"/>
  <c r="R261" i="42"/>
  <c r="R262" i="42"/>
  <c r="R263" i="42"/>
  <c r="R264" i="42"/>
  <c r="R265" i="42"/>
  <c r="R266" i="42"/>
  <c r="R267" i="42"/>
  <c r="T267" i="42" s="1"/>
  <c r="R268" i="42"/>
  <c r="R269" i="42"/>
  <c r="R270" i="42"/>
  <c r="R271" i="42"/>
  <c r="R272" i="42"/>
  <c r="R273" i="42"/>
  <c r="R274" i="42"/>
  <c r="R275" i="42"/>
  <c r="T275" i="42" s="1"/>
  <c r="R276" i="42"/>
  <c r="T276" i="42" s="1"/>
  <c r="R277" i="42"/>
  <c r="R278" i="42"/>
  <c r="R279" i="42"/>
  <c r="R280" i="42"/>
  <c r="R281" i="42"/>
  <c r="R282" i="42"/>
  <c r="R283" i="42"/>
  <c r="T283" i="42" s="1"/>
  <c r="R284" i="42"/>
  <c r="T284" i="42" s="1"/>
  <c r="R285" i="42"/>
  <c r="R286" i="42"/>
  <c r="R287" i="42"/>
  <c r="R288" i="42"/>
  <c r="R289" i="42"/>
  <c r="T289" i="42" s="1"/>
  <c r="R290" i="42"/>
  <c r="R291" i="42"/>
  <c r="T291" i="42" s="1"/>
  <c r="R292" i="42"/>
  <c r="R293" i="42"/>
  <c r="R294" i="42"/>
  <c r="R295" i="42"/>
  <c r="R296" i="42"/>
  <c r="R297" i="42"/>
  <c r="R298" i="42"/>
  <c r="R299" i="42"/>
  <c r="R300" i="42"/>
  <c r="T300" i="42" s="1"/>
  <c r="R301" i="42"/>
  <c r="R302" i="42"/>
  <c r="R303" i="42"/>
  <c r="R304" i="42"/>
  <c r="R305" i="42"/>
  <c r="R306" i="42"/>
  <c r="R307" i="42"/>
  <c r="T307" i="42" s="1"/>
  <c r="R308" i="42"/>
  <c r="T308" i="42" s="1"/>
  <c r="R309" i="42"/>
  <c r="R310" i="42"/>
  <c r="R311" i="42"/>
  <c r="R312" i="42"/>
  <c r="R313" i="42"/>
  <c r="T313" i="42" s="1"/>
  <c r="R314" i="42"/>
  <c r="R315" i="42"/>
  <c r="T315" i="42" s="1"/>
  <c r="R316" i="42"/>
  <c r="T316" i="42" s="1"/>
  <c r="R317" i="42"/>
  <c r="R318" i="42"/>
  <c r="R319" i="42"/>
  <c r="R320" i="42"/>
  <c r="R321" i="42"/>
  <c r="R322" i="42"/>
  <c r="R323" i="42"/>
  <c r="T323" i="42" s="1"/>
  <c r="R324" i="42"/>
  <c r="T324" i="42" s="1"/>
  <c r="R325" i="42"/>
  <c r="R326" i="42"/>
  <c r="R327" i="42"/>
  <c r="R328" i="42"/>
  <c r="R329" i="42"/>
  <c r="R330" i="42"/>
  <c r="R331" i="42"/>
  <c r="T331" i="42" s="1"/>
  <c r="R332" i="42"/>
  <c r="T332" i="42" s="1"/>
  <c r="R333" i="42"/>
  <c r="R334" i="42"/>
  <c r="R335" i="42"/>
  <c r="R336" i="42"/>
  <c r="R337" i="42"/>
  <c r="T337" i="42" s="1"/>
  <c r="R338" i="42"/>
  <c r="R339" i="42"/>
  <c r="R340" i="42"/>
  <c r="R341" i="42"/>
  <c r="R342" i="42"/>
  <c r="R343" i="42"/>
  <c r="R344" i="42"/>
  <c r="R345" i="42"/>
  <c r="T345" i="42" s="1"/>
  <c r="R346" i="42"/>
  <c r="R347" i="42"/>
  <c r="R348" i="42"/>
  <c r="T348" i="42" s="1"/>
  <c r="R349" i="42"/>
  <c r="R350" i="42"/>
  <c r="R351" i="42"/>
  <c r="R352" i="42"/>
  <c r="R353" i="42"/>
  <c r="T353" i="42" s="1"/>
  <c r="R354" i="42"/>
  <c r="R355" i="42"/>
  <c r="R356" i="42"/>
  <c r="T356" i="42" s="1"/>
  <c r="R357" i="42"/>
  <c r="R358" i="42"/>
  <c r="R359" i="42"/>
  <c r="R360" i="42"/>
  <c r="R361" i="42"/>
  <c r="T361" i="42" s="1"/>
  <c r="R362" i="42"/>
  <c r="R363" i="42"/>
  <c r="R364" i="42"/>
  <c r="R365" i="42"/>
  <c r="R366" i="42"/>
  <c r="R367" i="42"/>
  <c r="R368" i="42"/>
  <c r="R369" i="42"/>
  <c r="R370" i="42"/>
  <c r="R371" i="42"/>
  <c r="R372" i="42"/>
  <c r="T372" i="42" s="1"/>
  <c r="R373" i="42"/>
  <c r="R374" i="42"/>
  <c r="R375" i="42"/>
  <c r="R376" i="42"/>
  <c r="R377" i="42"/>
  <c r="R378" i="42"/>
  <c r="R379" i="42"/>
  <c r="R380" i="42"/>
  <c r="R381" i="42"/>
  <c r="R382" i="42"/>
  <c r="R383" i="42"/>
  <c r="R384" i="42"/>
  <c r="R385" i="42"/>
  <c r="T385" i="42" s="1"/>
  <c r="R386" i="42"/>
  <c r="R387" i="42"/>
  <c r="R388" i="42"/>
  <c r="R389" i="42"/>
  <c r="R390" i="42"/>
  <c r="R391" i="42"/>
  <c r="R392" i="42"/>
  <c r="R393" i="42"/>
  <c r="R394" i="42"/>
  <c r="R395" i="42"/>
  <c r="R396" i="42"/>
  <c r="T396" i="42" s="1"/>
  <c r="R397" i="42"/>
  <c r="R398" i="42"/>
  <c r="R399" i="42"/>
  <c r="R400" i="42"/>
  <c r="R401" i="42"/>
  <c r="R402" i="42"/>
  <c r="R403" i="42"/>
  <c r="R404" i="42"/>
  <c r="T404" i="42" s="1"/>
  <c r="R405" i="42"/>
  <c r="R406" i="42"/>
  <c r="R407" i="42"/>
  <c r="R408" i="42"/>
  <c r="R409" i="42"/>
  <c r="T409" i="42" s="1"/>
  <c r="R410" i="42"/>
  <c r="R411" i="42"/>
  <c r="R412" i="42"/>
  <c r="R413" i="42"/>
  <c r="R414" i="42"/>
  <c r="R415" i="42"/>
  <c r="R416" i="42"/>
  <c r="R417" i="42"/>
  <c r="R418" i="42"/>
  <c r="R419" i="42"/>
  <c r="R420" i="42"/>
  <c r="T420" i="42" s="1"/>
  <c r="R421" i="42"/>
  <c r="R422" i="42"/>
  <c r="R423" i="42"/>
  <c r="R424" i="42"/>
  <c r="R425" i="42"/>
  <c r="R426" i="42"/>
  <c r="R427" i="42"/>
  <c r="R428" i="42"/>
  <c r="T428" i="42" s="1"/>
  <c r="R429" i="42"/>
  <c r="R430" i="42"/>
  <c r="R431" i="42"/>
  <c r="R432" i="42"/>
  <c r="R433" i="42"/>
  <c r="T433" i="42" s="1"/>
  <c r="R434" i="42"/>
  <c r="R435" i="42"/>
  <c r="R436" i="42"/>
  <c r="R437" i="42"/>
  <c r="R438" i="42"/>
  <c r="R439" i="42"/>
  <c r="R440" i="42"/>
  <c r="R441" i="42"/>
  <c r="T441" i="42" s="1"/>
  <c r="R442" i="42"/>
  <c r="R443" i="42"/>
  <c r="R444" i="42"/>
  <c r="T444" i="42" s="1"/>
  <c r="R445" i="42"/>
  <c r="R446" i="42"/>
  <c r="R447" i="42"/>
  <c r="R448" i="42"/>
  <c r="R449" i="42"/>
  <c r="R450" i="42"/>
  <c r="R451" i="42"/>
  <c r="R452" i="42"/>
  <c r="T452" i="42" s="1"/>
  <c r="R453" i="42"/>
  <c r="R454" i="42"/>
  <c r="R455" i="42"/>
  <c r="R456" i="42"/>
  <c r="R457" i="42"/>
  <c r="T457" i="42" s="1"/>
  <c r="R458" i="42"/>
  <c r="R459" i="42"/>
  <c r="R460" i="42"/>
  <c r="R461" i="42"/>
  <c r="R462" i="42"/>
  <c r="R463" i="42"/>
  <c r="R464" i="42"/>
  <c r="R465" i="42"/>
  <c r="R466" i="42"/>
  <c r="R467" i="42"/>
  <c r="R468" i="42"/>
  <c r="T468" i="42" s="1"/>
  <c r="R469" i="42"/>
  <c r="R470" i="42"/>
  <c r="R471" i="42"/>
  <c r="R472" i="42"/>
  <c r="R473" i="42"/>
  <c r="R474" i="42"/>
  <c r="R475" i="42"/>
  <c r="R476" i="42"/>
  <c r="T476" i="42" s="1"/>
  <c r="R477" i="42"/>
  <c r="R478" i="42"/>
  <c r="R479" i="42"/>
  <c r="R480" i="42"/>
  <c r="R481" i="42"/>
  <c r="T481" i="42" s="1"/>
  <c r="R482" i="42"/>
  <c r="R483" i="42"/>
  <c r="R484" i="42"/>
  <c r="R485" i="42"/>
  <c r="R486" i="42"/>
  <c r="R487" i="42"/>
  <c r="R488" i="42"/>
  <c r="R489" i="42"/>
  <c r="T489" i="42" s="1"/>
  <c r="R490" i="42"/>
  <c r="R491" i="42"/>
  <c r="R492" i="42"/>
  <c r="T492" i="42" s="1"/>
  <c r="R493" i="42"/>
  <c r="R494" i="42"/>
  <c r="R495" i="42"/>
  <c r="R496" i="42"/>
  <c r="R497" i="42"/>
  <c r="R498" i="42"/>
  <c r="R499" i="42"/>
  <c r="R500" i="42"/>
  <c r="T500" i="42" s="1"/>
  <c r="R501" i="42"/>
  <c r="R502" i="42"/>
  <c r="R503" i="42"/>
  <c r="R504" i="42"/>
  <c r="R505" i="42"/>
  <c r="T505" i="42" s="1"/>
  <c r="R506" i="42"/>
  <c r="R507" i="42"/>
  <c r="R508" i="42"/>
  <c r="R509" i="42"/>
  <c r="R510" i="42"/>
  <c r="R511" i="42"/>
  <c r="R512" i="42"/>
  <c r="R513" i="42"/>
  <c r="R514" i="42"/>
  <c r="R515" i="42"/>
  <c r="R516" i="42"/>
  <c r="T516" i="42" s="1"/>
  <c r="R517" i="42"/>
  <c r="R518" i="42"/>
  <c r="R519" i="42"/>
  <c r="R520" i="42"/>
  <c r="R521" i="42"/>
  <c r="R522" i="42"/>
  <c r="R523" i="42"/>
  <c r="R524" i="42"/>
  <c r="T524" i="42" s="1"/>
  <c r="R525" i="42"/>
  <c r="R526" i="42"/>
  <c r="R527" i="42"/>
  <c r="R528" i="42"/>
  <c r="R529" i="42"/>
  <c r="T529" i="42" s="1"/>
  <c r="R530" i="42"/>
  <c r="R531" i="42"/>
  <c r="R532" i="42"/>
  <c r="R533" i="42"/>
  <c r="R534" i="42"/>
  <c r="R535" i="42"/>
  <c r="R536" i="42"/>
  <c r="R537" i="42"/>
  <c r="R538" i="42"/>
  <c r="R539" i="42"/>
  <c r="R540" i="42"/>
  <c r="T540" i="42" s="1"/>
  <c r="R541" i="42"/>
  <c r="R542" i="42"/>
  <c r="R543" i="42"/>
  <c r="R544" i="42"/>
  <c r="R545" i="42"/>
  <c r="R546" i="42"/>
  <c r="R547" i="42"/>
  <c r="R548" i="42"/>
  <c r="T548" i="42" s="1"/>
  <c r="R549" i="42"/>
  <c r="R550" i="42"/>
  <c r="R551" i="42"/>
  <c r="R552" i="42"/>
  <c r="R553" i="42"/>
  <c r="R554" i="42"/>
  <c r="R555" i="42"/>
  <c r="R556" i="42"/>
  <c r="R557" i="42"/>
  <c r="R558" i="42"/>
  <c r="R559" i="42"/>
  <c r="R560" i="42"/>
  <c r="R561" i="42"/>
  <c r="T561" i="42" s="1"/>
  <c r="R562" i="42"/>
  <c r="R563" i="42"/>
  <c r="R564" i="42"/>
  <c r="T564" i="42" s="1"/>
  <c r="R565" i="42"/>
  <c r="R566" i="42"/>
  <c r="R567" i="42"/>
  <c r="R568" i="42"/>
  <c r="R569" i="42"/>
  <c r="R570" i="42"/>
  <c r="R571" i="42"/>
  <c r="R572" i="42"/>
  <c r="R573" i="42"/>
  <c r="R574" i="42"/>
  <c r="R575" i="42"/>
  <c r="R576" i="42"/>
  <c r="R577" i="42"/>
  <c r="T577" i="42" s="1"/>
  <c r="R578" i="42"/>
  <c r="R579" i="42"/>
  <c r="R580" i="42"/>
  <c r="R581" i="42"/>
  <c r="R582" i="42"/>
  <c r="R583" i="42"/>
  <c r="R584" i="42"/>
  <c r="R585" i="42"/>
  <c r="R586" i="42"/>
  <c r="R587" i="42"/>
  <c r="R588" i="42"/>
  <c r="T588" i="42" s="1"/>
  <c r="R589" i="42"/>
  <c r="R590" i="42"/>
  <c r="R591" i="42"/>
  <c r="R592" i="42"/>
  <c r="R593" i="42"/>
  <c r="R594" i="42"/>
  <c r="R595" i="42"/>
  <c r="R596" i="42"/>
  <c r="T596" i="42" s="1"/>
  <c r="R597" i="42"/>
  <c r="R598" i="42"/>
  <c r="R599" i="42"/>
  <c r="R600" i="42"/>
  <c r="R601" i="42"/>
  <c r="T601" i="42" s="1"/>
  <c r="R602" i="42"/>
  <c r="R603" i="42"/>
  <c r="R604" i="42"/>
  <c r="T604" i="42" s="1"/>
  <c r="R605" i="42"/>
  <c r="R606" i="42"/>
  <c r="R607" i="42"/>
  <c r="R608" i="42"/>
  <c r="R609" i="42"/>
  <c r="R610" i="42"/>
  <c r="R611" i="42"/>
  <c r="R612" i="42"/>
  <c r="T612" i="42" s="1"/>
  <c r="R613" i="42"/>
  <c r="R614" i="42"/>
  <c r="R615" i="42"/>
  <c r="R616" i="42"/>
  <c r="R617" i="42"/>
  <c r="R618" i="42"/>
  <c r="R619" i="42"/>
  <c r="R620" i="42"/>
  <c r="T620" i="42" s="1"/>
  <c r="R621" i="42"/>
  <c r="R622" i="42"/>
  <c r="R623" i="42"/>
  <c r="R624" i="42"/>
  <c r="R625" i="42"/>
  <c r="T625" i="42" s="1"/>
  <c r="R626" i="42"/>
  <c r="R627" i="42"/>
  <c r="R628" i="42"/>
  <c r="R629" i="42"/>
  <c r="R630" i="42"/>
  <c r="R631" i="42"/>
  <c r="R632" i="42"/>
  <c r="R633" i="42"/>
  <c r="R634" i="42"/>
  <c r="R635" i="42"/>
  <c r="R636" i="42"/>
  <c r="T636" i="42" s="1"/>
  <c r="R637" i="42"/>
  <c r="R638" i="42"/>
  <c r="R639" i="42"/>
  <c r="R640" i="42"/>
  <c r="R641" i="42"/>
  <c r="R642" i="42"/>
  <c r="R643" i="42"/>
  <c r="R644" i="42"/>
  <c r="T644" i="42" s="1"/>
  <c r="R645" i="42"/>
  <c r="R646" i="42"/>
  <c r="R647" i="42"/>
  <c r="R648" i="42"/>
  <c r="R649" i="42"/>
  <c r="T649" i="42" s="1"/>
  <c r="R650" i="42"/>
  <c r="R651" i="42"/>
  <c r="R652" i="42"/>
  <c r="R653" i="42"/>
  <c r="R654" i="42"/>
  <c r="R655" i="42"/>
  <c r="R656" i="42"/>
  <c r="R657" i="42"/>
  <c r="R658" i="42"/>
  <c r="R659" i="42"/>
  <c r="R660" i="42"/>
  <c r="T660" i="42" s="1"/>
  <c r="R661" i="42"/>
  <c r="R662" i="42"/>
  <c r="R663" i="42"/>
  <c r="R664" i="42"/>
  <c r="R665" i="42"/>
  <c r="R666" i="42"/>
  <c r="R667" i="42"/>
  <c r="R668" i="42"/>
  <c r="T668" i="42" s="1"/>
  <c r="R669" i="42"/>
  <c r="R670" i="42"/>
  <c r="R671" i="42"/>
  <c r="R672" i="42"/>
  <c r="R673" i="42"/>
  <c r="T673" i="42" s="1"/>
  <c r="R674" i="42"/>
  <c r="R675" i="42"/>
  <c r="R676" i="42"/>
  <c r="R677" i="42"/>
  <c r="R678" i="42"/>
  <c r="R679" i="42"/>
  <c r="R680" i="42"/>
  <c r="R681" i="42"/>
  <c r="R682" i="42"/>
  <c r="R683" i="42"/>
  <c r="R684" i="42"/>
  <c r="T684" i="42" s="1"/>
  <c r="R685" i="42"/>
  <c r="R686" i="42"/>
  <c r="R687" i="42"/>
  <c r="R688" i="42"/>
  <c r="R689" i="42"/>
  <c r="R690" i="42"/>
  <c r="R691" i="42"/>
  <c r="R692" i="42"/>
  <c r="T692" i="42" s="1"/>
  <c r="R693" i="42"/>
  <c r="R694" i="42"/>
  <c r="R695" i="42"/>
  <c r="R696" i="42"/>
  <c r="R697" i="42"/>
  <c r="T697" i="42" s="1"/>
  <c r="R698" i="42"/>
  <c r="R699" i="42"/>
  <c r="R700" i="42"/>
  <c r="R701" i="42"/>
  <c r="R702" i="42"/>
  <c r="R703" i="42"/>
  <c r="R704" i="42"/>
  <c r="R705" i="42"/>
  <c r="R706" i="42"/>
  <c r="R707" i="42"/>
  <c r="R708" i="42"/>
  <c r="T708" i="42" s="1"/>
  <c r="R709" i="42"/>
  <c r="R710" i="42"/>
  <c r="R711" i="42"/>
  <c r="R712" i="42"/>
  <c r="R713" i="42"/>
  <c r="R714" i="42"/>
  <c r="R715" i="42"/>
  <c r="R716" i="42"/>
  <c r="T716" i="42" s="1"/>
  <c r="R717" i="42"/>
  <c r="R718" i="42"/>
  <c r="R719" i="42"/>
  <c r="R720" i="42"/>
  <c r="R721" i="42"/>
  <c r="T721" i="42" s="1"/>
  <c r="R722" i="42"/>
  <c r="R723" i="42"/>
  <c r="R724" i="42"/>
  <c r="R725" i="42"/>
  <c r="R726" i="42"/>
  <c r="R727" i="42"/>
  <c r="R728" i="42"/>
  <c r="R729" i="42"/>
  <c r="R730" i="42"/>
  <c r="R731" i="42"/>
  <c r="R732" i="42"/>
  <c r="T732" i="42" s="1"/>
  <c r="R733" i="42"/>
  <c r="R734" i="42"/>
  <c r="R735" i="42"/>
  <c r="R736" i="42"/>
  <c r="R737" i="42"/>
  <c r="R738" i="42"/>
  <c r="R739" i="42"/>
  <c r="R740" i="42"/>
  <c r="T740" i="42" s="1"/>
  <c r="R741" i="42"/>
  <c r="R742" i="42"/>
  <c r="R743" i="42"/>
  <c r="R744" i="42"/>
  <c r="R745" i="42"/>
  <c r="T745" i="42" s="1"/>
  <c r="R746" i="42"/>
  <c r="R747" i="42"/>
  <c r="R748" i="42"/>
  <c r="R749" i="42"/>
  <c r="R750" i="42"/>
  <c r="R751" i="42"/>
  <c r="R752" i="42"/>
  <c r="R753" i="42"/>
  <c r="R754" i="42"/>
  <c r="R755" i="42"/>
  <c r="R756" i="42"/>
  <c r="T756" i="42" s="1"/>
  <c r="R757" i="42"/>
  <c r="R758" i="42"/>
  <c r="R759" i="42"/>
  <c r="R760" i="42"/>
  <c r="R761" i="42"/>
  <c r="R762" i="42"/>
  <c r="R763" i="42"/>
  <c r="R764" i="42"/>
  <c r="T764" i="42" s="1"/>
  <c r="R765" i="42"/>
  <c r="R766" i="42"/>
  <c r="R767" i="42"/>
  <c r="R768" i="42"/>
  <c r="R769" i="42"/>
  <c r="T769" i="42" s="1"/>
  <c r="R770" i="42"/>
  <c r="R771" i="42"/>
  <c r="R772" i="42"/>
  <c r="R773" i="42"/>
  <c r="R774" i="42"/>
  <c r="R775" i="42"/>
  <c r="R776" i="42"/>
  <c r="R777" i="42"/>
  <c r="R778" i="42"/>
  <c r="R779" i="42"/>
  <c r="R780" i="42"/>
  <c r="T780" i="42" s="1"/>
  <c r="R781" i="42"/>
  <c r="R782" i="42"/>
  <c r="R783" i="42"/>
  <c r="R784" i="42"/>
  <c r="R785" i="42"/>
  <c r="R786" i="42"/>
  <c r="R787" i="42"/>
  <c r="R788" i="42"/>
  <c r="T788" i="42" s="1"/>
  <c r="R789" i="42"/>
  <c r="R790" i="42"/>
  <c r="R791" i="42"/>
  <c r="R792" i="42"/>
  <c r="R793" i="42"/>
  <c r="T793" i="42" s="1"/>
  <c r="R794" i="42"/>
  <c r="R795" i="42"/>
  <c r="R796" i="42"/>
  <c r="R797" i="42"/>
  <c r="R798" i="42"/>
  <c r="R799" i="42"/>
  <c r="R800" i="42"/>
  <c r="R801" i="42"/>
  <c r="T801" i="42" s="1"/>
  <c r="R802" i="42"/>
  <c r="R803" i="42"/>
  <c r="R804" i="42"/>
  <c r="T804" i="42" s="1"/>
  <c r="R805" i="42"/>
  <c r="R806" i="42"/>
  <c r="R807" i="42"/>
  <c r="R808" i="42"/>
  <c r="R809" i="42"/>
  <c r="R810" i="42"/>
  <c r="R811" i="42"/>
  <c r="R812" i="42"/>
  <c r="R813" i="42"/>
  <c r="R814" i="42"/>
  <c r="R815" i="42"/>
  <c r="R816" i="42"/>
  <c r="R817" i="42"/>
  <c r="T817" i="42" s="1"/>
  <c r="R818" i="42"/>
  <c r="R819" i="42"/>
  <c r="R820" i="42"/>
  <c r="R821" i="42"/>
  <c r="R822" i="42"/>
  <c r="R823" i="42"/>
  <c r="R824" i="42"/>
  <c r="R825" i="42"/>
  <c r="R826" i="42"/>
  <c r="R827" i="42"/>
  <c r="R828" i="42"/>
  <c r="T828" i="42" s="1"/>
  <c r="R829" i="42"/>
  <c r="R830" i="42"/>
  <c r="R831" i="42"/>
  <c r="R832" i="42"/>
  <c r="R833" i="42"/>
  <c r="R834" i="42"/>
  <c r="R835" i="42"/>
  <c r="R836" i="42"/>
  <c r="T836" i="42" s="1"/>
  <c r="R837" i="42"/>
  <c r="R838" i="42"/>
  <c r="R839" i="42"/>
  <c r="R840" i="42"/>
  <c r="R841" i="42"/>
  <c r="T841" i="42" s="1"/>
  <c r="R842" i="42"/>
  <c r="R843" i="42"/>
  <c r="R844" i="42"/>
  <c r="R845" i="42"/>
  <c r="R846" i="42"/>
  <c r="R847" i="42"/>
  <c r="R848" i="42"/>
  <c r="R849" i="42"/>
  <c r="R850" i="42"/>
  <c r="R851" i="42"/>
  <c r="R852" i="42"/>
  <c r="T852" i="42" s="1"/>
  <c r="R853" i="42"/>
  <c r="R854" i="42"/>
  <c r="R855" i="42"/>
  <c r="R856" i="42"/>
  <c r="R857" i="42"/>
  <c r="R858" i="42"/>
  <c r="R859" i="42"/>
  <c r="R860" i="42"/>
  <c r="T860" i="42" s="1"/>
  <c r="R861" i="42"/>
  <c r="R862" i="42"/>
  <c r="R863" i="42"/>
  <c r="R864" i="42"/>
  <c r="R865" i="42"/>
  <c r="T865" i="42" s="1"/>
  <c r="R866" i="42"/>
  <c r="R867" i="42"/>
  <c r="R868" i="42"/>
  <c r="R869" i="42"/>
  <c r="R870" i="42"/>
  <c r="R871" i="42"/>
  <c r="R872" i="42"/>
  <c r="R873" i="42"/>
  <c r="R874" i="42"/>
  <c r="R875" i="42"/>
  <c r="R876" i="42"/>
  <c r="T876" i="42" s="1"/>
  <c r="R877" i="42"/>
  <c r="R878" i="42"/>
  <c r="R879" i="42"/>
  <c r="R880" i="42"/>
  <c r="R881" i="42"/>
  <c r="R882" i="42"/>
  <c r="R883" i="42"/>
  <c r="R884" i="42"/>
  <c r="R885" i="42"/>
  <c r="R886" i="42"/>
  <c r="R887" i="42"/>
  <c r="R888" i="42"/>
  <c r="R889" i="42"/>
  <c r="T889" i="42" s="1"/>
  <c r="R890" i="42"/>
  <c r="R891" i="42"/>
  <c r="R892" i="42"/>
  <c r="R893" i="42"/>
  <c r="R894" i="42"/>
  <c r="R895" i="42"/>
  <c r="R896" i="42"/>
  <c r="R897" i="42"/>
  <c r="R898" i="42"/>
  <c r="R899" i="42"/>
  <c r="R900" i="42"/>
  <c r="T900" i="42" s="1"/>
  <c r="R901" i="42"/>
  <c r="R902" i="42"/>
  <c r="R903" i="42"/>
  <c r="R904" i="42"/>
  <c r="R905" i="42"/>
  <c r="R906" i="42"/>
  <c r="R907" i="42"/>
  <c r="R908" i="42"/>
  <c r="R909" i="42"/>
  <c r="R910" i="42"/>
  <c r="R911" i="42"/>
  <c r="R912" i="42"/>
  <c r="R913" i="42"/>
  <c r="T913" i="42" s="1"/>
  <c r="R914" i="42"/>
  <c r="R915" i="42"/>
  <c r="R916" i="42"/>
  <c r="R917" i="42"/>
  <c r="R918" i="42"/>
  <c r="R919" i="42"/>
  <c r="R920" i="42"/>
  <c r="R921" i="42"/>
  <c r="R922" i="42"/>
  <c r="R923" i="42"/>
  <c r="R924" i="42"/>
  <c r="T924" i="42" s="1"/>
  <c r="R925" i="42"/>
  <c r="R926" i="42"/>
  <c r="R927" i="42"/>
  <c r="R928" i="42"/>
  <c r="R929" i="42"/>
  <c r="R930" i="42"/>
  <c r="R931" i="42"/>
  <c r="R932" i="42"/>
  <c r="T932" i="42" s="1"/>
  <c r="R933" i="42"/>
  <c r="R934" i="42"/>
  <c r="R935" i="42"/>
  <c r="R936" i="42"/>
  <c r="R937" i="42"/>
  <c r="T937" i="42" s="1"/>
  <c r="R938" i="42"/>
  <c r="R939" i="42"/>
  <c r="R940" i="42"/>
  <c r="R941" i="42"/>
  <c r="R942" i="42"/>
  <c r="R943" i="42"/>
  <c r="R944" i="42"/>
  <c r="R945" i="42"/>
  <c r="T945" i="42" s="1"/>
  <c r="R946" i="42"/>
  <c r="R947" i="42"/>
  <c r="R948" i="42"/>
  <c r="T948" i="42" s="1"/>
  <c r="R949" i="42"/>
  <c r="R950" i="42"/>
  <c r="R951" i="42"/>
  <c r="R952" i="42"/>
  <c r="R953" i="42"/>
  <c r="R954" i="42"/>
  <c r="R955" i="42"/>
  <c r="R956" i="42"/>
  <c r="T956" i="42" s="1"/>
  <c r="R957" i="42"/>
  <c r="R958" i="42"/>
  <c r="R959" i="42"/>
  <c r="R960" i="42"/>
  <c r="R961" i="42"/>
  <c r="T961" i="42" s="1"/>
  <c r="R962" i="42"/>
  <c r="R963" i="42"/>
  <c r="R964" i="42"/>
  <c r="R965" i="42"/>
  <c r="R966" i="42"/>
  <c r="R967" i="42"/>
  <c r="R968" i="42"/>
  <c r="R969" i="42"/>
  <c r="R970" i="42"/>
  <c r="R971" i="42"/>
  <c r="R972" i="42"/>
  <c r="T972" i="42" s="1"/>
  <c r="R973" i="42"/>
  <c r="R974" i="42"/>
  <c r="R975" i="42"/>
  <c r="R976" i="42"/>
  <c r="R977" i="42"/>
  <c r="R978" i="42"/>
  <c r="R979" i="42"/>
  <c r="R980" i="42"/>
  <c r="T980" i="42" s="1"/>
  <c r="R981" i="42"/>
  <c r="R982" i="42"/>
  <c r="R983" i="42"/>
  <c r="R984" i="42"/>
  <c r="R985" i="42"/>
  <c r="T985" i="42" s="1"/>
  <c r="R986" i="42"/>
  <c r="R987" i="42"/>
  <c r="R988" i="42"/>
  <c r="R989" i="42"/>
  <c r="R990" i="42"/>
  <c r="R991" i="42"/>
  <c r="R992" i="42"/>
  <c r="R993" i="42"/>
  <c r="T993" i="42" s="1"/>
  <c r="R994" i="42"/>
  <c r="R995" i="42"/>
  <c r="R996" i="42"/>
  <c r="T996" i="42" s="1"/>
  <c r="R997" i="42"/>
  <c r="R998" i="42"/>
  <c r="R999" i="42"/>
  <c r="R1000" i="42"/>
  <c r="R1001" i="42"/>
  <c r="R1002" i="42"/>
  <c r="R1003" i="42"/>
  <c r="R1004" i="42"/>
  <c r="T1004" i="42" s="1"/>
  <c r="R1005" i="42"/>
  <c r="R1006" i="42"/>
  <c r="R1007" i="42"/>
  <c r="R1008" i="42"/>
  <c r="R1009" i="42"/>
  <c r="T1009" i="42" s="1"/>
  <c r="R1010" i="42"/>
  <c r="R1011" i="42"/>
  <c r="R1012" i="42"/>
  <c r="R1013" i="42"/>
  <c r="R1014" i="42"/>
  <c r="R1015" i="42"/>
  <c r="R1016" i="42"/>
  <c r="P17" i="42"/>
  <c r="P18" i="42"/>
  <c r="Q18" i="42"/>
  <c r="P19" i="42"/>
  <c r="Q19" i="42"/>
  <c r="P20" i="42"/>
  <c r="Q20" i="42"/>
  <c r="P21" i="42"/>
  <c r="Q21" i="42"/>
  <c r="P22" i="42"/>
  <c r="Q22" i="42"/>
  <c r="P23" i="42"/>
  <c r="Q23" i="42"/>
  <c r="P24" i="42"/>
  <c r="Q24" i="42"/>
  <c r="P25" i="42"/>
  <c r="Q25" i="42"/>
  <c r="P26" i="42"/>
  <c r="Q26" i="42"/>
  <c r="P27" i="42"/>
  <c r="Q27" i="42"/>
  <c r="P28" i="42"/>
  <c r="Q28" i="42"/>
  <c r="P29" i="42"/>
  <c r="Q29" i="42"/>
  <c r="P30" i="42"/>
  <c r="Q30" i="42"/>
  <c r="P31" i="42"/>
  <c r="Q31" i="42"/>
  <c r="P32" i="42"/>
  <c r="Q32" i="42"/>
  <c r="P33" i="42"/>
  <c r="Q33" i="42"/>
  <c r="P34" i="42"/>
  <c r="Q34" i="42"/>
  <c r="P35" i="42"/>
  <c r="Q35" i="42"/>
  <c r="P36" i="42"/>
  <c r="Q36" i="42"/>
  <c r="P37" i="42"/>
  <c r="Q37" i="42"/>
  <c r="P38" i="42"/>
  <c r="Q38" i="42"/>
  <c r="P39" i="42"/>
  <c r="Q39" i="42"/>
  <c r="P40" i="42"/>
  <c r="Q40" i="42"/>
  <c r="P41" i="42"/>
  <c r="Q41" i="42"/>
  <c r="P42" i="42"/>
  <c r="Q42" i="42"/>
  <c r="P43" i="42"/>
  <c r="Q43" i="42"/>
  <c r="P44" i="42"/>
  <c r="Q44" i="42"/>
  <c r="P45" i="42"/>
  <c r="Q45" i="42"/>
  <c r="P46" i="42"/>
  <c r="Q46" i="42"/>
  <c r="P47" i="42"/>
  <c r="Q47" i="42"/>
  <c r="P48" i="42"/>
  <c r="Q48" i="42"/>
  <c r="P49" i="42"/>
  <c r="Q49" i="42"/>
  <c r="P50" i="42"/>
  <c r="Q50" i="42"/>
  <c r="P51" i="42"/>
  <c r="Q51" i="42"/>
  <c r="P52" i="42"/>
  <c r="Q52" i="42"/>
  <c r="P53" i="42"/>
  <c r="Q53" i="42"/>
  <c r="P54" i="42"/>
  <c r="Q54" i="42"/>
  <c r="P55" i="42"/>
  <c r="Q55" i="42"/>
  <c r="P56" i="42"/>
  <c r="Q56" i="42"/>
  <c r="P57" i="42"/>
  <c r="Q57" i="42"/>
  <c r="P58" i="42"/>
  <c r="Q58" i="42"/>
  <c r="P59" i="42"/>
  <c r="Q59" i="42"/>
  <c r="P60" i="42"/>
  <c r="Q60" i="42"/>
  <c r="P61" i="42"/>
  <c r="Q61" i="42"/>
  <c r="P62" i="42"/>
  <c r="Q62" i="42"/>
  <c r="P63" i="42"/>
  <c r="Q63" i="42"/>
  <c r="P64" i="42"/>
  <c r="Q64" i="42"/>
  <c r="P65" i="42"/>
  <c r="Q65" i="42"/>
  <c r="P66" i="42"/>
  <c r="Q66" i="42"/>
  <c r="P67" i="42"/>
  <c r="Q67" i="42"/>
  <c r="P68" i="42"/>
  <c r="Q68" i="42"/>
  <c r="P69" i="42"/>
  <c r="Q69" i="42"/>
  <c r="P70" i="42"/>
  <c r="Q70" i="42"/>
  <c r="P71" i="42"/>
  <c r="Q71" i="42"/>
  <c r="P72" i="42"/>
  <c r="Q72" i="42"/>
  <c r="P73" i="42"/>
  <c r="Q73" i="42"/>
  <c r="P74" i="42"/>
  <c r="Q74" i="42"/>
  <c r="P75" i="42"/>
  <c r="Q75" i="42"/>
  <c r="P76" i="42"/>
  <c r="Q76" i="42"/>
  <c r="P77" i="42"/>
  <c r="Q77" i="42"/>
  <c r="P78" i="42"/>
  <c r="Q78" i="42"/>
  <c r="P79" i="42"/>
  <c r="Q79" i="42"/>
  <c r="P80" i="42"/>
  <c r="Q80" i="42"/>
  <c r="P81" i="42"/>
  <c r="Q81" i="42"/>
  <c r="P82" i="42"/>
  <c r="Q82" i="42"/>
  <c r="P83" i="42"/>
  <c r="Q83" i="42"/>
  <c r="P84" i="42"/>
  <c r="Q84" i="42"/>
  <c r="P85" i="42"/>
  <c r="Q85" i="42"/>
  <c r="P86" i="42"/>
  <c r="Q86" i="42"/>
  <c r="P87" i="42"/>
  <c r="Q87" i="42"/>
  <c r="P88" i="42"/>
  <c r="Q88" i="42"/>
  <c r="P89" i="42"/>
  <c r="Q89" i="42"/>
  <c r="P90" i="42"/>
  <c r="Q90" i="42"/>
  <c r="P91" i="42"/>
  <c r="Q91" i="42"/>
  <c r="P92" i="42"/>
  <c r="Q92" i="42"/>
  <c r="P93" i="42"/>
  <c r="Q93" i="42"/>
  <c r="P94" i="42"/>
  <c r="Q94" i="42"/>
  <c r="P95" i="42"/>
  <c r="Q95" i="42"/>
  <c r="P96" i="42"/>
  <c r="Q96" i="42"/>
  <c r="P97" i="42"/>
  <c r="Q97" i="42"/>
  <c r="P98" i="42"/>
  <c r="Q98" i="42"/>
  <c r="P99" i="42"/>
  <c r="Q99" i="42"/>
  <c r="P100" i="42"/>
  <c r="Q100" i="42"/>
  <c r="P101" i="42"/>
  <c r="Q101" i="42"/>
  <c r="P102" i="42"/>
  <c r="Q102" i="42"/>
  <c r="P103" i="42"/>
  <c r="Q103" i="42"/>
  <c r="P104" i="42"/>
  <c r="Q104" i="42"/>
  <c r="P105" i="42"/>
  <c r="Q105" i="42"/>
  <c r="P106" i="42"/>
  <c r="Q106" i="42"/>
  <c r="P107" i="42"/>
  <c r="Q107" i="42"/>
  <c r="P108" i="42"/>
  <c r="Q108" i="42"/>
  <c r="P109" i="42"/>
  <c r="Q109" i="42"/>
  <c r="P110" i="42"/>
  <c r="Q110" i="42"/>
  <c r="P111" i="42"/>
  <c r="Q111" i="42"/>
  <c r="P112" i="42"/>
  <c r="Q112" i="42"/>
  <c r="P113" i="42"/>
  <c r="Q113" i="42"/>
  <c r="P114" i="42"/>
  <c r="Q114" i="42"/>
  <c r="P115" i="42"/>
  <c r="Q115" i="42"/>
  <c r="P116" i="42"/>
  <c r="Q116" i="42"/>
  <c r="P117" i="42"/>
  <c r="Q117" i="42"/>
  <c r="P118" i="42"/>
  <c r="Q118" i="42"/>
  <c r="P119" i="42"/>
  <c r="Q119" i="42"/>
  <c r="P120" i="42"/>
  <c r="Q120" i="42"/>
  <c r="P121" i="42"/>
  <c r="Q121" i="42"/>
  <c r="P122" i="42"/>
  <c r="Q122" i="42"/>
  <c r="P123" i="42"/>
  <c r="Q123" i="42"/>
  <c r="P124" i="42"/>
  <c r="Q124" i="42"/>
  <c r="P125" i="42"/>
  <c r="Q125" i="42"/>
  <c r="P126" i="42"/>
  <c r="Q126" i="42"/>
  <c r="P127" i="42"/>
  <c r="Q127" i="42"/>
  <c r="P128" i="42"/>
  <c r="Q128" i="42"/>
  <c r="P129" i="42"/>
  <c r="Q129" i="42"/>
  <c r="P130" i="42"/>
  <c r="Q130" i="42"/>
  <c r="P131" i="42"/>
  <c r="Q131" i="42"/>
  <c r="P132" i="42"/>
  <c r="Q132" i="42"/>
  <c r="P133" i="42"/>
  <c r="Q133" i="42"/>
  <c r="P134" i="42"/>
  <c r="Q134" i="42"/>
  <c r="P135" i="42"/>
  <c r="Q135" i="42"/>
  <c r="P136" i="42"/>
  <c r="Q136" i="42"/>
  <c r="P137" i="42"/>
  <c r="Q137" i="42"/>
  <c r="P138" i="42"/>
  <c r="Q138" i="42"/>
  <c r="P139" i="42"/>
  <c r="Q139" i="42"/>
  <c r="P140" i="42"/>
  <c r="Q140" i="42"/>
  <c r="P141" i="42"/>
  <c r="Q141" i="42"/>
  <c r="P142" i="42"/>
  <c r="Q142" i="42"/>
  <c r="P143" i="42"/>
  <c r="Q143" i="42"/>
  <c r="P144" i="42"/>
  <c r="Q144" i="42"/>
  <c r="P145" i="42"/>
  <c r="Q145" i="42"/>
  <c r="P146" i="42"/>
  <c r="Q146" i="42"/>
  <c r="P147" i="42"/>
  <c r="Q147" i="42"/>
  <c r="P148" i="42"/>
  <c r="Q148" i="42"/>
  <c r="P149" i="42"/>
  <c r="Q149" i="42"/>
  <c r="P150" i="42"/>
  <c r="Q150" i="42"/>
  <c r="P151" i="42"/>
  <c r="Q151" i="42"/>
  <c r="P152" i="42"/>
  <c r="Q152" i="42"/>
  <c r="P153" i="42"/>
  <c r="Q153" i="42"/>
  <c r="P154" i="42"/>
  <c r="Q154" i="42"/>
  <c r="P155" i="42"/>
  <c r="Q155" i="42"/>
  <c r="P156" i="42"/>
  <c r="Q156" i="42"/>
  <c r="P157" i="42"/>
  <c r="Q157" i="42"/>
  <c r="P158" i="42"/>
  <c r="Q158" i="42"/>
  <c r="P159" i="42"/>
  <c r="Q159" i="42"/>
  <c r="P160" i="42"/>
  <c r="Q160" i="42"/>
  <c r="P161" i="42"/>
  <c r="Q161" i="42"/>
  <c r="P162" i="42"/>
  <c r="Q162" i="42"/>
  <c r="P163" i="42"/>
  <c r="Q163" i="42"/>
  <c r="P164" i="42"/>
  <c r="Q164" i="42"/>
  <c r="P165" i="42"/>
  <c r="Q165" i="42"/>
  <c r="P166" i="42"/>
  <c r="Q166" i="42"/>
  <c r="P167" i="42"/>
  <c r="Q167" i="42"/>
  <c r="P168" i="42"/>
  <c r="Q168" i="42"/>
  <c r="P169" i="42"/>
  <c r="Q169" i="42"/>
  <c r="P170" i="42"/>
  <c r="Q170" i="42"/>
  <c r="P171" i="42"/>
  <c r="Q171" i="42"/>
  <c r="P172" i="42"/>
  <c r="Q172" i="42"/>
  <c r="P173" i="42"/>
  <c r="Q173" i="42"/>
  <c r="P174" i="42"/>
  <c r="Q174" i="42"/>
  <c r="P175" i="42"/>
  <c r="Q175" i="42"/>
  <c r="P176" i="42"/>
  <c r="Q176" i="42"/>
  <c r="P177" i="42"/>
  <c r="Q177" i="42"/>
  <c r="P178" i="42"/>
  <c r="Q178" i="42"/>
  <c r="P179" i="42"/>
  <c r="Q179" i="42"/>
  <c r="P180" i="42"/>
  <c r="Q180" i="42"/>
  <c r="P181" i="42"/>
  <c r="Q181" i="42"/>
  <c r="P182" i="42"/>
  <c r="Q182" i="42"/>
  <c r="P183" i="42"/>
  <c r="Q183" i="42"/>
  <c r="P184" i="42"/>
  <c r="Q184" i="42"/>
  <c r="P185" i="42"/>
  <c r="Q185" i="42"/>
  <c r="P186" i="42"/>
  <c r="Q186" i="42"/>
  <c r="P187" i="42"/>
  <c r="Q187" i="42"/>
  <c r="P188" i="42"/>
  <c r="Q188" i="42"/>
  <c r="P189" i="42"/>
  <c r="Q189" i="42"/>
  <c r="P190" i="42"/>
  <c r="Q190" i="42"/>
  <c r="P191" i="42"/>
  <c r="Q191" i="42"/>
  <c r="P192" i="42"/>
  <c r="Q192" i="42"/>
  <c r="P193" i="42"/>
  <c r="Q193" i="42"/>
  <c r="P194" i="42"/>
  <c r="Q194" i="42"/>
  <c r="P195" i="42"/>
  <c r="Q195" i="42"/>
  <c r="P196" i="42"/>
  <c r="Q196" i="42"/>
  <c r="P197" i="42"/>
  <c r="Q197" i="42"/>
  <c r="P198" i="42"/>
  <c r="Q198" i="42"/>
  <c r="P199" i="42"/>
  <c r="Q199" i="42"/>
  <c r="P200" i="42"/>
  <c r="Q200" i="42"/>
  <c r="P201" i="42"/>
  <c r="Q201" i="42"/>
  <c r="P202" i="42"/>
  <c r="Q202" i="42"/>
  <c r="P203" i="42"/>
  <c r="Q203" i="42"/>
  <c r="P204" i="42"/>
  <c r="Q204" i="42"/>
  <c r="P205" i="42"/>
  <c r="Q205" i="42"/>
  <c r="P206" i="42"/>
  <c r="Q206" i="42"/>
  <c r="P207" i="42"/>
  <c r="Q207" i="42"/>
  <c r="P208" i="42"/>
  <c r="Q208" i="42"/>
  <c r="P209" i="42"/>
  <c r="Q209" i="42"/>
  <c r="P210" i="42"/>
  <c r="Q210" i="42"/>
  <c r="P211" i="42"/>
  <c r="Q211" i="42"/>
  <c r="P212" i="42"/>
  <c r="Q212" i="42"/>
  <c r="P213" i="42"/>
  <c r="Q213" i="42"/>
  <c r="P214" i="42"/>
  <c r="Q214" i="42"/>
  <c r="P215" i="42"/>
  <c r="Q215" i="42"/>
  <c r="P216" i="42"/>
  <c r="Q216" i="42"/>
  <c r="P217" i="42"/>
  <c r="Q217" i="42"/>
  <c r="P218" i="42"/>
  <c r="Q218" i="42"/>
  <c r="P219" i="42"/>
  <c r="Q219" i="42"/>
  <c r="P220" i="42"/>
  <c r="Q220" i="42"/>
  <c r="P221" i="42"/>
  <c r="Q221" i="42"/>
  <c r="P222" i="42"/>
  <c r="Q222" i="42"/>
  <c r="P223" i="42"/>
  <c r="Q223" i="42"/>
  <c r="P224" i="42"/>
  <c r="Q224" i="42"/>
  <c r="P225" i="42"/>
  <c r="Q225" i="42"/>
  <c r="P226" i="42"/>
  <c r="Q226" i="42"/>
  <c r="P227" i="42"/>
  <c r="Q227" i="42"/>
  <c r="P228" i="42"/>
  <c r="Q228" i="42"/>
  <c r="P229" i="42"/>
  <c r="Q229" i="42"/>
  <c r="P230" i="42"/>
  <c r="Q230" i="42"/>
  <c r="P231" i="42"/>
  <c r="Q231" i="42"/>
  <c r="P232" i="42"/>
  <c r="Q232" i="42"/>
  <c r="P233" i="42"/>
  <c r="Q233" i="42"/>
  <c r="P234" i="42"/>
  <c r="Q234" i="42"/>
  <c r="P235" i="42"/>
  <c r="Q235" i="42"/>
  <c r="P236" i="42"/>
  <c r="Q236" i="42"/>
  <c r="P237" i="42"/>
  <c r="Q237" i="42"/>
  <c r="P238" i="42"/>
  <c r="Q238" i="42"/>
  <c r="P239" i="42"/>
  <c r="Q239" i="42"/>
  <c r="P240" i="42"/>
  <c r="Q240" i="42"/>
  <c r="P241" i="42"/>
  <c r="Q241" i="42"/>
  <c r="P242" i="42"/>
  <c r="Q242" i="42"/>
  <c r="P243" i="42"/>
  <c r="Q243" i="42"/>
  <c r="P244" i="42"/>
  <c r="Q244" i="42"/>
  <c r="P245" i="42"/>
  <c r="Q245" i="42"/>
  <c r="P246" i="42"/>
  <c r="Q246" i="42"/>
  <c r="P247" i="42"/>
  <c r="Q247" i="42"/>
  <c r="P248" i="42"/>
  <c r="Q248" i="42"/>
  <c r="P249" i="42"/>
  <c r="Q249" i="42"/>
  <c r="P250" i="42"/>
  <c r="Q250" i="42"/>
  <c r="P251" i="42"/>
  <c r="Q251" i="42"/>
  <c r="P252" i="42"/>
  <c r="Q252" i="42"/>
  <c r="P253" i="42"/>
  <c r="Q253" i="42"/>
  <c r="P254" i="42"/>
  <c r="Q254" i="42"/>
  <c r="P255" i="42"/>
  <c r="Q255" i="42"/>
  <c r="P256" i="42"/>
  <c r="Q256" i="42"/>
  <c r="P257" i="42"/>
  <c r="Q257" i="42"/>
  <c r="P258" i="42"/>
  <c r="Q258" i="42"/>
  <c r="P259" i="42"/>
  <c r="Q259" i="42"/>
  <c r="P260" i="42"/>
  <c r="Q260" i="42"/>
  <c r="P261" i="42"/>
  <c r="Q261" i="42"/>
  <c r="P262" i="42"/>
  <c r="Q262" i="42"/>
  <c r="P263" i="42"/>
  <c r="Q263" i="42"/>
  <c r="P264" i="42"/>
  <c r="Q264" i="42"/>
  <c r="P265" i="42"/>
  <c r="Q265" i="42"/>
  <c r="P266" i="42"/>
  <c r="Q266" i="42"/>
  <c r="P267" i="42"/>
  <c r="Q267" i="42"/>
  <c r="P268" i="42"/>
  <c r="Q268" i="42"/>
  <c r="P269" i="42"/>
  <c r="Q269" i="42"/>
  <c r="P270" i="42"/>
  <c r="Q270" i="42"/>
  <c r="P271" i="42"/>
  <c r="Q271" i="42"/>
  <c r="P272" i="42"/>
  <c r="Q272" i="42"/>
  <c r="P273" i="42"/>
  <c r="Q273" i="42"/>
  <c r="P274" i="42"/>
  <c r="Q274" i="42"/>
  <c r="P275" i="42"/>
  <c r="Q275" i="42"/>
  <c r="P276" i="42"/>
  <c r="Q276" i="42"/>
  <c r="P277" i="42"/>
  <c r="Q277" i="42"/>
  <c r="P278" i="42"/>
  <c r="Q278" i="42"/>
  <c r="P279" i="42"/>
  <c r="Q279" i="42"/>
  <c r="P280" i="42"/>
  <c r="Q280" i="42"/>
  <c r="P281" i="42"/>
  <c r="Q281" i="42"/>
  <c r="P282" i="42"/>
  <c r="Q282" i="42"/>
  <c r="P283" i="42"/>
  <c r="Q283" i="42"/>
  <c r="P284" i="42"/>
  <c r="Q284" i="42"/>
  <c r="P285" i="42"/>
  <c r="Q285" i="42"/>
  <c r="P286" i="42"/>
  <c r="Q286" i="42"/>
  <c r="P287" i="42"/>
  <c r="Q287" i="42"/>
  <c r="P288" i="42"/>
  <c r="Q288" i="42"/>
  <c r="P289" i="42"/>
  <c r="Q289" i="42"/>
  <c r="P290" i="42"/>
  <c r="Q290" i="42"/>
  <c r="P291" i="42"/>
  <c r="Q291" i="42"/>
  <c r="P292" i="42"/>
  <c r="Q292" i="42"/>
  <c r="P293" i="42"/>
  <c r="Q293" i="42"/>
  <c r="P294" i="42"/>
  <c r="Q294" i="42"/>
  <c r="P295" i="42"/>
  <c r="Q295" i="42"/>
  <c r="P296" i="42"/>
  <c r="Q296" i="42"/>
  <c r="P297" i="42"/>
  <c r="Q297" i="42"/>
  <c r="P298" i="42"/>
  <c r="Q298" i="42"/>
  <c r="P299" i="42"/>
  <c r="Q299" i="42"/>
  <c r="P300" i="42"/>
  <c r="Q300" i="42"/>
  <c r="P301" i="42"/>
  <c r="Q301" i="42"/>
  <c r="P302" i="42"/>
  <c r="Q302" i="42"/>
  <c r="P303" i="42"/>
  <c r="Q303" i="42"/>
  <c r="P304" i="42"/>
  <c r="Q304" i="42"/>
  <c r="P305" i="42"/>
  <c r="Q305" i="42"/>
  <c r="P306" i="42"/>
  <c r="Q306" i="42"/>
  <c r="P307" i="42"/>
  <c r="Q307" i="42"/>
  <c r="P308" i="42"/>
  <c r="Q308" i="42"/>
  <c r="P309" i="42"/>
  <c r="Q309" i="42"/>
  <c r="P310" i="42"/>
  <c r="Q310" i="42"/>
  <c r="P311" i="42"/>
  <c r="Q311" i="42"/>
  <c r="P312" i="42"/>
  <c r="Q312" i="42"/>
  <c r="P313" i="42"/>
  <c r="Q313" i="42"/>
  <c r="P314" i="42"/>
  <c r="Q314" i="42"/>
  <c r="P315" i="42"/>
  <c r="Q315" i="42"/>
  <c r="P316" i="42"/>
  <c r="Q316" i="42"/>
  <c r="P317" i="42"/>
  <c r="Q317" i="42"/>
  <c r="P318" i="42"/>
  <c r="Q318" i="42"/>
  <c r="P319" i="42"/>
  <c r="Q319" i="42"/>
  <c r="P320" i="42"/>
  <c r="Q320" i="42"/>
  <c r="P321" i="42"/>
  <c r="Q321" i="42"/>
  <c r="P322" i="42"/>
  <c r="Q322" i="42"/>
  <c r="P323" i="42"/>
  <c r="Q323" i="42"/>
  <c r="P324" i="42"/>
  <c r="Q324" i="42"/>
  <c r="P325" i="42"/>
  <c r="Q325" i="42"/>
  <c r="P326" i="42"/>
  <c r="Q326" i="42"/>
  <c r="P327" i="42"/>
  <c r="Q327" i="42"/>
  <c r="P328" i="42"/>
  <c r="Q328" i="42"/>
  <c r="P329" i="42"/>
  <c r="Q329" i="42"/>
  <c r="P330" i="42"/>
  <c r="Q330" i="42"/>
  <c r="P331" i="42"/>
  <c r="Q331" i="42"/>
  <c r="P332" i="42"/>
  <c r="Q332" i="42"/>
  <c r="P333" i="42"/>
  <c r="Q333" i="42"/>
  <c r="P334" i="42"/>
  <c r="Q334" i="42"/>
  <c r="P335" i="42"/>
  <c r="Q335" i="42"/>
  <c r="P336" i="42"/>
  <c r="Q336" i="42"/>
  <c r="P337" i="42"/>
  <c r="Q337" i="42"/>
  <c r="P338" i="42"/>
  <c r="Q338" i="42"/>
  <c r="P339" i="42"/>
  <c r="Q339" i="42"/>
  <c r="P340" i="42"/>
  <c r="Q340" i="42"/>
  <c r="P341" i="42"/>
  <c r="Q341" i="42"/>
  <c r="P342" i="42"/>
  <c r="Q342" i="42"/>
  <c r="P343" i="42"/>
  <c r="Q343" i="42"/>
  <c r="P344" i="42"/>
  <c r="Q344" i="42"/>
  <c r="P345" i="42"/>
  <c r="Q345" i="42"/>
  <c r="P346" i="42"/>
  <c r="Q346" i="42"/>
  <c r="P347" i="42"/>
  <c r="Q347" i="42"/>
  <c r="P348" i="42"/>
  <c r="Q348" i="42"/>
  <c r="P349" i="42"/>
  <c r="Q349" i="42"/>
  <c r="P350" i="42"/>
  <c r="Q350" i="42"/>
  <c r="P351" i="42"/>
  <c r="Q351" i="42"/>
  <c r="P352" i="42"/>
  <c r="Q352" i="42"/>
  <c r="P353" i="42"/>
  <c r="Q353" i="42"/>
  <c r="P354" i="42"/>
  <c r="Q354" i="42"/>
  <c r="P355" i="42"/>
  <c r="Q355" i="42"/>
  <c r="P356" i="42"/>
  <c r="Q356" i="42"/>
  <c r="P357" i="42"/>
  <c r="Q357" i="42"/>
  <c r="P358" i="42"/>
  <c r="Q358" i="42"/>
  <c r="P359" i="42"/>
  <c r="Q359" i="42"/>
  <c r="P360" i="42"/>
  <c r="Q360" i="42"/>
  <c r="P361" i="42"/>
  <c r="Q361" i="42"/>
  <c r="P362" i="42"/>
  <c r="Q362" i="42"/>
  <c r="P363" i="42"/>
  <c r="Q363" i="42"/>
  <c r="P364" i="42"/>
  <c r="Q364" i="42"/>
  <c r="P365" i="42"/>
  <c r="Q365" i="42"/>
  <c r="P366" i="42"/>
  <c r="Q366" i="42"/>
  <c r="P367" i="42"/>
  <c r="Q367" i="42"/>
  <c r="P368" i="42"/>
  <c r="Q368" i="42"/>
  <c r="P369" i="42"/>
  <c r="Q369" i="42"/>
  <c r="P370" i="42"/>
  <c r="Q370" i="42"/>
  <c r="P371" i="42"/>
  <c r="Q371" i="42"/>
  <c r="P372" i="42"/>
  <c r="Q372" i="42"/>
  <c r="P373" i="42"/>
  <c r="Q373" i="42"/>
  <c r="P374" i="42"/>
  <c r="Q374" i="42"/>
  <c r="P375" i="42"/>
  <c r="Q375" i="42"/>
  <c r="P376" i="42"/>
  <c r="Q376" i="42"/>
  <c r="P377" i="42"/>
  <c r="Q377" i="42"/>
  <c r="P378" i="42"/>
  <c r="Q378" i="42"/>
  <c r="P379" i="42"/>
  <c r="Q379" i="42"/>
  <c r="P380" i="42"/>
  <c r="Q380" i="42"/>
  <c r="P381" i="42"/>
  <c r="Q381" i="42"/>
  <c r="P382" i="42"/>
  <c r="Q382" i="42"/>
  <c r="P383" i="42"/>
  <c r="Q383" i="42"/>
  <c r="P384" i="42"/>
  <c r="Q384" i="42"/>
  <c r="P385" i="42"/>
  <c r="Q385" i="42"/>
  <c r="P386" i="42"/>
  <c r="Q386" i="42"/>
  <c r="P387" i="42"/>
  <c r="Q387" i="42"/>
  <c r="P388" i="42"/>
  <c r="Q388" i="42"/>
  <c r="P389" i="42"/>
  <c r="Q389" i="42"/>
  <c r="P390" i="42"/>
  <c r="Q390" i="42"/>
  <c r="P391" i="42"/>
  <c r="Q391" i="42"/>
  <c r="P392" i="42"/>
  <c r="Q392" i="42"/>
  <c r="P393" i="42"/>
  <c r="Q393" i="42"/>
  <c r="P394" i="42"/>
  <c r="Q394" i="42"/>
  <c r="P395" i="42"/>
  <c r="Q395" i="42"/>
  <c r="P396" i="42"/>
  <c r="Q396" i="42"/>
  <c r="P397" i="42"/>
  <c r="Q397" i="42"/>
  <c r="P398" i="42"/>
  <c r="Q398" i="42"/>
  <c r="P399" i="42"/>
  <c r="Q399" i="42"/>
  <c r="P400" i="42"/>
  <c r="Q400" i="42"/>
  <c r="P401" i="42"/>
  <c r="Q401" i="42"/>
  <c r="P402" i="42"/>
  <c r="Q402" i="42"/>
  <c r="P403" i="42"/>
  <c r="Q403" i="42"/>
  <c r="P404" i="42"/>
  <c r="Q404" i="42"/>
  <c r="P405" i="42"/>
  <c r="Q405" i="42"/>
  <c r="P406" i="42"/>
  <c r="Q406" i="42"/>
  <c r="P407" i="42"/>
  <c r="Q407" i="42"/>
  <c r="P408" i="42"/>
  <c r="Q408" i="42"/>
  <c r="P409" i="42"/>
  <c r="Q409" i="42"/>
  <c r="P410" i="42"/>
  <c r="Q410" i="42"/>
  <c r="P411" i="42"/>
  <c r="Q411" i="42"/>
  <c r="P412" i="42"/>
  <c r="Q412" i="42"/>
  <c r="P413" i="42"/>
  <c r="Q413" i="42"/>
  <c r="P414" i="42"/>
  <c r="Q414" i="42"/>
  <c r="P415" i="42"/>
  <c r="Q415" i="42"/>
  <c r="P416" i="42"/>
  <c r="Q416" i="42"/>
  <c r="P417" i="42"/>
  <c r="Q417" i="42"/>
  <c r="P418" i="42"/>
  <c r="Q418" i="42"/>
  <c r="P419" i="42"/>
  <c r="Q419" i="42"/>
  <c r="P420" i="42"/>
  <c r="Q420" i="42"/>
  <c r="P421" i="42"/>
  <c r="Q421" i="42"/>
  <c r="P422" i="42"/>
  <c r="Q422" i="42"/>
  <c r="P423" i="42"/>
  <c r="Q423" i="42"/>
  <c r="P424" i="42"/>
  <c r="Q424" i="42"/>
  <c r="P425" i="42"/>
  <c r="Q425" i="42"/>
  <c r="P426" i="42"/>
  <c r="Q426" i="42"/>
  <c r="P427" i="42"/>
  <c r="Q427" i="42"/>
  <c r="P428" i="42"/>
  <c r="Q428" i="42"/>
  <c r="P429" i="42"/>
  <c r="Q429" i="42"/>
  <c r="P430" i="42"/>
  <c r="Q430" i="42"/>
  <c r="P431" i="42"/>
  <c r="Q431" i="42"/>
  <c r="P432" i="42"/>
  <c r="Q432" i="42"/>
  <c r="P433" i="42"/>
  <c r="Q433" i="42"/>
  <c r="P434" i="42"/>
  <c r="Q434" i="42"/>
  <c r="P435" i="42"/>
  <c r="Q435" i="42"/>
  <c r="P436" i="42"/>
  <c r="Q436" i="42"/>
  <c r="P437" i="42"/>
  <c r="Q437" i="42"/>
  <c r="P438" i="42"/>
  <c r="Q438" i="42"/>
  <c r="P439" i="42"/>
  <c r="Q439" i="42"/>
  <c r="P440" i="42"/>
  <c r="Q440" i="42"/>
  <c r="P441" i="42"/>
  <c r="Q441" i="42"/>
  <c r="P442" i="42"/>
  <c r="Q442" i="42"/>
  <c r="P443" i="42"/>
  <c r="Q443" i="42"/>
  <c r="P444" i="42"/>
  <c r="Q444" i="42"/>
  <c r="P445" i="42"/>
  <c r="Q445" i="42"/>
  <c r="P446" i="42"/>
  <c r="Q446" i="42"/>
  <c r="P447" i="42"/>
  <c r="Q447" i="42"/>
  <c r="P448" i="42"/>
  <c r="Q448" i="42"/>
  <c r="P449" i="42"/>
  <c r="Q449" i="42"/>
  <c r="P450" i="42"/>
  <c r="Q450" i="42"/>
  <c r="P451" i="42"/>
  <c r="Q451" i="42"/>
  <c r="P452" i="42"/>
  <c r="Q452" i="42"/>
  <c r="P453" i="42"/>
  <c r="Q453" i="42"/>
  <c r="P454" i="42"/>
  <c r="Q454" i="42"/>
  <c r="P455" i="42"/>
  <c r="Q455" i="42"/>
  <c r="P456" i="42"/>
  <c r="Q456" i="42"/>
  <c r="P457" i="42"/>
  <c r="Q457" i="42"/>
  <c r="P458" i="42"/>
  <c r="Q458" i="42"/>
  <c r="P459" i="42"/>
  <c r="Q459" i="42"/>
  <c r="P460" i="42"/>
  <c r="Q460" i="42"/>
  <c r="P461" i="42"/>
  <c r="Q461" i="42"/>
  <c r="P462" i="42"/>
  <c r="Q462" i="42"/>
  <c r="P463" i="42"/>
  <c r="Q463" i="42"/>
  <c r="P464" i="42"/>
  <c r="Q464" i="42"/>
  <c r="P465" i="42"/>
  <c r="Q465" i="42"/>
  <c r="P466" i="42"/>
  <c r="Q466" i="42"/>
  <c r="P467" i="42"/>
  <c r="Q467" i="42"/>
  <c r="P468" i="42"/>
  <c r="Q468" i="42"/>
  <c r="P469" i="42"/>
  <c r="Q469" i="42"/>
  <c r="P470" i="42"/>
  <c r="Q470" i="42"/>
  <c r="P471" i="42"/>
  <c r="Q471" i="42"/>
  <c r="P472" i="42"/>
  <c r="Q472" i="42"/>
  <c r="P473" i="42"/>
  <c r="Q473" i="42"/>
  <c r="P474" i="42"/>
  <c r="Q474" i="42"/>
  <c r="P475" i="42"/>
  <c r="Q475" i="42"/>
  <c r="P476" i="42"/>
  <c r="Q476" i="42"/>
  <c r="P477" i="42"/>
  <c r="Q477" i="42"/>
  <c r="P478" i="42"/>
  <c r="Q478" i="42"/>
  <c r="P479" i="42"/>
  <c r="Q479" i="42"/>
  <c r="P480" i="42"/>
  <c r="Q480" i="42"/>
  <c r="P481" i="42"/>
  <c r="Q481" i="42"/>
  <c r="P482" i="42"/>
  <c r="Q482" i="42"/>
  <c r="P483" i="42"/>
  <c r="Q483" i="42"/>
  <c r="P484" i="42"/>
  <c r="Q484" i="42"/>
  <c r="P485" i="42"/>
  <c r="Q485" i="42"/>
  <c r="P486" i="42"/>
  <c r="Q486" i="42"/>
  <c r="P487" i="42"/>
  <c r="Q487" i="42"/>
  <c r="P488" i="42"/>
  <c r="Q488" i="42"/>
  <c r="P489" i="42"/>
  <c r="Q489" i="42"/>
  <c r="P490" i="42"/>
  <c r="Q490" i="42"/>
  <c r="P491" i="42"/>
  <c r="Q491" i="42"/>
  <c r="P492" i="42"/>
  <c r="Q492" i="42"/>
  <c r="P493" i="42"/>
  <c r="Q493" i="42"/>
  <c r="P494" i="42"/>
  <c r="Q494" i="42"/>
  <c r="P495" i="42"/>
  <c r="Q495" i="42"/>
  <c r="P496" i="42"/>
  <c r="Q496" i="42"/>
  <c r="P497" i="42"/>
  <c r="Q497" i="42"/>
  <c r="P498" i="42"/>
  <c r="Q498" i="42"/>
  <c r="P499" i="42"/>
  <c r="Q499" i="42"/>
  <c r="P500" i="42"/>
  <c r="Q500" i="42"/>
  <c r="P501" i="42"/>
  <c r="Q501" i="42"/>
  <c r="P502" i="42"/>
  <c r="Q502" i="42"/>
  <c r="P503" i="42"/>
  <c r="Q503" i="42"/>
  <c r="P504" i="42"/>
  <c r="Q504" i="42"/>
  <c r="P505" i="42"/>
  <c r="Q505" i="42"/>
  <c r="P506" i="42"/>
  <c r="Q506" i="42"/>
  <c r="P507" i="42"/>
  <c r="Q507" i="42"/>
  <c r="P508" i="42"/>
  <c r="Q508" i="42"/>
  <c r="P509" i="42"/>
  <c r="Q509" i="42"/>
  <c r="P510" i="42"/>
  <c r="Q510" i="42"/>
  <c r="P511" i="42"/>
  <c r="Q511" i="42"/>
  <c r="P512" i="42"/>
  <c r="Q512" i="42"/>
  <c r="P513" i="42"/>
  <c r="Q513" i="42"/>
  <c r="P514" i="42"/>
  <c r="Q514" i="42"/>
  <c r="P515" i="42"/>
  <c r="Q515" i="42"/>
  <c r="P516" i="42"/>
  <c r="Q516" i="42"/>
  <c r="P517" i="42"/>
  <c r="Q517" i="42"/>
  <c r="P518" i="42"/>
  <c r="Q518" i="42"/>
  <c r="P519" i="42"/>
  <c r="Q519" i="42"/>
  <c r="P520" i="42"/>
  <c r="Q520" i="42"/>
  <c r="P521" i="42"/>
  <c r="Q521" i="42"/>
  <c r="P522" i="42"/>
  <c r="Q522" i="42"/>
  <c r="P523" i="42"/>
  <c r="Q523" i="42"/>
  <c r="P524" i="42"/>
  <c r="Q524" i="42"/>
  <c r="P525" i="42"/>
  <c r="Q525" i="42"/>
  <c r="P526" i="42"/>
  <c r="Q526" i="42"/>
  <c r="P527" i="42"/>
  <c r="Q527" i="42"/>
  <c r="P528" i="42"/>
  <c r="Q528" i="42"/>
  <c r="P529" i="42"/>
  <c r="Q529" i="42"/>
  <c r="P530" i="42"/>
  <c r="Q530" i="42"/>
  <c r="P531" i="42"/>
  <c r="Q531" i="42"/>
  <c r="P532" i="42"/>
  <c r="Q532" i="42"/>
  <c r="P533" i="42"/>
  <c r="Q533" i="42"/>
  <c r="P534" i="42"/>
  <c r="Q534" i="42"/>
  <c r="P535" i="42"/>
  <c r="Q535" i="42"/>
  <c r="P536" i="42"/>
  <c r="Q536" i="42"/>
  <c r="P537" i="42"/>
  <c r="Q537" i="42"/>
  <c r="P538" i="42"/>
  <c r="Q538" i="42"/>
  <c r="P539" i="42"/>
  <c r="Q539" i="42"/>
  <c r="P540" i="42"/>
  <c r="Q540" i="42"/>
  <c r="P541" i="42"/>
  <c r="Q541" i="42"/>
  <c r="P542" i="42"/>
  <c r="Q542" i="42"/>
  <c r="P543" i="42"/>
  <c r="Q543" i="42"/>
  <c r="P544" i="42"/>
  <c r="Q544" i="42"/>
  <c r="P545" i="42"/>
  <c r="Q545" i="42"/>
  <c r="P546" i="42"/>
  <c r="Q546" i="42"/>
  <c r="P547" i="42"/>
  <c r="Q547" i="42"/>
  <c r="P548" i="42"/>
  <c r="Q548" i="42"/>
  <c r="P549" i="42"/>
  <c r="Q549" i="42"/>
  <c r="P550" i="42"/>
  <c r="Q550" i="42"/>
  <c r="P551" i="42"/>
  <c r="Q551" i="42"/>
  <c r="P552" i="42"/>
  <c r="Q552" i="42"/>
  <c r="P553" i="42"/>
  <c r="Q553" i="42"/>
  <c r="P554" i="42"/>
  <c r="Q554" i="42"/>
  <c r="P555" i="42"/>
  <c r="Q555" i="42"/>
  <c r="P556" i="42"/>
  <c r="Q556" i="42"/>
  <c r="P557" i="42"/>
  <c r="Q557" i="42"/>
  <c r="P558" i="42"/>
  <c r="Q558" i="42"/>
  <c r="P559" i="42"/>
  <c r="Q559" i="42"/>
  <c r="P560" i="42"/>
  <c r="Q560" i="42"/>
  <c r="P561" i="42"/>
  <c r="Q561" i="42"/>
  <c r="P562" i="42"/>
  <c r="Q562" i="42"/>
  <c r="P563" i="42"/>
  <c r="Q563" i="42"/>
  <c r="P564" i="42"/>
  <c r="Q564" i="42"/>
  <c r="P565" i="42"/>
  <c r="Q565" i="42"/>
  <c r="P566" i="42"/>
  <c r="Q566" i="42"/>
  <c r="P567" i="42"/>
  <c r="Q567" i="42"/>
  <c r="P568" i="42"/>
  <c r="Q568" i="42"/>
  <c r="P569" i="42"/>
  <c r="Q569" i="42"/>
  <c r="P570" i="42"/>
  <c r="Q570" i="42"/>
  <c r="P571" i="42"/>
  <c r="Q571" i="42"/>
  <c r="P572" i="42"/>
  <c r="Q572" i="42"/>
  <c r="P573" i="42"/>
  <c r="Q573" i="42"/>
  <c r="P574" i="42"/>
  <c r="Q574" i="42"/>
  <c r="P575" i="42"/>
  <c r="Q575" i="42"/>
  <c r="P576" i="42"/>
  <c r="Q576" i="42"/>
  <c r="P577" i="42"/>
  <c r="Q577" i="42"/>
  <c r="P578" i="42"/>
  <c r="Q578" i="42"/>
  <c r="P579" i="42"/>
  <c r="Q579" i="42"/>
  <c r="P580" i="42"/>
  <c r="Q580" i="42"/>
  <c r="P581" i="42"/>
  <c r="Q581" i="42"/>
  <c r="P582" i="42"/>
  <c r="Q582" i="42"/>
  <c r="P583" i="42"/>
  <c r="Q583" i="42"/>
  <c r="P584" i="42"/>
  <c r="Q584" i="42"/>
  <c r="P585" i="42"/>
  <c r="Q585" i="42"/>
  <c r="P586" i="42"/>
  <c r="Q586" i="42"/>
  <c r="P587" i="42"/>
  <c r="Q587" i="42"/>
  <c r="P588" i="42"/>
  <c r="Q588" i="42"/>
  <c r="P589" i="42"/>
  <c r="Q589" i="42"/>
  <c r="P590" i="42"/>
  <c r="Q590" i="42"/>
  <c r="P591" i="42"/>
  <c r="Q591" i="42"/>
  <c r="P592" i="42"/>
  <c r="Q592" i="42"/>
  <c r="P593" i="42"/>
  <c r="Q593" i="42"/>
  <c r="P594" i="42"/>
  <c r="Q594" i="42"/>
  <c r="P595" i="42"/>
  <c r="Q595" i="42"/>
  <c r="P596" i="42"/>
  <c r="Q596" i="42"/>
  <c r="P597" i="42"/>
  <c r="Q597" i="42"/>
  <c r="P598" i="42"/>
  <c r="Q598" i="42"/>
  <c r="P599" i="42"/>
  <c r="Q599" i="42"/>
  <c r="P600" i="42"/>
  <c r="Q600" i="42"/>
  <c r="P601" i="42"/>
  <c r="Q601" i="42"/>
  <c r="P602" i="42"/>
  <c r="Q602" i="42"/>
  <c r="P603" i="42"/>
  <c r="Q603" i="42"/>
  <c r="P604" i="42"/>
  <c r="Q604" i="42"/>
  <c r="P605" i="42"/>
  <c r="Q605" i="42"/>
  <c r="P606" i="42"/>
  <c r="Q606" i="42"/>
  <c r="P607" i="42"/>
  <c r="Q607" i="42"/>
  <c r="P608" i="42"/>
  <c r="Q608" i="42"/>
  <c r="P609" i="42"/>
  <c r="Q609" i="42"/>
  <c r="P610" i="42"/>
  <c r="Q610" i="42"/>
  <c r="P611" i="42"/>
  <c r="Q611" i="42"/>
  <c r="P612" i="42"/>
  <c r="Q612" i="42"/>
  <c r="P613" i="42"/>
  <c r="Q613" i="42"/>
  <c r="P614" i="42"/>
  <c r="Q614" i="42"/>
  <c r="P615" i="42"/>
  <c r="Q615" i="42"/>
  <c r="P616" i="42"/>
  <c r="Q616" i="42"/>
  <c r="P617" i="42"/>
  <c r="Q617" i="42"/>
  <c r="P618" i="42"/>
  <c r="Q618" i="42"/>
  <c r="P619" i="42"/>
  <c r="Q619" i="42"/>
  <c r="P620" i="42"/>
  <c r="Q620" i="42"/>
  <c r="P621" i="42"/>
  <c r="Q621" i="42"/>
  <c r="P622" i="42"/>
  <c r="Q622" i="42"/>
  <c r="P623" i="42"/>
  <c r="Q623" i="42"/>
  <c r="P624" i="42"/>
  <c r="Q624" i="42"/>
  <c r="P625" i="42"/>
  <c r="Q625" i="42"/>
  <c r="P626" i="42"/>
  <c r="Q626" i="42"/>
  <c r="P627" i="42"/>
  <c r="Q627" i="42"/>
  <c r="P628" i="42"/>
  <c r="Q628" i="42"/>
  <c r="P629" i="42"/>
  <c r="Q629" i="42"/>
  <c r="P630" i="42"/>
  <c r="Q630" i="42"/>
  <c r="P631" i="42"/>
  <c r="Q631" i="42"/>
  <c r="P632" i="42"/>
  <c r="Q632" i="42"/>
  <c r="P633" i="42"/>
  <c r="Q633" i="42"/>
  <c r="P634" i="42"/>
  <c r="Q634" i="42"/>
  <c r="P635" i="42"/>
  <c r="Q635" i="42"/>
  <c r="P636" i="42"/>
  <c r="Q636" i="42"/>
  <c r="P637" i="42"/>
  <c r="Q637" i="42"/>
  <c r="P638" i="42"/>
  <c r="Q638" i="42"/>
  <c r="P639" i="42"/>
  <c r="Q639" i="42"/>
  <c r="P640" i="42"/>
  <c r="Q640" i="42"/>
  <c r="P641" i="42"/>
  <c r="Q641" i="42"/>
  <c r="P642" i="42"/>
  <c r="Q642" i="42"/>
  <c r="P643" i="42"/>
  <c r="Q643" i="42"/>
  <c r="P644" i="42"/>
  <c r="Q644" i="42"/>
  <c r="P645" i="42"/>
  <c r="Q645" i="42"/>
  <c r="P646" i="42"/>
  <c r="Q646" i="42"/>
  <c r="P647" i="42"/>
  <c r="Q647" i="42"/>
  <c r="P648" i="42"/>
  <c r="Q648" i="42"/>
  <c r="P649" i="42"/>
  <c r="Q649" i="42"/>
  <c r="P650" i="42"/>
  <c r="Q650" i="42"/>
  <c r="P651" i="42"/>
  <c r="Q651" i="42"/>
  <c r="P652" i="42"/>
  <c r="Q652" i="42"/>
  <c r="P653" i="42"/>
  <c r="Q653" i="42"/>
  <c r="P654" i="42"/>
  <c r="Q654" i="42"/>
  <c r="P655" i="42"/>
  <c r="Q655" i="42"/>
  <c r="P656" i="42"/>
  <c r="Q656" i="42"/>
  <c r="P657" i="42"/>
  <c r="Q657" i="42"/>
  <c r="P658" i="42"/>
  <c r="Q658" i="42"/>
  <c r="P659" i="42"/>
  <c r="Q659" i="42"/>
  <c r="P660" i="42"/>
  <c r="Q660" i="42"/>
  <c r="P661" i="42"/>
  <c r="Q661" i="42"/>
  <c r="P662" i="42"/>
  <c r="Q662" i="42"/>
  <c r="P663" i="42"/>
  <c r="Q663" i="42"/>
  <c r="P664" i="42"/>
  <c r="Q664" i="42"/>
  <c r="P665" i="42"/>
  <c r="Q665" i="42"/>
  <c r="P666" i="42"/>
  <c r="Q666" i="42"/>
  <c r="P667" i="42"/>
  <c r="Q667" i="42"/>
  <c r="P668" i="42"/>
  <c r="Q668" i="42"/>
  <c r="P669" i="42"/>
  <c r="Q669" i="42"/>
  <c r="P670" i="42"/>
  <c r="Q670" i="42"/>
  <c r="P671" i="42"/>
  <c r="Q671" i="42"/>
  <c r="P672" i="42"/>
  <c r="Q672" i="42"/>
  <c r="P673" i="42"/>
  <c r="Q673" i="42"/>
  <c r="P674" i="42"/>
  <c r="Q674" i="42"/>
  <c r="P675" i="42"/>
  <c r="Q675" i="42"/>
  <c r="P676" i="42"/>
  <c r="Q676" i="42"/>
  <c r="P677" i="42"/>
  <c r="Q677" i="42"/>
  <c r="P678" i="42"/>
  <c r="Q678" i="42"/>
  <c r="P679" i="42"/>
  <c r="Q679" i="42"/>
  <c r="P680" i="42"/>
  <c r="Q680" i="42"/>
  <c r="P681" i="42"/>
  <c r="Q681" i="42"/>
  <c r="P682" i="42"/>
  <c r="Q682" i="42"/>
  <c r="P683" i="42"/>
  <c r="Q683" i="42"/>
  <c r="P684" i="42"/>
  <c r="Q684" i="42"/>
  <c r="P685" i="42"/>
  <c r="Q685" i="42"/>
  <c r="P686" i="42"/>
  <c r="Q686" i="42"/>
  <c r="P687" i="42"/>
  <c r="Q687" i="42"/>
  <c r="P688" i="42"/>
  <c r="Q688" i="42"/>
  <c r="P689" i="42"/>
  <c r="Q689" i="42"/>
  <c r="P690" i="42"/>
  <c r="Q690" i="42"/>
  <c r="P691" i="42"/>
  <c r="Q691" i="42"/>
  <c r="P692" i="42"/>
  <c r="Q692" i="42"/>
  <c r="P693" i="42"/>
  <c r="Q693" i="42"/>
  <c r="P694" i="42"/>
  <c r="Q694" i="42"/>
  <c r="P695" i="42"/>
  <c r="Q695" i="42"/>
  <c r="P696" i="42"/>
  <c r="Q696" i="42"/>
  <c r="P697" i="42"/>
  <c r="Q697" i="42"/>
  <c r="P698" i="42"/>
  <c r="Q698" i="42"/>
  <c r="P699" i="42"/>
  <c r="Q699" i="42"/>
  <c r="P700" i="42"/>
  <c r="Q700" i="42"/>
  <c r="P701" i="42"/>
  <c r="Q701" i="42"/>
  <c r="P702" i="42"/>
  <c r="Q702" i="42"/>
  <c r="P703" i="42"/>
  <c r="Q703" i="42"/>
  <c r="P704" i="42"/>
  <c r="Q704" i="42"/>
  <c r="P705" i="42"/>
  <c r="Q705" i="42"/>
  <c r="P706" i="42"/>
  <c r="Q706" i="42"/>
  <c r="P707" i="42"/>
  <c r="Q707" i="42"/>
  <c r="P708" i="42"/>
  <c r="Q708" i="42"/>
  <c r="P709" i="42"/>
  <c r="Q709" i="42"/>
  <c r="P710" i="42"/>
  <c r="Q710" i="42"/>
  <c r="P711" i="42"/>
  <c r="Q711" i="42"/>
  <c r="P712" i="42"/>
  <c r="Q712" i="42"/>
  <c r="P713" i="42"/>
  <c r="Q713" i="42"/>
  <c r="P714" i="42"/>
  <c r="Q714" i="42"/>
  <c r="P715" i="42"/>
  <c r="Q715" i="42"/>
  <c r="P716" i="42"/>
  <c r="Q716" i="42"/>
  <c r="P717" i="42"/>
  <c r="Q717" i="42"/>
  <c r="P718" i="42"/>
  <c r="Q718" i="42"/>
  <c r="P719" i="42"/>
  <c r="Q719" i="42"/>
  <c r="P720" i="42"/>
  <c r="Q720" i="42"/>
  <c r="P721" i="42"/>
  <c r="Q721" i="42"/>
  <c r="P722" i="42"/>
  <c r="Q722" i="42"/>
  <c r="P723" i="42"/>
  <c r="Q723" i="42"/>
  <c r="P724" i="42"/>
  <c r="Q724" i="42"/>
  <c r="P725" i="42"/>
  <c r="Q725" i="42"/>
  <c r="P726" i="42"/>
  <c r="Q726" i="42"/>
  <c r="P727" i="42"/>
  <c r="Q727" i="42"/>
  <c r="P728" i="42"/>
  <c r="Q728" i="42"/>
  <c r="P729" i="42"/>
  <c r="Q729" i="42"/>
  <c r="P730" i="42"/>
  <c r="Q730" i="42"/>
  <c r="P731" i="42"/>
  <c r="Q731" i="42"/>
  <c r="P732" i="42"/>
  <c r="Q732" i="42"/>
  <c r="P733" i="42"/>
  <c r="Q733" i="42"/>
  <c r="P734" i="42"/>
  <c r="Q734" i="42"/>
  <c r="P735" i="42"/>
  <c r="Q735" i="42"/>
  <c r="P736" i="42"/>
  <c r="Q736" i="42"/>
  <c r="P737" i="42"/>
  <c r="Q737" i="42"/>
  <c r="P738" i="42"/>
  <c r="Q738" i="42"/>
  <c r="P739" i="42"/>
  <c r="Q739" i="42"/>
  <c r="P740" i="42"/>
  <c r="Q740" i="42"/>
  <c r="P741" i="42"/>
  <c r="Q741" i="42"/>
  <c r="P742" i="42"/>
  <c r="Q742" i="42"/>
  <c r="P743" i="42"/>
  <c r="Q743" i="42"/>
  <c r="P744" i="42"/>
  <c r="Q744" i="42"/>
  <c r="P745" i="42"/>
  <c r="Q745" i="42"/>
  <c r="P746" i="42"/>
  <c r="Q746" i="42"/>
  <c r="P747" i="42"/>
  <c r="Q747" i="42"/>
  <c r="P748" i="42"/>
  <c r="Q748" i="42"/>
  <c r="P749" i="42"/>
  <c r="Q749" i="42"/>
  <c r="P750" i="42"/>
  <c r="Q750" i="42"/>
  <c r="P751" i="42"/>
  <c r="Q751" i="42"/>
  <c r="P752" i="42"/>
  <c r="Q752" i="42"/>
  <c r="P753" i="42"/>
  <c r="Q753" i="42"/>
  <c r="P754" i="42"/>
  <c r="Q754" i="42"/>
  <c r="P755" i="42"/>
  <c r="Q755" i="42"/>
  <c r="P756" i="42"/>
  <c r="Q756" i="42"/>
  <c r="P757" i="42"/>
  <c r="Q757" i="42"/>
  <c r="P758" i="42"/>
  <c r="Q758" i="42"/>
  <c r="P759" i="42"/>
  <c r="Q759" i="42"/>
  <c r="P760" i="42"/>
  <c r="Q760" i="42"/>
  <c r="P761" i="42"/>
  <c r="Q761" i="42"/>
  <c r="P762" i="42"/>
  <c r="Q762" i="42"/>
  <c r="P763" i="42"/>
  <c r="Q763" i="42"/>
  <c r="P764" i="42"/>
  <c r="Q764" i="42"/>
  <c r="P765" i="42"/>
  <c r="Q765" i="42"/>
  <c r="P766" i="42"/>
  <c r="Q766" i="42"/>
  <c r="P767" i="42"/>
  <c r="Q767" i="42"/>
  <c r="P768" i="42"/>
  <c r="Q768" i="42"/>
  <c r="P769" i="42"/>
  <c r="Q769" i="42"/>
  <c r="P770" i="42"/>
  <c r="Q770" i="42"/>
  <c r="P771" i="42"/>
  <c r="Q771" i="42"/>
  <c r="P772" i="42"/>
  <c r="Q772" i="42"/>
  <c r="P773" i="42"/>
  <c r="Q773" i="42"/>
  <c r="P774" i="42"/>
  <c r="Q774" i="42"/>
  <c r="P775" i="42"/>
  <c r="Q775" i="42"/>
  <c r="P776" i="42"/>
  <c r="Q776" i="42"/>
  <c r="P777" i="42"/>
  <c r="Q777" i="42"/>
  <c r="P778" i="42"/>
  <c r="Q778" i="42"/>
  <c r="P779" i="42"/>
  <c r="Q779" i="42"/>
  <c r="P780" i="42"/>
  <c r="Q780" i="42"/>
  <c r="P781" i="42"/>
  <c r="Q781" i="42"/>
  <c r="P782" i="42"/>
  <c r="Q782" i="42"/>
  <c r="P783" i="42"/>
  <c r="Q783" i="42"/>
  <c r="P784" i="42"/>
  <c r="Q784" i="42"/>
  <c r="P785" i="42"/>
  <c r="Q785" i="42"/>
  <c r="P786" i="42"/>
  <c r="Q786" i="42"/>
  <c r="P787" i="42"/>
  <c r="Q787" i="42"/>
  <c r="P788" i="42"/>
  <c r="Q788" i="42"/>
  <c r="P789" i="42"/>
  <c r="Q789" i="42"/>
  <c r="P790" i="42"/>
  <c r="Q790" i="42"/>
  <c r="P791" i="42"/>
  <c r="Q791" i="42"/>
  <c r="P792" i="42"/>
  <c r="Q792" i="42"/>
  <c r="P793" i="42"/>
  <c r="Q793" i="42"/>
  <c r="P794" i="42"/>
  <c r="Q794" i="42"/>
  <c r="P795" i="42"/>
  <c r="Q795" i="42"/>
  <c r="P796" i="42"/>
  <c r="Q796" i="42"/>
  <c r="P797" i="42"/>
  <c r="Q797" i="42"/>
  <c r="P798" i="42"/>
  <c r="Q798" i="42"/>
  <c r="P799" i="42"/>
  <c r="Q799" i="42"/>
  <c r="P800" i="42"/>
  <c r="Q800" i="42"/>
  <c r="P801" i="42"/>
  <c r="Q801" i="42"/>
  <c r="P802" i="42"/>
  <c r="Q802" i="42"/>
  <c r="P803" i="42"/>
  <c r="Q803" i="42"/>
  <c r="P804" i="42"/>
  <c r="Q804" i="42"/>
  <c r="P805" i="42"/>
  <c r="Q805" i="42"/>
  <c r="P806" i="42"/>
  <c r="Q806" i="42"/>
  <c r="P807" i="42"/>
  <c r="Q807" i="42"/>
  <c r="P808" i="42"/>
  <c r="Q808" i="42"/>
  <c r="P809" i="42"/>
  <c r="Q809" i="42"/>
  <c r="P810" i="42"/>
  <c r="Q810" i="42"/>
  <c r="P811" i="42"/>
  <c r="Q811" i="42"/>
  <c r="P812" i="42"/>
  <c r="Q812" i="42"/>
  <c r="P813" i="42"/>
  <c r="Q813" i="42"/>
  <c r="P814" i="42"/>
  <c r="Q814" i="42"/>
  <c r="P815" i="42"/>
  <c r="Q815" i="42"/>
  <c r="P816" i="42"/>
  <c r="Q816" i="42"/>
  <c r="P817" i="42"/>
  <c r="Q817" i="42"/>
  <c r="P818" i="42"/>
  <c r="Q818" i="42"/>
  <c r="P819" i="42"/>
  <c r="Q819" i="42"/>
  <c r="P820" i="42"/>
  <c r="Q820" i="42"/>
  <c r="P821" i="42"/>
  <c r="Q821" i="42"/>
  <c r="P822" i="42"/>
  <c r="Q822" i="42"/>
  <c r="P823" i="42"/>
  <c r="Q823" i="42"/>
  <c r="P824" i="42"/>
  <c r="Q824" i="42"/>
  <c r="P825" i="42"/>
  <c r="Q825" i="42"/>
  <c r="P826" i="42"/>
  <c r="Q826" i="42"/>
  <c r="P827" i="42"/>
  <c r="Q827" i="42"/>
  <c r="P828" i="42"/>
  <c r="Q828" i="42"/>
  <c r="P829" i="42"/>
  <c r="Q829" i="42"/>
  <c r="P830" i="42"/>
  <c r="Q830" i="42"/>
  <c r="P831" i="42"/>
  <c r="Q831" i="42"/>
  <c r="P832" i="42"/>
  <c r="Q832" i="42"/>
  <c r="P833" i="42"/>
  <c r="Q833" i="42"/>
  <c r="P834" i="42"/>
  <c r="Q834" i="42"/>
  <c r="P835" i="42"/>
  <c r="Q835" i="42"/>
  <c r="P836" i="42"/>
  <c r="Q836" i="42"/>
  <c r="P837" i="42"/>
  <c r="Q837" i="42"/>
  <c r="P838" i="42"/>
  <c r="Q838" i="42"/>
  <c r="P839" i="42"/>
  <c r="Q839" i="42"/>
  <c r="P840" i="42"/>
  <c r="Q840" i="42"/>
  <c r="P841" i="42"/>
  <c r="Q841" i="42"/>
  <c r="P842" i="42"/>
  <c r="Q842" i="42"/>
  <c r="P843" i="42"/>
  <c r="Q843" i="42"/>
  <c r="P844" i="42"/>
  <c r="Q844" i="42"/>
  <c r="P845" i="42"/>
  <c r="Q845" i="42"/>
  <c r="P846" i="42"/>
  <c r="Q846" i="42"/>
  <c r="P847" i="42"/>
  <c r="Q847" i="42"/>
  <c r="P848" i="42"/>
  <c r="Q848" i="42"/>
  <c r="P849" i="42"/>
  <c r="Q849" i="42"/>
  <c r="P850" i="42"/>
  <c r="Q850" i="42"/>
  <c r="P851" i="42"/>
  <c r="Q851" i="42"/>
  <c r="P852" i="42"/>
  <c r="Q852" i="42"/>
  <c r="P853" i="42"/>
  <c r="Q853" i="42"/>
  <c r="P854" i="42"/>
  <c r="Q854" i="42"/>
  <c r="P855" i="42"/>
  <c r="Q855" i="42"/>
  <c r="P856" i="42"/>
  <c r="Q856" i="42"/>
  <c r="P857" i="42"/>
  <c r="Q857" i="42"/>
  <c r="P858" i="42"/>
  <c r="Q858" i="42"/>
  <c r="P859" i="42"/>
  <c r="Q859" i="42"/>
  <c r="P860" i="42"/>
  <c r="Q860" i="42"/>
  <c r="P861" i="42"/>
  <c r="Q861" i="42"/>
  <c r="P862" i="42"/>
  <c r="Q862" i="42"/>
  <c r="P863" i="42"/>
  <c r="Q863" i="42"/>
  <c r="P864" i="42"/>
  <c r="Q864" i="42"/>
  <c r="P865" i="42"/>
  <c r="Q865" i="42"/>
  <c r="P866" i="42"/>
  <c r="Q866" i="42"/>
  <c r="P867" i="42"/>
  <c r="Q867" i="42"/>
  <c r="P868" i="42"/>
  <c r="Q868" i="42"/>
  <c r="P869" i="42"/>
  <c r="Q869" i="42"/>
  <c r="P870" i="42"/>
  <c r="Q870" i="42"/>
  <c r="P871" i="42"/>
  <c r="Q871" i="42"/>
  <c r="P872" i="42"/>
  <c r="Q872" i="42"/>
  <c r="P873" i="42"/>
  <c r="Q873" i="42"/>
  <c r="P874" i="42"/>
  <c r="Q874" i="42"/>
  <c r="P875" i="42"/>
  <c r="Q875" i="42"/>
  <c r="P876" i="42"/>
  <c r="Q876" i="42"/>
  <c r="P877" i="42"/>
  <c r="Q877" i="42"/>
  <c r="P878" i="42"/>
  <c r="Q878" i="42"/>
  <c r="P879" i="42"/>
  <c r="Q879" i="42"/>
  <c r="P880" i="42"/>
  <c r="Q880" i="42"/>
  <c r="P881" i="42"/>
  <c r="Q881" i="42"/>
  <c r="P882" i="42"/>
  <c r="Q882" i="42"/>
  <c r="P883" i="42"/>
  <c r="Q883" i="42"/>
  <c r="P884" i="42"/>
  <c r="Q884" i="42"/>
  <c r="P885" i="42"/>
  <c r="Q885" i="42"/>
  <c r="P886" i="42"/>
  <c r="Q886" i="42"/>
  <c r="P887" i="42"/>
  <c r="Q887" i="42"/>
  <c r="P888" i="42"/>
  <c r="Q888" i="42"/>
  <c r="P889" i="42"/>
  <c r="Q889" i="42"/>
  <c r="P890" i="42"/>
  <c r="Q890" i="42"/>
  <c r="P891" i="42"/>
  <c r="Q891" i="42"/>
  <c r="P892" i="42"/>
  <c r="Q892" i="42"/>
  <c r="P893" i="42"/>
  <c r="Q893" i="42"/>
  <c r="P894" i="42"/>
  <c r="Q894" i="42"/>
  <c r="P895" i="42"/>
  <c r="Q895" i="42"/>
  <c r="P896" i="42"/>
  <c r="Q896" i="42"/>
  <c r="P897" i="42"/>
  <c r="Q897" i="42"/>
  <c r="P898" i="42"/>
  <c r="Q898" i="42"/>
  <c r="P899" i="42"/>
  <c r="Q899" i="42"/>
  <c r="P900" i="42"/>
  <c r="Q900" i="42"/>
  <c r="P901" i="42"/>
  <c r="Q901" i="42"/>
  <c r="P902" i="42"/>
  <c r="Q902" i="42"/>
  <c r="P903" i="42"/>
  <c r="Q903" i="42"/>
  <c r="P904" i="42"/>
  <c r="Q904" i="42"/>
  <c r="P905" i="42"/>
  <c r="Q905" i="42"/>
  <c r="P906" i="42"/>
  <c r="Q906" i="42"/>
  <c r="P907" i="42"/>
  <c r="Q907" i="42"/>
  <c r="P908" i="42"/>
  <c r="Q908" i="42"/>
  <c r="P909" i="42"/>
  <c r="Q909" i="42"/>
  <c r="P910" i="42"/>
  <c r="Q910" i="42"/>
  <c r="P911" i="42"/>
  <c r="Q911" i="42"/>
  <c r="P912" i="42"/>
  <c r="Q912" i="42"/>
  <c r="P913" i="42"/>
  <c r="Q913" i="42"/>
  <c r="P914" i="42"/>
  <c r="Q914" i="42"/>
  <c r="P915" i="42"/>
  <c r="Q915" i="42"/>
  <c r="P916" i="42"/>
  <c r="Q916" i="42"/>
  <c r="P917" i="42"/>
  <c r="Q917" i="42"/>
  <c r="P918" i="42"/>
  <c r="Q918" i="42"/>
  <c r="P919" i="42"/>
  <c r="Q919" i="42"/>
  <c r="P920" i="42"/>
  <c r="Q920" i="42"/>
  <c r="P921" i="42"/>
  <c r="Q921" i="42"/>
  <c r="P922" i="42"/>
  <c r="Q922" i="42"/>
  <c r="P923" i="42"/>
  <c r="Q923" i="42"/>
  <c r="P924" i="42"/>
  <c r="Q924" i="42"/>
  <c r="P925" i="42"/>
  <c r="Q925" i="42"/>
  <c r="P926" i="42"/>
  <c r="Q926" i="42"/>
  <c r="P927" i="42"/>
  <c r="Q927" i="42"/>
  <c r="P928" i="42"/>
  <c r="Q928" i="42"/>
  <c r="P929" i="42"/>
  <c r="Q929" i="42"/>
  <c r="P930" i="42"/>
  <c r="Q930" i="42"/>
  <c r="P931" i="42"/>
  <c r="Q931" i="42"/>
  <c r="P932" i="42"/>
  <c r="Q932" i="42"/>
  <c r="P933" i="42"/>
  <c r="Q933" i="42"/>
  <c r="P934" i="42"/>
  <c r="Q934" i="42"/>
  <c r="P935" i="42"/>
  <c r="Q935" i="42"/>
  <c r="P936" i="42"/>
  <c r="Q936" i="42"/>
  <c r="P937" i="42"/>
  <c r="Q937" i="42"/>
  <c r="P938" i="42"/>
  <c r="Q938" i="42"/>
  <c r="P939" i="42"/>
  <c r="Q939" i="42"/>
  <c r="P940" i="42"/>
  <c r="Q940" i="42"/>
  <c r="P941" i="42"/>
  <c r="Q941" i="42"/>
  <c r="P942" i="42"/>
  <c r="Q942" i="42"/>
  <c r="P943" i="42"/>
  <c r="Q943" i="42"/>
  <c r="P944" i="42"/>
  <c r="Q944" i="42"/>
  <c r="P945" i="42"/>
  <c r="Q945" i="42"/>
  <c r="P946" i="42"/>
  <c r="Q946" i="42"/>
  <c r="P947" i="42"/>
  <c r="Q947" i="42"/>
  <c r="P948" i="42"/>
  <c r="Q948" i="42"/>
  <c r="P949" i="42"/>
  <c r="Q949" i="42"/>
  <c r="P950" i="42"/>
  <c r="Q950" i="42"/>
  <c r="P951" i="42"/>
  <c r="Q951" i="42"/>
  <c r="P952" i="42"/>
  <c r="Q952" i="42"/>
  <c r="P953" i="42"/>
  <c r="Q953" i="42"/>
  <c r="P954" i="42"/>
  <c r="Q954" i="42"/>
  <c r="P955" i="42"/>
  <c r="Q955" i="42"/>
  <c r="P956" i="42"/>
  <c r="Q956" i="42"/>
  <c r="P957" i="42"/>
  <c r="Q957" i="42"/>
  <c r="P958" i="42"/>
  <c r="Q958" i="42"/>
  <c r="P959" i="42"/>
  <c r="Q959" i="42"/>
  <c r="P960" i="42"/>
  <c r="Q960" i="42"/>
  <c r="P961" i="42"/>
  <c r="Q961" i="42"/>
  <c r="P962" i="42"/>
  <c r="Q962" i="42"/>
  <c r="P963" i="42"/>
  <c r="Q963" i="42"/>
  <c r="P964" i="42"/>
  <c r="Q964" i="42"/>
  <c r="P965" i="42"/>
  <c r="Q965" i="42"/>
  <c r="P966" i="42"/>
  <c r="Q966" i="42"/>
  <c r="P967" i="42"/>
  <c r="Q967" i="42"/>
  <c r="P968" i="42"/>
  <c r="Q968" i="42"/>
  <c r="P969" i="42"/>
  <c r="Q969" i="42"/>
  <c r="P970" i="42"/>
  <c r="Q970" i="42"/>
  <c r="P971" i="42"/>
  <c r="Q971" i="42"/>
  <c r="P972" i="42"/>
  <c r="Q972" i="42"/>
  <c r="P973" i="42"/>
  <c r="Q973" i="42"/>
  <c r="P974" i="42"/>
  <c r="Q974" i="42"/>
  <c r="P975" i="42"/>
  <c r="Q975" i="42"/>
  <c r="P976" i="42"/>
  <c r="Q976" i="42"/>
  <c r="P977" i="42"/>
  <c r="Q977" i="42"/>
  <c r="P978" i="42"/>
  <c r="Q978" i="42"/>
  <c r="P979" i="42"/>
  <c r="Q979" i="42"/>
  <c r="P980" i="42"/>
  <c r="Q980" i="42"/>
  <c r="P981" i="42"/>
  <c r="Q981" i="42"/>
  <c r="P982" i="42"/>
  <c r="Q982" i="42"/>
  <c r="P983" i="42"/>
  <c r="Q983" i="42"/>
  <c r="P984" i="42"/>
  <c r="Q984" i="42"/>
  <c r="P985" i="42"/>
  <c r="Q985" i="42"/>
  <c r="P986" i="42"/>
  <c r="Q986" i="42"/>
  <c r="P987" i="42"/>
  <c r="Q987" i="42"/>
  <c r="P988" i="42"/>
  <c r="Q988" i="42"/>
  <c r="P989" i="42"/>
  <c r="Q989" i="42"/>
  <c r="P990" i="42"/>
  <c r="Q990" i="42"/>
  <c r="P991" i="42"/>
  <c r="Q991" i="42"/>
  <c r="P992" i="42"/>
  <c r="Q992" i="42"/>
  <c r="P993" i="42"/>
  <c r="Q993" i="42"/>
  <c r="P994" i="42"/>
  <c r="Q994" i="42"/>
  <c r="P995" i="42"/>
  <c r="Q995" i="42"/>
  <c r="P996" i="42"/>
  <c r="Q996" i="42"/>
  <c r="P997" i="42"/>
  <c r="Q997" i="42"/>
  <c r="P998" i="42"/>
  <c r="Q998" i="42"/>
  <c r="P999" i="42"/>
  <c r="Q999" i="42"/>
  <c r="P1000" i="42"/>
  <c r="Q1000" i="42"/>
  <c r="P1001" i="42"/>
  <c r="Q1001" i="42"/>
  <c r="P1002" i="42"/>
  <c r="Q1002" i="42"/>
  <c r="P1003" i="42"/>
  <c r="Q1003" i="42"/>
  <c r="P1004" i="42"/>
  <c r="Q1004" i="42"/>
  <c r="P1005" i="42"/>
  <c r="Q1005" i="42"/>
  <c r="P1006" i="42"/>
  <c r="Q1006" i="42"/>
  <c r="P1007" i="42"/>
  <c r="Q1007" i="42"/>
  <c r="P1008" i="42"/>
  <c r="Q1008" i="42"/>
  <c r="P1009" i="42"/>
  <c r="Q1009" i="42"/>
  <c r="P1010" i="42"/>
  <c r="Q1010" i="42"/>
  <c r="P1011" i="42"/>
  <c r="Q1011" i="42"/>
  <c r="P1012" i="42"/>
  <c r="Q1012" i="42"/>
  <c r="P1013" i="42"/>
  <c r="Q1013" i="42"/>
  <c r="P1014" i="42"/>
  <c r="Q1014" i="42"/>
  <c r="P1015" i="42"/>
  <c r="Q1015" i="42"/>
  <c r="P1016" i="42"/>
  <c r="Q1016" i="42"/>
  <c r="Q17" i="42"/>
  <c r="R21" i="33"/>
  <c r="R18" i="33"/>
  <c r="P29" i="33"/>
  <c r="R29" i="33" s="1"/>
  <c r="P28" i="33"/>
  <c r="R28" i="33" s="1"/>
  <c r="P24" i="33"/>
  <c r="R24" i="33" s="1"/>
  <c r="P25" i="33"/>
  <c r="R25" i="33" s="1"/>
  <c r="P26" i="33"/>
  <c r="R26" i="33" s="1"/>
  <c r="P23" i="33"/>
  <c r="R23" i="33" s="1"/>
  <c r="P20" i="33"/>
  <c r="R20" i="33" s="1"/>
  <c r="P19" i="33"/>
  <c r="R19" i="33" s="1"/>
  <c r="AC18" i="35"/>
  <c r="AD18" i="35"/>
  <c r="AC19" i="35"/>
  <c r="AD19" i="35"/>
  <c r="AC20" i="35"/>
  <c r="AD20" i="35"/>
  <c r="AC21" i="35"/>
  <c r="AD21" i="35"/>
  <c r="AC22" i="35"/>
  <c r="AD22" i="35"/>
  <c r="AC23" i="35"/>
  <c r="AD23" i="35"/>
  <c r="AC24" i="35"/>
  <c r="AD24" i="35"/>
  <c r="AC25" i="35"/>
  <c r="AD25" i="35"/>
  <c r="AC26" i="35"/>
  <c r="AD26" i="35"/>
  <c r="AC27" i="35"/>
  <c r="AD27" i="35"/>
  <c r="AC28" i="35"/>
  <c r="AD28" i="35"/>
  <c r="AC29" i="35"/>
  <c r="AD29" i="35"/>
  <c r="AC30" i="35"/>
  <c r="AD30" i="35"/>
  <c r="AD17" i="35"/>
  <c r="AC17" i="35"/>
  <c r="I11" i="33"/>
  <c r="I12" i="33"/>
  <c r="T1012" i="42" l="1"/>
  <c r="T969" i="42"/>
  <c r="T908" i="42"/>
  <c r="T897" i="42"/>
  <c r="T884" i="42"/>
  <c r="T873" i="42"/>
  <c r="T844" i="42"/>
  <c r="T812" i="42"/>
  <c r="T796" i="42"/>
  <c r="T772" i="42"/>
  <c r="T753" i="42"/>
  <c r="T705" i="42"/>
  <c r="T700" i="42"/>
  <c r="T681" i="42"/>
  <c r="T652" i="42"/>
  <c r="T553" i="42"/>
  <c r="T537" i="42"/>
  <c r="T513" i="42"/>
  <c r="T508" i="42"/>
  <c r="T497" i="42"/>
  <c r="T436" i="42"/>
  <c r="T401" i="42"/>
  <c r="T340" i="42"/>
  <c r="T321" i="42"/>
  <c r="T299" i="42"/>
  <c r="T297" i="42"/>
  <c r="T281" i="42"/>
  <c r="T273" i="42"/>
  <c r="T185" i="42"/>
  <c r="T1001" i="42"/>
  <c r="T988" i="42"/>
  <c r="T977" i="42"/>
  <c r="T964" i="42"/>
  <c r="T953" i="42"/>
  <c r="T940" i="42"/>
  <c r="T929" i="42"/>
  <c r="T921" i="42"/>
  <c r="T916" i="42"/>
  <c r="T905" i="42"/>
  <c r="T892" i="42"/>
  <c r="T881" i="42"/>
  <c r="T868" i="42"/>
  <c r="T857" i="42"/>
  <c r="T849" i="42"/>
  <c r="T833" i="42"/>
  <c r="T825" i="42"/>
  <c r="T820" i="42"/>
  <c r="T809" i="42"/>
  <c r="T785" i="42"/>
  <c r="T777" i="42"/>
  <c r="T761" i="42"/>
  <c r="T748" i="42"/>
  <c r="T737" i="42"/>
  <c r="T729" i="42"/>
  <c r="T724" i="42"/>
  <c r="T713" i="42"/>
  <c r="T689" i="42"/>
  <c r="T676" i="42"/>
  <c r="T665" i="42"/>
  <c r="T657" i="42"/>
  <c r="T641" i="42"/>
  <c r="T633" i="42"/>
  <c r="T628" i="42"/>
  <c r="T617" i="42"/>
  <c r="T609" i="42"/>
  <c r="T593" i="42"/>
  <c r="T585" i="42"/>
  <c r="T580" i="42"/>
  <c r="T572" i="42"/>
  <c r="T569" i="42"/>
  <c r="T556" i="42"/>
  <c r="T545" i="42"/>
  <c r="T532" i="42"/>
  <c r="T521" i="42"/>
  <c r="T484" i="42"/>
  <c r="T473" i="42"/>
  <c r="T465" i="42"/>
  <c r="T460" i="42"/>
  <c r="T449" i="42"/>
  <c r="T425" i="42"/>
  <c r="T417" i="42"/>
  <c r="T412" i="42"/>
  <c r="T393" i="42"/>
  <c r="T388" i="42"/>
  <c r="T380" i="42"/>
  <c r="T377" i="42"/>
  <c r="T369" i="42"/>
  <c r="T364" i="42"/>
  <c r="T329" i="42"/>
  <c r="T305" i="42"/>
  <c r="T292" i="42"/>
  <c r="T268" i="42"/>
  <c r="T265" i="42"/>
  <c r="T257" i="42"/>
  <c r="T241" i="42"/>
  <c r="T235" i="42"/>
  <c r="T233" i="42"/>
  <c r="T220" i="42"/>
  <c r="T209" i="42"/>
  <c r="T195" i="42"/>
  <c r="T171" i="42"/>
  <c r="T163" i="42"/>
  <c r="T161" i="42"/>
  <c r="T147" i="42"/>
  <c r="T137" i="42"/>
  <c r="T129" i="42"/>
  <c r="T123" i="42"/>
  <c r="T121" i="42"/>
  <c r="T68" i="42"/>
  <c r="T44" i="42"/>
  <c r="T99" i="42"/>
  <c r="T75" i="42"/>
  <c r="T51" i="42"/>
  <c r="T27" i="42"/>
  <c r="T97" i="42"/>
  <c r="T73" i="42"/>
  <c r="T105" i="42"/>
  <c r="T81" i="42"/>
  <c r="T57" i="42"/>
  <c r="T33" i="42"/>
  <c r="T49" i="42"/>
  <c r="T107" i="42"/>
  <c r="T83" i="42"/>
  <c r="T59" i="42"/>
  <c r="T35" i="42"/>
  <c r="T76" i="42"/>
  <c r="T52" i="42"/>
  <c r="T28" i="42"/>
  <c r="T84" i="42"/>
  <c r="T60" i="42"/>
  <c r="T36" i="42"/>
  <c r="T115" i="42"/>
  <c r="T91" i="42"/>
  <c r="T67" i="42"/>
  <c r="T43" i="42"/>
  <c r="T19" i="42"/>
  <c r="T113" i="42"/>
  <c r="T65" i="42"/>
  <c r="T41" i="42"/>
  <c r="T89" i="42"/>
  <c r="K12" i="34"/>
  <c r="U217" i="42"/>
  <c r="T645" i="42"/>
  <c r="T637" i="42"/>
  <c r="T629" i="42"/>
  <c r="T613" i="42"/>
  <c r="T605" i="42"/>
  <c r="T597" i="42"/>
  <c r="T589" i="42"/>
  <c r="T581" i="42"/>
  <c r="T573" i="42"/>
  <c r="T565" i="42"/>
  <c r="T557" i="42"/>
  <c r="T549" i="42"/>
  <c r="T541" i="42"/>
  <c r="T525" i="42"/>
  <c r="T1013" i="42"/>
  <c r="T1005" i="42"/>
  <c r="T997" i="42"/>
  <c r="T989" i="42"/>
  <c r="T981" i="42"/>
  <c r="T973" i="42"/>
  <c r="T965" i="42"/>
  <c r="T957" i="42"/>
  <c r="T949" i="42"/>
  <c r="T941" i="42"/>
  <c r="T933" i="42"/>
  <c r="T925" i="42"/>
  <c r="T917" i="42"/>
  <c r="T909" i="42"/>
  <c r="T901" i="42"/>
  <c r="T893" i="42"/>
  <c r="T885" i="42"/>
  <c r="T877" i="42"/>
  <c r="T869" i="42"/>
  <c r="T861" i="42"/>
  <c r="T853" i="42"/>
  <c r="T845" i="42"/>
  <c r="T837" i="42"/>
  <c r="T829" i="42"/>
  <c r="T821" i="42"/>
  <c r="T813" i="42"/>
  <c r="T805" i="42"/>
  <c r="T797" i="42"/>
  <c r="T789" i="42"/>
  <c r="T781" i="42"/>
  <c r="T773" i="42"/>
  <c r="T757" i="42"/>
  <c r="T749" i="42"/>
  <c r="T741" i="42"/>
  <c r="T733" i="42"/>
  <c r="T725" i="42"/>
  <c r="T717" i="42"/>
  <c r="T709" i="42"/>
  <c r="T701" i="42"/>
  <c r="T693" i="42"/>
  <c r="T685" i="42"/>
  <c r="T677" i="42"/>
  <c r="T669" i="42"/>
  <c r="T661" i="42"/>
  <c r="T653" i="42"/>
  <c r="T533" i="42"/>
  <c r="T213" i="42"/>
  <c r="T205" i="42"/>
  <c r="T197" i="42"/>
  <c r="T189" i="42"/>
  <c r="T181" i="42"/>
  <c r="T173" i="42"/>
  <c r="T165" i="42"/>
  <c r="T157" i="42"/>
  <c r="T149" i="42"/>
  <c r="T141" i="42"/>
  <c r="T133" i="42"/>
  <c r="T125" i="42"/>
  <c r="T117" i="42"/>
  <c r="T101" i="42"/>
  <c r="T93" i="42"/>
  <c r="T85" i="42"/>
  <c r="T77" i="42"/>
  <c r="T69" i="42"/>
  <c r="T61" i="42"/>
  <c r="T53" i="42"/>
  <c r="T45" i="42"/>
  <c r="T29" i="42"/>
  <c r="T517" i="42"/>
  <c r="T509" i="42"/>
  <c r="T501" i="42"/>
  <c r="T493" i="42"/>
  <c r="T477" i="42"/>
  <c r="T469" i="42"/>
  <c r="T461" i="42"/>
  <c r="T453" i="42"/>
  <c r="T445" i="42"/>
  <c r="T437" i="42"/>
  <c r="T429" i="42"/>
  <c r="T421" i="42"/>
  <c r="T413" i="42"/>
  <c r="T405" i="42"/>
  <c r="T397" i="42"/>
  <c r="T389" i="42"/>
  <c r="T381" i="42"/>
  <c r="T373" i="42"/>
  <c r="T357" i="42"/>
  <c r="T349" i="42"/>
  <c r="T341" i="42"/>
  <c r="T333" i="42"/>
  <c r="T325" i="42"/>
  <c r="T317" i="42"/>
  <c r="T309" i="42"/>
  <c r="T301" i="42"/>
  <c r="T293" i="42"/>
  <c r="T285" i="42"/>
  <c r="T277" i="42"/>
  <c r="T269" i="42"/>
  <c r="T261" i="42"/>
  <c r="T253" i="42"/>
  <c r="T229" i="42"/>
  <c r="T221" i="42"/>
  <c r="T765" i="42"/>
  <c r="T621" i="42"/>
  <c r="T365" i="42"/>
  <c r="T254" i="42"/>
  <c r="T237" i="42"/>
  <c r="T206" i="42"/>
  <c r="T21" i="42"/>
  <c r="T20" i="42"/>
  <c r="T212" i="42"/>
  <c r="T204" i="42"/>
  <c r="T196" i="42"/>
  <c r="T188" i="42"/>
  <c r="T180" i="42"/>
  <c r="T172" i="42"/>
  <c r="T164" i="42"/>
  <c r="T156" i="42"/>
  <c r="T148" i="42"/>
  <c r="T140" i="42"/>
  <c r="T132" i="42"/>
  <c r="T124" i="42"/>
  <c r="T116" i="42"/>
  <c r="T108" i="42"/>
  <c r="T100" i="42"/>
  <c r="T92" i="42"/>
  <c r="T1015" i="42"/>
  <c r="T1014" i="42"/>
  <c r="T1006" i="42"/>
  <c r="T998" i="42"/>
  <c r="T990" i="42"/>
  <c r="T982" i="42"/>
  <c r="T974" i="42"/>
  <c r="T966" i="42"/>
  <c r="T958" i="42"/>
  <c r="T950" i="42"/>
  <c r="T942" i="42"/>
  <c r="T934" i="42"/>
  <c r="T926" i="42"/>
  <c r="T918" i="42"/>
  <c r="T910" i="42"/>
  <c r="T902" i="42"/>
  <c r="T894" i="42"/>
  <c r="T886" i="42"/>
  <c r="T878" i="42"/>
  <c r="T870" i="42"/>
  <c r="T862" i="42"/>
  <c r="T854" i="42"/>
  <c r="T846" i="42"/>
  <c r="T838" i="42"/>
  <c r="T830" i="42"/>
  <c r="T822" i="42"/>
  <c r="T814" i="42"/>
  <c r="T806" i="42"/>
  <c r="T798" i="42"/>
  <c r="T790" i="42"/>
  <c r="T782" i="42"/>
  <c r="T774" i="42"/>
  <c r="T766" i="42"/>
  <c r="T758" i="42"/>
  <c r="T750" i="42"/>
  <c r="T742" i="42"/>
  <c r="T734" i="42"/>
  <c r="T726" i="42"/>
  <c r="T718" i="42"/>
  <c r="T710" i="42"/>
  <c r="T702" i="42"/>
  <c r="T694" i="42"/>
  <c r="T686" i="42"/>
  <c r="T678" i="42"/>
  <c r="T670" i="42"/>
  <c r="T662" i="42"/>
  <c r="T654" i="42"/>
  <c r="T646" i="42"/>
  <c r="T638" i="42"/>
  <c r="T630" i="42"/>
  <c r="T622" i="42"/>
  <c r="T614" i="42"/>
  <c r="T606" i="42"/>
  <c r="T598" i="42"/>
  <c r="T590" i="42"/>
  <c r="T582" i="42"/>
  <c r="T574" i="42"/>
  <c r="T566" i="42"/>
  <c r="T558" i="42"/>
  <c r="T550" i="42"/>
  <c r="T542" i="42"/>
  <c r="T534" i="42"/>
  <c r="T526" i="42"/>
  <c r="T518" i="42"/>
  <c r="T510" i="42"/>
  <c r="T502" i="42"/>
  <c r="T494" i="42"/>
  <c r="T486" i="42"/>
  <c r="T485" i="42"/>
  <c r="T478" i="42"/>
  <c r="T470" i="42"/>
  <c r="T462" i="42"/>
  <c r="T454" i="42"/>
  <c r="T446" i="42"/>
  <c r="T438" i="42"/>
  <c r="T430" i="42"/>
  <c r="T422" i="42"/>
  <c r="T414" i="42"/>
  <c r="T406" i="42"/>
  <c r="T398" i="42"/>
  <c r="T390" i="42"/>
  <c r="T382" i="42"/>
  <c r="T374" i="42"/>
  <c r="T366" i="42"/>
  <c r="T358" i="42"/>
  <c r="T350" i="42"/>
  <c r="T342" i="42"/>
  <c r="T334" i="42"/>
  <c r="T326" i="42"/>
  <c r="T318" i="42"/>
  <c r="T310" i="42"/>
  <c r="T302" i="42"/>
  <c r="T294" i="42"/>
  <c r="T286" i="42"/>
  <c r="T278" i="42"/>
  <c r="T270" i="42"/>
  <c r="T262" i="42"/>
  <c r="T246" i="42"/>
  <c r="T245" i="42"/>
  <c r="T238" i="42"/>
  <c r="T230" i="42"/>
  <c r="T225" i="42"/>
  <c r="T222" i="42"/>
  <c r="T214" i="42"/>
  <c r="T198" i="42"/>
  <c r="T190" i="42"/>
  <c r="T182" i="42"/>
  <c r="T174" i="42"/>
  <c r="T166" i="42"/>
  <c r="T158" i="42"/>
  <c r="T150" i="42"/>
  <c r="T142" i="42"/>
  <c r="T134" i="42"/>
  <c r="T126" i="42"/>
  <c r="T118" i="42"/>
  <c r="T110" i="42"/>
  <c r="T109" i="42"/>
  <c r="T102" i="42"/>
  <c r="T94" i="42"/>
  <c r="T86" i="42"/>
  <c r="T78" i="42"/>
  <c r="T70" i="42"/>
  <c r="T62" i="42"/>
  <c r="T54" i="42"/>
  <c r="T46" i="42"/>
  <c r="T38" i="42"/>
  <c r="T37" i="42"/>
  <c r="T30" i="42"/>
  <c r="T25" i="42"/>
  <c r="T22" i="42"/>
  <c r="T1007" i="42"/>
  <c r="T999" i="42"/>
  <c r="T991" i="42"/>
  <c r="T983" i="42"/>
  <c r="T975" i="42"/>
  <c r="T967" i="42"/>
  <c r="T959" i="42"/>
  <c r="T951" i="42"/>
  <c r="T943" i="42"/>
  <c r="T935" i="42"/>
  <c r="T927" i="42"/>
  <c r="T919" i="42"/>
  <c r="T911" i="42"/>
  <c r="T903" i="42"/>
  <c r="T895" i="42"/>
  <c r="T1011" i="42"/>
  <c r="T1003" i="42"/>
  <c r="T995" i="42"/>
  <c r="T987" i="42"/>
  <c r="T979" i="42"/>
  <c r="T971" i="42"/>
  <c r="T963" i="42"/>
  <c r="T955" i="42"/>
  <c r="T947" i="42"/>
  <c r="T939" i="42"/>
  <c r="T931" i="42"/>
  <c r="T923" i="42"/>
  <c r="T915" i="42"/>
  <c r="T907" i="42"/>
  <c r="T899" i="42"/>
  <c r="T891" i="42"/>
  <c r="T883" i="42"/>
  <c r="T875" i="42"/>
  <c r="T867" i="42"/>
  <c r="T859" i="42"/>
  <c r="T851" i="42"/>
  <c r="T843" i="42"/>
  <c r="T835" i="42"/>
  <c r="T827" i="42"/>
  <c r="T819" i="42"/>
  <c r="T811" i="42"/>
  <c r="T803" i="42"/>
  <c r="T795" i="42"/>
  <c r="T787" i="42"/>
  <c r="T779" i="42"/>
  <c r="T771" i="42"/>
  <c r="T763" i="42"/>
  <c r="T755" i="42"/>
  <c r="T747" i="42"/>
  <c r="T739" i="42"/>
  <c r="T731" i="42"/>
  <c r="T723" i="42"/>
  <c r="T715" i="42"/>
  <c r="T707" i="42"/>
  <c r="T699" i="42"/>
  <c r="T691" i="42"/>
  <c r="T683" i="42"/>
  <c r="T675" i="42"/>
  <c r="T667" i="42"/>
  <c r="T659" i="42"/>
  <c r="T651" i="42"/>
  <c r="T643" i="42"/>
  <c r="T635" i="42"/>
  <c r="T627" i="42"/>
  <c r="T619" i="42"/>
  <c r="T611" i="42"/>
  <c r="T603" i="42"/>
  <c r="T595" i="42"/>
  <c r="T587" i="42"/>
  <c r="T579" i="42"/>
  <c r="T571" i="42"/>
  <c r="T563" i="42"/>
  <c r="T555" i="42"/>
  <c r="T547" i="42"/>
  <c r="T539" i="42"/>
  <c r="T531" i="42"/>
  <c r="T523" i="42"/>
  <c r="T515" i="42"/>
  <c r="T507" i="42"/>
  <c r="T499" i="42"/>
  <c r="T491" i="42"/>
  <c r="T483" i="42"/>
  <c r="T475" i="42"/>
  <c r="T467" i="42"/>
  <c r="T459" i="42"/>
  <c r="T451" i="42"/>
  <c r="T443" i="42"/>
  <c r="T435" i="42"/>
  <c r="T427" i="42"/>
  <c r="T419" i="42"/>
  <c r="T411" i="42"/>
  <c r="T403" i="42"/>
  <c r="T395" i="42"/>
  <c r="T387" i="42"/>
  <c r="T379" i="42"/>
  <c r="T371" i="42"/>
  <c r="T363" i="42"/>
  <c r="T355" i="42"/>
  <c r="T347" i="42"/>
  <c r="T339" i="42"/>
  <c r="T887" i="42"/>
  <c r="T879" i="42"/>
  <c r="T871" i="42"/>
  <c r="T863" i="42"/>
  <c r="T855" i="42"/>
  <c r="T847" i="42"/>
  <c r="T839" i="42"/>
  <c r="T831" i="42"/>
  <c r="T823" i="42"/>
  <c r="T815" i="42"/>
  <c r="T807" i="42"/>
  <c r="T799" i="42"/>
  <c r="T791" i="42"/>
  <c r="T783" i="42"/>
  <c r="T775" i="42"/>
  <c r="T767" i="42"/>
  <c r="T759" i="42"/>
  <c r="T751" i="42"/>
  <c r="T743" i="42"/>
  <c r="T735" i="42"/>
  <c r="T727" i="42"/>
  <c r="T719" i="42"/>
  <c r="T711" i="42"/>
  <c r="T703" i="42"/>
  <c r="T695" i="42"/>
  <c r="T687" i="42"/>
  <c r="T679" i="42"/>
  <c r="T671" i="42"/>
  <c r="T663" i="42"/>
  <c r="T655" i="42"/>
  <c r="T647" i="42"/>
  <c r="T639" i="42"/>
  <c r="T631" i="42"/>
  <c r="T623" i="42"/>
  <c r="T216" i="42"/>
  <c r="T208" i="42"/>
  <c r="T200" i="42"/>
  <c r="T192" i="42"/>
  <c r="T184" i="42"/>
  <c r="T176" i="42"/>
  <c r="T168" i="42"/>
  <c r="T160" i="42"/>
  <c r="T152" i="42"/>
  <c r="T144" i="42"/>
  <c r="T136" i="42"/>
  <c r="T128" i="42"/>
  <c r="T120" i="42"/>
  <c r="T112" i="42"/>
  <c r="T104" i="42"/>
  <c r="T96" i="42"/>
  <c r="T88" i="42"/>
  <c r="T80" i="42"/>
  <c r="T72" i="42"/>
  <c r="T64" i="42"/>
  <c r="T1016" i="42"/>
  <c r="T1008" i="42"/>
  <c r="T215" i="42"/>
  <c r="T207" i="42"/>
  <c r="T199" i="42"/>
  <c r="T191" i="42"/>
  <c r="T183" i="42"/>
  <c r="T175" i="42"/>
  <c r="T167" i="42"/>
  <c r="T159" i="42"/>
  <c r="T151" i="42"/>
  <c r="T143" i="42"/>
  <c r="T135" i="42"/>
  <c r="T127" i="42"/>
  <c r="T119" i="42"/>
  <c r="T111" i="42"/>
  <c r="T103" i="42"/>
  <c r="T95" i="42"/>
  <c r="T87" i="42"/>
  <c r="T79" i="42"/>
  <c r="T71" i="42"/>
  <c r="T63" i="42"/>
  <c r="T55" i="42"/>
  <c r="T47" i="42"/>
  <c r="T39" i="42"/>
  <c r="T31" i="42"/>
  <c r="T23" i="42"/>
  <c r="T615" i="42"/>
  <c r="T607" i="42"/>
  <c r="T599" i="42"/>
  <c r="T591" i="42"/>
  <c r="T583" i="42"/>
  <c r="T575" i="42"/>
  <c r="T567" i="42"/>
  <c r="T559" i="42"/>
  <c r="T551" i="42"/>
  <c r="T543" i="42"/>
  <c r="T535" i="42"/>
  <c r="T527" i="42"/>
  <c r="T519" i="42"/>
  <c r="T511" i="42"/>
  <c r="T503" i="42"/>
  <c r="T495" i="42"/>
  <c r="T487" i="42"/>
  <c r="T479" i="42"/>
  <c r="T471" i="42"/>
  <c r="T463" i="42"/>
  <c r="T455" i="42"/>
  <c r="T447" i="42"/>
  <c r="T439" i="42"/>
  <c r="T431" i="42"/>
  <c r="T423" i="42"/>
  <c r="T415" i="42"/>
  <c r="T223" i="42"/>
  <c r="T407" i="42"/>
  <c r="T399" i="42"/>
  <c r="T391" i="42"/>
  <c r="T383" i="42"/>
  <c r="T375" i="42"/>
  <c r="T367" i="42"/>
  <c r="T359" i="42"/>
  <c r="T351" i="42"/>
  <c r="T343" i="42"/>
  <c r="T335" i="42"/>
  <c r="T327" i="42"/>
  <c r="T319" i="42"/>
  <c r="T311" i="42"/>
  <c r="T303" i="42"/>
  <c r="T295" i="42"/>
  <c r="T287" i="42"/>
  <c r="T279" i="42"/>
  <c r="T271" i="42"/>
  <c r="T263" i="42"/>
  <c r="T255" i="42"/>
  <c r="T247" i="42"/>
  <c r="T239" i="42"/>
  <c r="T231" i="42"/>
  <c r="T1000" i="42"/>
  <c r="T992" i="42"/>
  <c r="T984" i="42"/>
  <c r="T976" i="42"/>
  <c r="T968" i="42"/>
  <c r="T960" i="42"/>
  <c r="T952" i="42"/>
  <c r="T944" i="42"/>
  <c r="T936" i="42"/>
  <c r="T928" i="42"/>
  <c r="T920" i="42"/>
  <c r="T912" i="42"/>
  <c r="T904" i="42"/>
  <c r="T896" i="42"/>
  <c r="T888" i="42"/>
  <c r="T880" i="42"/>
  <c r="T872" i="42"/>
  <c r="T864" i="42"/>
  <c r="T856" i="42"/>
  <c r="T848" i="42"/>
  <c r="T56" i="42"/>
  <c r="T48" i="42"/>
  <c r="T40" i="42"/>
  <c r="T32" i="42"/>
  <c r="T24" i="42"/>
  <c r="T840" i="42"/>
  <c r="T832" i="42"/>
  <c r="T824" i="42"/>
  <c r="T816" i="42"/>
  <c r="T808" i="42"/>
  <c r="T800" i="42"/>
  <c r="T792" i="42"/>
  <c r="T784" i="42"/>
  <c r="T776" i="42"/>
  <c r="T768" i="42"/>
  <c r="T760" i="42"/>
  <c r="T752" i="42"/>
  <c r="T744" i="42"/>
  <c r="T736" i="42"/>
  <c r="T728" i="42"/>
  <c r="T720" i="42"/>
  <c r="T712" i="42"/>
  <c r="T704" i="42"/>
  <c r="T696" i="42"/>
  <c r="T688" i="42"/>
  <c r="T680" i="42"/>
  <c r="T672" i="42"/>
  <c r="T664" i="42"/>
  <c r="T656" i="42"/>
  <c r="T648" i="42"/>
  <c r="T640" i="42"/>
  <c r="T632" i="42"/>
  <c r="T624" i="42"/>
  <c r="T616" i="42"/>
  <c r="T608" i="42"/>
  <c r="T600" i="42"/>
  <c r="T592" i="42"/>
  <c r="T584" i="42"/>
  <c r="T576" i="42"/>
  <c r="T568" i="42"/>
  <c r="T560" i="42"/>
  <c r="T552" i="42"/>
  <c r="T544" i="42"/>
  <c r="T536" i="42"/>
  <c r="T528" i="42"/>
  <c r="T520" i="42"/>
  <c r="T512" i="42"/>
  <c r="T504" i="42"/>
  <c r="T496" i="42"/>
  <c r="T488" i="42"/>
  <c r="T480" i="42"/>
  <c r="T472" i="42"/>
  <c r="T464" i="42"/>
  <c r="T456" i="42"/>
  <c r="T448" i="42"/>
  <c r="T440" i="42"/>
  <c r="T432" i="42"/>
  <c r="T424" i="42"/>
  <c r="T416" i="42"/>
  <c r="T408" i="42"/>
  <c r="T400" i="42"/>
  <c r="T392" i="42"/>
  <c r="T384" i="42"/>
  <c r="T376" i="42"/>
  <c r="T368" i="42"/>
  <c r="T360" i="42"/>
  <c r="T352" i="42"/>
  <c r="T344" i="42"/>
  <c r="T336" i="42"/>
  <c r="T328" i="42"/>
  <c r="T320" i="42"/>
  <c r="T312" i="42"/>
  <c r="T304" i="42"/>
  <c r="T296" i="42"/>
  <c r="T288" i="42"/>
  <c r="T280" i="42"/>
  <c r="T272" i="42"/>
  <c r="T264" i="42"/>
  <c r="T256" i="42"/>
  <c r="T248" i="42"/>
  <c r="T240" i="42"/>
  <c r="T232" i="42"/>
  <c r="T224" i="42"/>
  <c r="T210" i="42"/>
  <c r="T202" i="42"/>
  <c r="T194" i="42"/>
  <c r="T186" i="42"/>
  <c r="T178" i="42"/>
  <c r="T170" i="42"/>
  <c r="T162" i="42"/>
  <c r="T154" i="42"/>
  <c r="T146" i="42"/>
  <c r="T138" i="42"/>
  <c r="T130" i="42"/>
  <c r="T122" i="42"/>
  <c r="T114" i="42"/>
  <c r="T106" i="42"/>
  <c r="T98" i="42"/>
  <c r="T90" i="42"/>
  <c r="T82" i="42"/>
  <c r="T74" i="42"/>
  <c r="T66" i="42"/>
  <c r="T58" i="42"/>
  <c r="T50" i="42"/>
  <c r="T42" i="42"/>
  <c r="T34" i="42"/>
  <c r="T26" i="42"/>
  <c r="T18" i="42"/>
  <c r="T1002" i="42"/>
  <c r="T970" i="42"/>
  <c r="T946" i="42"/>
  <c r="T914" i="42"/>
  <c r="T890" i="42"/>
  <c r="T866" i="42"/>
  <c r="T842" i="42"/>
  <c r="T834" i="42"/>
  <c r="T826" i="42"/>
  <c r="T810" i="42"/>
  <c r="T802" i="42"/>
  <c r="T794" i="42"/>
  <c r="T778" i="42"/>
  <c r="T770" i="42"/>
  <c r="T762" i="42"/>
  <c r="T754" i="42"/>
  <c r="T746" i="42"/>
  <c r="T738" i="42"/>
  <c r="T730" i="42"/>
  <c r="T722" i="42"/>
  <c r="T714" i="42"/>
  <c r="T706" i="42"/>
  <c r="T698" i="42"/>
  <c r="T690" i="42"/>
  <c r="T682" i="42"/>
  <c r="T674" i="42"/>
  <c r="T666" i="42"/>
  <c r="T658" i="42"/>
  <c r="T650" i="42"/>
  <c r="T642" i="42"/>
  <c r="T634" i="42"/>
  <c r="T626" i="42"/>
  <c r="T618" i="42"/>
  <c r="T610" i="42"/>
  <c r="T602" i="42"/>
  <c r="T594" i="42"/>
  <c r="T586" i="42"/>
  <c r="T578" i="42"/>
  <c r="T570" i="42"/>
  <c r="T562" i="42"/>
  <c r="T554" i="42"/>
  <c r="T546" i="42"/>
  <c r="T538" i="42"/>
  <c r="T530" i="42"/>
  <c r="T522" i="42"/>
  <c r="T514" i="42"/>
  <c r="T506" i="42"/>
  <c r="T498" i="42"/>
  <c r="T490" i="42"/>
  <c r="T482" i="42"/>
  <c r="T474" i="42"/>
  <c r="T466" i="42"/>
  <c r="T458" i="42"/>
  <c r="T450" i="42"/>
  <c r="T442" i="42"/>
  <c r="T434" i="42"/>
  <c r="T426" i="42"/>
  <c r="T418" i="42"/>
  <c r="T410" i="42"/>
  <c r="T402" i="42"/>
  <c r="T394" i="42"/>
  <c r="T386" i="42"/>
  <c r="T378" i="42"/>
  <c r="T370" i="42"/>
  <c r="T362" i="42"/>
  <c r="T354" i="42"/>
  <c r="T346" i="42"/>
  <c r="T338" i="42"/>
  <c r="T330" i="42"/>
  <c r="T322" i="42"/>
  <c r="T314" i="42"/>
  <c r="T306" i="42"/>
  <c r="T298" i="42"/>
  <c r="T290" i="42"/>
  <c r="T282" i="42"/>
  <c r="T274" i="42"/>
  <c r="T266" i="42"/>
  <c r="T258" i="42"/>
  <c r="T250" i="42"/>
  <c r="T242" i="42"/>
  <c r="T234" i="42"/>
  <c r="T226" i="42"/>
  <c r="T218" i="42"/>
  <c r="T1010" i="42"/>
  <c r="T986" i="42"/>
  <c r="T962" i="42"/>
  <c r="T930" i="42"/>
  <c r="T898" i="42"/>
  <c r="T874" i="42"/>
  <c r="T850" i="42"/>
  <c r="T786" i="42"/>
  <c r="T994" i="42"/>
  <c r="T978" i="42"/>
  <c r="T954" i="42"/>
  <c r="T938" i="42"/>
  <c r="T922" i="42"/>
  <c r="T906" i="42"/>
  <c r="T882" i="42"/>
  <c r="T858" i="42"/>
  <c r="T818" i="42"/>
  <c r="U17" i="42"/>
  <c r="T17" i="42"/>
  <c r="U1016" i="42"/>
  <c r="U1008" i="42"/>
  <c r="U1000" i="42"/>
  <c r="U992" i="42"/>
  <c r="U984" i="42"/>
  <c r="U976" i="42"/>
  <c r="U1015" i="42"/>
  <c r="U1007" i="42"/>
  <c r="U999" i="42"/>
  <c r="U991" i="42"/>
  <c r="U1010" i="42"/>
  <c r="U1002" i="42"/>
  <c r="U994" i="42"/>
  <c r="U986" i="42"/>
  <c r="U978" i="42"/>
  <c r="U970" i="42"/>
  <c r="U962" i="42"/>
  <c r="U954" i="42"/>
  <c r="U946" i="42"/>
  <c r="U938" i="42"/>
  <c r="U930" i="42"/>
  <c r="U922" i="42"/>
  <c r="U914" i="42"/>
  <c r="U906" i="42"/>
  <c r="U898" i="42"/>
  <c r="U890" i="42"/>
  <c r="U882" i="42"/>
  <c r="U874" i="42"/>
  <c r="U866" i="42"/>
  <c r="U858" i="42"/>
  <c r="U850" i="42"/>
  <c r="U842" i="42"/>
  <c r="U834" i="42"/>
  <c r="U826" i="42"/>
  <c r="U818" i="42"/>
  <c r="U810" i="42"/>
  <c r="U802" i="42"/>
  <c r="U794" i="42"/>
  <c r="U786" i="42"/>
  <c r="U778" i="42"/>
  <c r="U770" i="42"/>
  <c r="U762" i="42"/>
  <c r="U754" i="42"/>
  <c r="U746" i="42"/>
  <c r="U738" i="42"/>
  <c r="U730" i="42"/>
  <c r="U722" i="42"/>
  <c r="U714" i="42"/>
  <c r="U706" i="42"/>
  <c r="U698" i="42"/>
  <c r="U690" i="42"/>
  <c r="U682" i="42"/>
  <c r="U674" i="42"/>
  <c r="U666" i="42"/>
  <c r="U658" i="42"/>
  <c r="U650" i="42"/>
  <c r="U642" i="42"/>
  <c r="U634" i="42"/>
  <c r="U626" i="42"/>
  <c r="U618" i="42"/>
  <c r="U610" i="42"/>
  <c r="U602" i="42"/>
  <c r="U594" i="42"/>
  <c r="U586" i="42"/>
  <c r="U578" i="42"/>
  <c r="U570" i="42"/>
  <c r="U562" i="42"/>
  <c r="U554" i="42"/>
  <c r="U546" i="42"/>
  <c r="U538" i="42"/>
  <c r="U530" i="42"/>
  <c r="U522" i="42"/>
  <c r="U514" i="42"/>
  <c r="U506" i="42"/>
  <c r="U498" i="42"/>
  <c r="U490" i="42"/>
  <c r="U482" i="42"/>
  <c r="U1009" i="42"/>
  <c r="U1001" i="42"/>
  <c r="U993" i="42"/>
  <c r="U985" i="42"/>
  <c r="U977" i="42"/>
  <c r="U969" i="42"/>
  <c r="U961" i="42"/>
  <c r="U953" i="42"/>
  <c r="U945" i="42"/>
  <c r="U937" i="42"/>
  <c r="U929" i="42"/>
  <c r="U921" i="42"/>
  <c r="U913" i="42"/>
  <c r="U905" i="42"/>
  <c r="U897" i="42"/>
  <c r="U889" i="42"/>
  <c r="U881" i="42"/>
  <c r="U873" i="42"/>
  <c r="U865" i="42"/>
  <c r="U857" i="42"/>
  <c r="U849" i="42"/>
  <c r="U841" i="42"/>
  <c r="U833" i="42"/>
  <c r="U825" i="42"/>
  <c r="U817" i="42"/>
  <c r="U809" i="42"/>
  <c r="U801" i="42"/>
  <c r="U793" i="42"/>
  <c r="U785" i="42"/>
  <c r="U777" i="42"/>
  <c r="U769" i="42"/>
  <c r="U761" i="42"/>
  <c r="U753" i="42"/>
  <c r="U745" i="42"/>
  <c r="U737" i="42"/>
  <c r="U729" i="42"/>
  <c r="U721" i="42"/>
  <c r="U713" i="42"/>
  <c r="U705" i="42"/>
  <c r="U697" i="42"/>
  <c r="U689" i="42"/>
  <c r="U681" i="42"/>
  <c r="U673" i="42"/>
  <c r="U665" i="42"/>
  <c r="U657" i="42"/>
  <c r="U649" i="42"/>
  <c r="U641" i="42"/>
  <c r="U633" i="42"/>
  <c r="U625" i="42"/>
  <c r="U617" i="42"/>
  <c r="U609" i="42"/>
  <c r="U601" i="42"/>
  <c r="U593" i="42"/>
  <c r="U585" i="42"/>
  <c r="U577" i="42"/>
  <c r="U569" i="42"/>
  <c r="U561" i="42"/>
  <c r="U553" i="42"/>
  <c r="U545" i="42"/>
  <c r="U537" i="42"/>
  <c r="U529" i="42"/>
  <c r="U521" i="42"/>
  <c r="U513" i="42"/>
  <c r="U505" i="42"/>
  <c r="U497" i="42"/>
  <c r="U489" i="42"/>
  <c r="U481" i="42"/>
  <c r="U473" i="42"/>
  <c r="U465" i="42"/>
  <c r="U457" i="42"/>
  <c r="U968" i="42"/>
  <c r="U960" i="42"/>
  <c r="U952" i="42"/>
  <c r="U944" i="42"/>
  <c r="U936" i="42"/>
  <c r="U928" i="42"/>
  <c r="U920" i="42"/>
  <c r="U912" i="42"/>
  <c r="U904" i="42"/>
  <c r="U896" i="42"/>
  <c r="U888" i="42"/>
  <c r="U880" i="42"/>
  <c r="U872" i="42"/>
  <c r="U864" i="42"/>
  <c r="U856" i="42"/>
  <c r="U848" i="42"/>
  <c r="U840" i="42"/>
  <c r="U832" i="42"/>
  <c r="U824" i="42"/>
  <c r="U816" i="42"/>
  <c r="U808" i="42"/>
  <c r="U800" i="42"/>
  <c r="U792" i="42"/>
  <c r="U784" i="42"/>
  <c r="U776" i="42"/>
  <c r="U768" i="42"/>
  <c r="U760" i="42"/>
  <c r="U752" i="42"/>
  <c r="U744" i="42"/>
  <c r="U736" i="42"/>
  <c r="U728" i="42"/>
  <c r="U720" i="42"/>
  <c r="U712" i="42"/>
  <c r="U704" i="42"/>
  <c r="U696" i="42"/>
  <c r="U688" i="42"/>
  <c r="U680" i="42"/>
  <c r="U672" i="42"/>
  <c r="U664" i="42"/>
  <c r="U656" i="42"/>
  <c r="U648" i="42"/>
  <c r="U640" i="42"/>
  <c r="U632" i="42"/>
  <c r="U624" i="42"/>
  <c r="U616" i="42"/>
  <c r="U608" i="42"/>
  <c r="U600" i="42"/>
  <c r="U592" i="42"/>
  <c r="U584" i="42"/>
  <c r="U576" i="42"/>
  <c r="U568" i="42"/>
  <c r="U560" i="42"/>
  <c r="U552" i="42"/>
  <c r="U544" i="42"/>
  <c r="U536" i="42"/>
  <c r="U528" i="42"/>
  <c r="U520" i="42"/>
  <c r="U512" i="42"/>
  <c r="U504" i="42"/>
  <c r="U496" i="42"/>
  <c r="U488" i="42"/>
  <c r="U480" i="42"/>
  <c r="U472" i="42"/>
  <c r="U464" i="42"/>
  <c r="U456" i="42"/>
  <c r="U448" i="42"/>
  <c r="U440" i="42"/>
  <c r="U432" i="42"/>
  <c r="U424" i="42"/>
  <c r="U416" i="42"/>
  <c r="U408" i="42"/>
  <c r="U400" i="42"/>
  <c r="U392" i="42"/>
  <c r="U384" i="42"/>
  <c r="U376" i="42"/>
  <c r="U368" i="42"/>
  <c r="U360" i="42"/>
  <c r="U352" i="42"/>
  <c r="U344" i="42"/>
  <c r="U336" i="42"/>
  <c r="U328" i="42"/>
  <c r="U320" i="42"/>
  <c r="U312" i="42"/>
  <c r="U983" i="42"/>
  <c r="U975" i="42"/>
  <c r="U967" i="42"/>
  <c r="U959" i="42"/>
  <c r="U951" i="42"/>
  <c r="U943" i="42"/>
  <c r="U935" i="42"/>
  <c r="U927" i="42"/>
  <c r="U919" i="42"/>
  <c r="U911" i="42"/>
  <c r="U903" i="42"/>
  <c r="U895" i="42"/>
  <c r="U887" i="42"/>
  <c r="U879" i="42"/>
  <c r="U871" i="42"/>
  <c r="U863" i="42"/>
  <c r="U855" i="42"/>
  <c r="U847" i="42"/>
  <c r="U839" i="42"/>
  <c r="U831" i="42"/>
  <c r="U823" i="42"/>
  <c r="U815" i="42"/>
  <c r="U807" i="42"/>
  <c r="U799" i="42"/>
  <c r="U791" i="42"/>
  <c r="U783" i="42"/>
  <c r="U775" i="42"/>
  <c r="U767" i="42"/>
  <c r="U759" i="42"/>
  <c r="U751" i="42"/>
  <c r="U743" i="42"/>
  <c r="U735" i="42"/>
  <c r="U727" i="42"/>
  <c r="U719" i="42"/>
  <c r="U711" i="42"/>
  <c r="U703" i="42"/>
  <c r="U695" i="42"/>
  <c r="U687" i="42"/>
  <c r="U679" i="42"/>
  <c r="U671" i="42"/>
  <c r="U663" i="42"/>
  <c r="U655" i="42"/>
  <c r="U647" i="42"/>
  <c r="U639" i="42"/>
  <c r="U631" i="42"/>
  <c r="U623" i="42"/>
  <c r="U615" i="42"/>
  <c r="U607" i="42"/>
  <c r="U599" i="42"/>
  <c r="U591" i="42"/>
  <c r="U583" i="42"/>
  <c r="U575" i="42"/>
  <c r="U567" i="42"/>
  <c r="U559" i="42"/>
  <c r="U551" i="42"/>
  <c r="U543" i="42"/>
  <c r="U535" i="42"/>
  <c r="U527" i="42"/>
  <c r="U519" i="42"/>
  <c r="U511" i="42"/>
  <c r="U503" i="42"/>
  <c r="U495" i="42"/>
  <c r="U487" i="42"/>
  <c r="U479" i="42"/>
  <c r="U471" i="42"/>
  <c r="U463" i="42"/>
  <c r="U455" i="42"/>
  <c r="U447" i="42"/>
  <c r="U439" i="42"/>
  <c r="U431" i="42"/>
  <c r="U423" i="42"/>
  <c r="U415" i="42"/>
  <c r="U407" i="42"/>
  <c r="U399" i="42"/>
  <c r="U391" i="42"/>
  <c r="U383" i="42"/>
  <c r="U375" i="42"/>
  <c r="U367" i="42"/>
  <c r="U359" i="42"/>
  <c r="U351" i="42"/>
  <c r="U343" i="42"/>
  <c r="U335" i="42"/>
  <c r="U327" i="42"/>
  <c r="U319" i="42"/>
  <c r="U311" i="42"/>
  <c r="U1014" i="42"/>
  <c r="U1006" i="42"/>
  <c r="U998" i="42"/>
  <c r="U990" i="42"/>
  <c r="U982" i="42"/>
  <c r="U974" i="42"/>
  <c r="U966" i="42"/>
  <c r="U958" i="42"/>
  <c r="U950" i="42"/>
  <c r="U942" i="42"/>
  <c r="U934" i="42"/>
  <c r="U926" i="42"/>
  <c r="U918" i="42"/>
  <c r="U910" i="42"/>
  <c r="U902" i="42"/>
  <c r="U894" i="42"/>
  <c r="U886" i="42"/>
  <c r="U878" i="42"/>
  <c r="U870" i="42"/>
  <c r="U862" i="42"/>
  <c r="U854" i="42"/>
  <c r="U846" i="42"/>
  <c r="U838" i="42"/>
  <c r="U830" i="42"/>
  <c r="U822" i="42"/>
  <c r="U814" i="42"/>
  <c r="U806" i="42"/>
  <c r="U798" i="42"/>
  <c r="U790" i="42"/>
  <c r="U782" i="42"/>
  <c r="U774" i="42"/>
  <c r="U766" i="42"/>
  <c r="U758" i="42"/>
  <c r="U750" i="42"/>
  <c r="U742" i="42"/>
  <c r="U734" i="42"/>
  <c r="U726" i="42"/>
  <c r="U718" i="42"/>
  <c r="U710" i="42"/>
  <c r="U702" i="42"/>
  <c r="U694" i="42"/>
  <c r="U686" i="42"/>
  <c r="U678" i="42"/>
  <c r="U670" i="42"/>
  <c r="U662" i="42"/>
  <c r="U654" i="42"/>
  <c r="U646" i="42"/>
  <c r="U638" i="42"/>
  <c r="U630" i="42"/>
  <c r="U622" i="42"/>
  <c r="U614" i="42"/>
  <c r="U606" i="42"/>
  <c r="U598" i="42"/>
  <c r="U590" i="42"/>
  <c r="U582" i="42"/>
  <c r="U574" i="42"/>
  <c r="U566" i="42"/>
  <c r="U558" i="42"/>
  <c r="U550" i="42"/>
  <c r="U542" i="42"/>
  <c r="U534" i="42"/>
  <c r="U526" i="42"/>
  <c r="U518" i="42"/>
  <c r="U510" i="42"/>
  <c r="U502" i="42"/>
  <c r="U494" i="42"/>
  <c r="U486" i="42"/>
  <c r="U478" i="42"/>
  <c r="U470" i="42"/>
  <c r="U462" i="42"/>
  <c r="U454" i="42"/>
  <c r="U446" i="42"/>
  <c r="U438" i="42"/>
  <c r="U430" i="42"/>
  <c r="U422" i="42"/>
  <c r="U414" i="42"/>
  <c r="U406" i="42"/>
  <c r="U398" i="42"/>
  <c r="U390" i="42"/>
  <c r="U382" i="42"/>
  <c r="U374" i="42"/>
  <c r="U366" i="42"/>
  <c r="U358" i="42"/>
  <c r="U350" i="42"/>
  <c r="U342" i="42"/>
  <c r="U334" i="42"/>
  <c r="U326" i="42"/>
  <c r="U1013" i="42"/>
  <c r="U1005" i="42"/>
  <c r="U997" i="42"/>
  <c r="U989" i="42"/>
  <c r="U981" i="42"/>
  <c r="U973" i="42"/>
  <c r="U965" i="42"/>
  <c r="U957" i="42"/>
  <c r="U949" i="42"/>
  <c r="U941" i="42"/>
  <c r="U933" i="42"/>
  <c r="U925" i="42"/>
  <c r="U917" i="42"/>
  <c r="U909" i="42"/>
  <c r="U901" i="42"/>
  <c r="U893" i="42"/>
  <c r="U885" i="42"/>
  <c r="U877" i="42"/>
  <c r="U869" i="42"/>
  <c r="U861" i="42"/>
  <c r="U853" i="42"/>
  <c r="U845" i="42"/>
  <c r="U837" i="42"/>
  <c r="U829" i="42"/>
  <c r="U821" i="42"/>
  <c r="U813" i="42"/>
  <c r="U805" i="42"/>
  <c r="U797" i="42"/>
  <c r="U789" i="42"/>
  <c r="U781" i="42"/>
  <c r="U773" i="42"/>
  <c r="U765" i="42"/>
  <c r="U757" i="42"/>
  <c r="U749" i="42"/>
  <c r="U741" i="42"/>
  <c r="U733" i="42"/>
  <c r="U725" i="42"/>
  <c r="U717" i="42"/>
  <c r="U709" i="42"/>
  <c r="U701" i="42"/>
  <c r="U693" i="42"/>
  <c r="U685" i="42"/>
  <c r="U677" i="42"/>
  <c r="U669" i="42"/>
  <c r="U661" i="42"/>
  <c r="U653" i="42"/>
  <c r="U645" i="42"/>
  <c r="U637" i="42"/>
  <c r="U629" i="42"/>
  <c r="U621" i="42"/>
  <c r="U613" i="42"/>
  <c r="U1012" i="42"/>
  <c r="U1004" i="42"/>
  <c r="U996" i="42"/>
  <c r="U988" i="42"/>
  <c r="U980" i="42"/>
  <c r="U972" i="42"/>
  <c r="U964" i="42"/>
  <c r="U956" i="42"/>
  <c r="U948" i="42"/>
  <c r="U940" i="42"/>
  <c r="U932" i="42"/>
  <c r="U924" i="42"/>
  <c r="U916" i="42"/>
  <c r="U908" i="42"/>
  <c r="U900" i="42"/>
  <c r="U892" i="42"/>
  <c r="U884" i="42"/>
  <c r="U876" i="42"/>
  <c r="U868" i="42"/>
  <c r="U860" i="42"/>
  <c r="U852" i="42"/>
  <c r="U844" i="42"/>
  <c r="U836" i="42"/>
  <c r="U828" i="42"/>
  <c r="U820" i="42"/>
  <c r="U812" i="42"/>
  <c r="U804" i="42"/>
  <c r="U796" i="42"/>
  <c r="U788" i="42"/>
  <c r="U780" i="42"/>
  <c r="U772" i="42"/>
  <c r="U764" i="42"/>
  <c r="U756" i="42"/>
  <c r="U748" i="42"/>
  <c r="U740" i="42"/>
  <c r="U732" i="42"/>
  <c r="U724" i="42"/>
  <c r="U716" i="42"/>
  <c r="U708" i="42"/>
  <c r="U700" i="42"/>
  <c r="U692" i="42"/>
  <c r="U684" i="42"/>
  <c r="U676" i="42"/>
  <c r="U668" i="42"/>
  <c r="U660" i="42"/>
  <c r="U652" i="42"/>
  <c r="U644" i="42"/>
  <c r="U636" i="42"/>
  <c r="U628" i="42"/>
  <c r="U620" i="42"/>
  <c r="U612" i="42"/>
  <c r="U604" i="42"/>
  <c r="U596" i="42"/>
  <c r="U588" i="42"/>
  <c r="U580" i="42"/>
  <c r="U572" i="42"/>
  <c r="U564" i="42"/>
  <c r="U556" i="42"/>
  <c r="U548" i="42"/>
  <c r="U540" i="42"/>
  <c r="U532" i="42"/>
  <c r="U524" i="42"/>
  <c r="U516" i="42"/>
  <c r="U508" i="42"/>
  <c r="U500" i="42"/>
  <c r="U492" i="42"/>
  <c r="U484" i="42"/>
  <c r="U476" i="42"/>
  <c r="U468" i="42"/>
  <c r="U460" i="42"/>
  <c r="U452" i="42"/>
  <c r="U444" i="42"/>
  <c r="U436" i="42"/>
  <c r="U428" i="42"/>
  <c r="U1011" i="42"/>
  <c r="U1003" i="42"/>
  <c r="U995" i="42"/>
  <c r="U987" i="42"/>
  <c r="U979" i="42"/>
  <c r="U971" i="42"/>
  <c r="U963" i="42"/>
  <c r="U955" i="42"/>
  <c r="U947" i="42"/>
  <c r="U939" i="42"/>
  <c r="U931" i="42"/>
  <c r="U923" i="42"/>
  <c r="U915" i="42"/>
  <c r="U907" i="42"/>
  <c r="U899" i="42"/>
  <c r="U891" i="42"/>
  <c r="U883" i="42"/>
  <c r="U875" i="42"/>
  <c r="U867" i="42"/>
  <c r="U859" i="42"/>
  <c r="U851" i="42"/>
  <c r="U843" i="42"/>
  <c r="U835" i="42"/>
  <c r="U827" i="42"/>
  <c r="U819" i="42"/>
  <c r="U811" i="42"/>
  <c r="U803" i="42"/>
  <c r="U795" i="42"/>
  <c r="U787" i="42"/>
  <c r="U779" i="42"/>
  <c r="U771" i="42"/>
  <c r="U763" i="42"/>
  <c r="U755" i="42"/>
  <c r="U747" i="42"/>
  <c r="U739" i="42"/>
  <c r="U731" i="42"/>
  <c r="U723" i="42"/>
  <c r="U715" i="42"/>
  <c r="U707" i="42"/>
  <c r="U699" i="42"/>
  <c r="U691" i="42"/>
  <c r="U683" i="42"/>
  <c r="U675" i="42"/>
  <c r="U667" i="42"/>
  <c r="U659" i="42"/>
  <c r="U651" i="42"/>
  <c r="U643" i="42"/>
  <c r="U635" i="42"/>
  <c r="U627" i="42"/>
  <c r="U619" i="42"/>
  <c r="U611" i="42"/>
  <c r="U603" i="42"/>
  <c r="U595" i="42"/>
  <c r="U587" i="42"/>
  <c r="U579" i="42"/>
  <c r="U571" i="42"/>
  <c r="U563" i="42"/>
  <c r="U555" i="42"/>
  <c r="U547" i="42"/>
  <c r="U539" i="42"/>
  <c r="U531" i="42"/>
  <c r="U523" i="42"/>
  <c r="U515" i="42"/>
  <c r="U507" i="42"/>
  <c r="U499" i="42"/>
  <c r="U491" i="42"/>
  <c r="U483" i="42"/>
  <c r="U475" i="42"/>
  <c r="U467" i="42"/>
  <c r="U459" i="42"/>
  <c r="U451" i="42"/>
  <c r="U443" i="42"/>
  <c r="U435" i="42"/>
  <c r="U427" i="42"/>
  <c r="U449" i="42"/>
  <c r="U441" i="42"/>
  <c r="U433" i="42"/>
  <c r="U425" i="42"/>
  <c r="U417" i="42"/>
  <c r="U409" i="42"/>
  <c r="U401" i="42"/>
  <c r="U393" i="42"/>
  <c r="U385" i="42"/>
  <c r="U377" i="42"/>
  <c r="U369" i="42"/>
  <c r="U361" i="42"/>
  <c r="U353" i="42"/>
  <c r="U345" i="42"/>
  <c r="U337" i="42"/>
  <c r="U329" i="42"/>
  <c r="U321" i="42"/>
  <c r="U313" i="42"/>
  <c r="U305" i="42"/>
  <c r="U297" i="42"/>
  <c r="U289" i="42"/>
  <c r="U281" i="42"/>
  <c r="U273" i="42"/>
  <c r="U265" i="42"/>
  <c r="U257" i="42"/>
  <c r="U249" i="42"/>
  <c r="U241" i="42"/>
  <c r="U233" i="42"/>
  <c r="U225" i="42"/>
  <c r="U209" i="42"/>
  <c r="U201" i="42"/>
  <c r="U193" i="42"/>
  <c r="U185" i="42"/>
  <c r="U177" i="42"/>
  <c r="U169" i="42"/>
  <c r="U161" i="42"/>
  <c r="U153" i="42"/>
  <c r="U145" i="42"/>
  <c r="U137" i="42"/>
  <c r="U129" i="42"/>
  <c r="U121" i="42"/>
  <c r="U113" i="42"/>
  <c r="U105" i="42"/>
  <c r="U97" i="42"/>
  <c r="U89" i="42"/>
  <c r="U81" i="42"/>
  <c r="U73" i="42"/>
  <c r="U65" i="42"/>
  <c r="U57" i="42"/>
  <c r="U49" i="42"/>
  <c r="U41" i="42"/>
  <c r="U33" i="42"/>
  <c r="U25" i="42"/>
  <c r="U304" i="42"/>
  <c r="U296" i="42"/>
  <c r="U288" i="42"/>
  <c r="U280" i="42"/>
  <c r="U272" i="42"/>
  <c r="U264" i="42"/>
  <c r="U256" i="42"/>
  <c r="U248" i="42"/>
  <c r="U240" i="42"/>
  <c r="U232" i="42"/>
  <c r="U224" i="42"/>
  <c r="U216" i="42"/>
  <c r="U208" i="42"/>
  <c r="U200" i="42"/>
  <c r="U192" i="42"/>
  <c r="U184" i="42"/>
  <c r="U176" i="42"/>
  <c r="U168" i="42"/>
  <c r="U160" i="42"/>
  <c r="U152" i="42"/>
  <c r="U144" i="42"/>
  <c r="U136" i="42"/>
  <c r="U128" i="42"/>
  <c r="U120" i="42"/>
  <c r="U112" i="42"/>
  <c r="U104" i="42"/>
  <c r="U96" i="42"/>
  <c r="U88" i="42"/>
  <c r="U80" i="42"/>
  <c r="U72" i="42"/>
  <c r="U64" i="42"/>
  <c r="U56" i="42"/>
  <c r="U48" i="42"/>
  <c r="U40" i="42"/>
  <c r="U32" i="42"/>
  <c r="U24" i="42"/>
  <c r="U303" i="42"/>
  <c r="U295" i="42"/>
  <c r="U287" i="42"/>
  <c r="U279" i="42"/>
  <c r="U271" i="42"/>
  <c r="U263" i="42"/>
  <c r="U255" i="42"/>
  <c r="U247" i="42"/>
  <c r="U239" i="42"/>
  <c r="U231" i="42"/>
  <c r="U223" i="42"/>
  <c r="U215" i="42"/>
  <c r="U207" i="42"/>
  <c r="U199" i="42"/>
  <c r="U191" i="42"/>
  <c r="U183" i="42"/>
  <c r="U175" i="42"/>
  <c r="U167" i="42"/>
  <c r="U159" i="42"/>
  <c r="U151" i="42"/>
  <c r="U143" i="42"/>
  <c r="U135" i="42"/>
  <c r="U127" i="42"/>
  <c r="U119" i="42"/>
  <c r="U111" i="42"/>
  <c r="U103" i="42"/>
  <c r="U95" i="42"/>
  <c r="U87" i="42"/>
  <c r="U79" i="42"/>
  <c r="U71" i="42"/>
  <c r="U63" i="42"/>
  <c r="U55" i="42"/>
  <c r="U47" i="42"/>
  <c r="U39" i="42"/>
  <c r="U31" i="42"/>
  <c r="U23" i="42"/>
  <c r="U318" i="42"/>
  <c r="U310" i="42"/>
  <c r="U302" i="42"/>
  <c r="U294" i="42"/>
  <c r="U286" i="42"/>
  <c r="U278" i="42"/>
  <c r="U270" i="42"/>
  <c r="U262" i="42"/>
  <c r="U254" i="42"/>
  <c r="U246" i="42"/>
  <c r="U238" i="42"/>
  <c r="U230" i="42"/>
  <c r="U222" i="42"/>
  <c r="U214" i="42"/>
  <c r="U206" i="42"/>
  <c r="U198" i="42"/>
  <c r="U190" i="42"/>
  <c r="U182" i="42"/>
  <c r="U174" i="42"/>
  <c r="U166" i="42"/>
  <c r="U158" i="42"/>
  <c r="U150" i="42"/>
  <c r="U142" i="42"/>
  <c r="U134" i="42"/>
  <c r="U126" i="42"/>
  <c r="U118" i="42"/>
  <c r="U110" i="42"/>
  <c r="U102" i="42"/>
  <c r="U94" i="42"/>
  <c r="U86" i="42"/>
  <c r="U78" i="42"/>
  <c r="U70" i="42"/>
  <c r="U62" i="42"/>
  <c r="U54" i="42"/>
  <c r="U46" i="42"/>
  <c r="U38" i="42"/>
  <c r="U30" i="42"/>
  <c r="U22" i="42"/>
  <c r="U605" i="42"/>
  <c r="U597" i="42"/>
  <c r="U589" i="42"/>
  <c r="U581" i="42"/>
  <c r="U573" i="42"/>
  <c r="U565" i="42"/>
  <c r="U557" i="42"/>
  <c r="U549" i="42"/>
  <c r="U541" i="42"/>
  <c r="U533" i="42"/>
  <c r="U525" i="42"/>
  <c r="U517" i="42"/>
  <c r="U509" i="42"/>
  <c r="U501" i="42"/>
  <c r="U493" i="42"/>
  <c r="U485" i="42"/>
  <c r="U477" i="42"/>
  <c r="U469" i="42"/>
  <c r="U461" i="42"/>
  <c r="U453" i="42"/>
  <c r="U445" i="42"/>
  <c r="U437" i="42"/>
  <c r="U429" i="42"/>
  <c r="U421" i="42"/>
  <c r="U413" i="42"/>
  <c r="U405" i="42"/>
  <c r="U397" i="42"/>
  <c r="U389" i="42"/>
  <c r="U381" i="42"/>
  <c r="U373" i="42"/>
  <c r="U365" i="42"/>
  <c r="U357" i="42"/>
  <c r="U349" i="42"/>
  <c r="U341" i="42"/>
  <c r="U333" i="42"/>
  <c r="U325" i="42"/>
  <c r="U317" i="42"/>
  <c r="U309" i="42"/>
  <c r="U301" i="42"/>
  <c r="U293" i="42"/>
  <c r="U285" i="42"/>
  <c r="U277" i="42"/>
  <c r="U269" i="42"/>
  <c r="U261" i="42"/>
  <c r="U253" i="42"/>
  <c r="U245" i="42"/>
  <c r="U237" i="42"/>
  <c r="U229" i="42"/>
  <c r="U221" i="42"/>
  <c r="U213" i="42"/>
  <c r="U205" i="42"/>
  <c r="U197" i="42"/>
  <c r="U189" i="42"/>
  <c r="U181" i="42"/>
  <c r="U173" i="42"/>
  <c r="U165" i="42"/>
  <c r="U157" i="42"/>
  <c r="U149" i="42"/>
  <c r="U141" i="42"/>
  <c r="U133" i="42"/>
  <c r="U125" i="42"/>
  <c r="U117" i="42"/>
  <c r="U109" i="42"/>
  <c r="U101" i="42"/>
  <c r="U93" i="42"/>
  <c r="U85" i="42"/>
  <c r="U77" i="42"/>
  <c r="U69" i="42"/>
  <c r="U61" i="42"/>
  <c r="U53" i="42"/>
  <c r="U45" i="42"/>
  <c r="U37" i="42"/>
  <c r="U29" i="42"/>
  <c r="U21" i="42"/>
  <c r="U420" i="42"/>
  <c r="U412" i="42"/>
  <c r="U404" i="42"/>
  <c r="U396" i="42"/>
  <c r="U388" i="42"/>
  <c r="U380" i="42"/>
  <c r="U372" i="42"/>
  <c r="U364" i="42"/>
  <c r="U356" i="42"/>
  <c r="U348" i="42"/>
  <c r="U340" i="42"/>
  <c r="U332" i="42"/>
  <c r="U324" i="42"/>
  <c r="U316" i="42"/>
  <c r="U308" i="42"/>
  <c r="U300" i="42"/>
  <c r="U292" i="42"/>
  <c r="U284" i="42"/>
  <c r="U276" i="42"/>
  <c r="U268" i="42"/>
  <c r="U260" i="42"/>
  <c r="U252" i="42"/>
  <c r="U244" i="42"/>
  <c r="U236" i="42"/>
  <c r="U228" i="42"/>
  <c r="U220" i="42"/>
  <c r="U212" i="42"/>
  <c r="U204" i="42"/>
  <c r="U196" i="42"/>
  <c r="U188" i="42"/>
  <c r="U180" i="42"/>
  <c r="U172" i="42"/>
  <c r="U164" i="42"/>
  <c r="U156" i="42"/>
  <c r="U148" i="42"/>
  <c r="U140" i="42"/>
  <c r="U132" i="42"/>
  <c r="U124" i="42"/>
  <c r="U116" i="42"/>
  <c r="U108" i="42"/>
  <c r="U100" i="42"/>
  <c r="U92" i="42"/>
  <c r="U84" i="42"/>
  <c r="U76" i="42"/>
  <c r="U68" i="42"/>
  <c r="U60" i="42"/>
  <c r="U52" i="42"/>
  <c r="U44" i="42"/>
  <c r="U36" i="42"/>
  <c r="U28" i="42"/>
  <c r="U20" i="42"/>
  <c r="T217" i="42"/>
  <c r="U419" i="42"/>
  <c r="U411" i="42"/>
  <c r="U403" i="42"/>
  <c r="U395" i="42"/>
  <c r="U387" i="42"/>
  <c r="U379" i="42"/>
  <c r="U371" i="42"/>
  <c r="U363" i="42"/>
  <c r="U355" i="42"/>
  <c r="U347" i="42"/>
  <c r="U339" i="42"/>
  <c r="U331" i="42"/>
  <c r="U323" i="42"/>
  <c r="U315" i="42"/>
  <c r="U307" i="42"/>
  <c r="U299" i="42"/>
  <c r="U291" i="42"/>
  <c r="U283" i="42"/>
  <c r="U275" i="42"/>
  <c r="U267" i="42"/>
  <c r="U259" i="42"/>
  <c r="U251" i="42"/>
  <c r="U243" i="42"/>
  <c r="U235" i="42"/>
  <c r="U227" i="42"/>
  <c r="U219" i="42"/>
  <c r="U211" i="42"/>
  <c r="U203" i="42"/>
  <c r="U195" i="42"/>
  <c r="U187" i="42"/>
  <c r="U179" i="42"/>
  <c r="U171" i="42"/>
  <c r="U163" i="42"/>
  <c r="U155" i="42"/>
  <c r="U147" i="42"/>
  <c r="U139" i="42"/>
  <c r="U131" i="42"/>
  <c r="U123" i="42"/>
  <c r="U115" i="42"/>
  <c r="U107" i="42"/>
  <c r="U99" i="42"/>
  <c r="U91" i="42"/>
  <c r="U83" i="42"/>
  <c r="U75" i="42"/>
  <c r="U67" i="42"/>
  <c r="U59" i="42"/>
  <c r="U51" i="42"/>
  <c r="U43" i="42"/>
  <c r="U35" i="42"/>
  <c r="U27" i="42"/>
  <c r="U19" i="42"/>
  <c r="U474" i="42"/>
  <c r="U466" i="42"/>
  <c r="U458" i="42"/>
  <c r="U450" i="42"/>
  <c r="U442" i="42"/>
  <c r="U434" i="42"/>
  <c r="U426" i="42"/>
  <c r="U418" i="42"/>
  <c r="U410" i="42"/>
  <c r="U402" i="42"/>
  <c r="U394" i="42"/>
  <c r="U386" i="42"/>
  <c r="U378" i="42"/>
  <c r="U370" i="42"/>
  <c r="U362" i="42"/>
  <c r="U354" i="42"/>
  <c r="U346" i="42"/>
  <c r="U338" i="42"/>
  <c r="U330" i="42"/>
  <c r="U322" i="42"/>
  <c r="U314" i="42"/>
  <c r="U306" i="42"/>
  <c r="U298" i="42"/>
  <c r="U290" i="42"/>
  <c r="U282" i="42"/>
  <c r="U274" i="42"/>
  <c r="U266" i="42"/>
  <c r="U258" i="42"/>
  <c r="U250" i="42"/>
  <c r="U242" i="42"/>
  <c r="U234" i="42"/>
  <c r="U226" i="42"/>
  <c r="U218" i="42"/>
  <c r="U210" i="42"/>
  <c r="U202" i="42"/>
  <c r="U194" i="42"/>
  <c r="U186" i="42"/>
  <c r="U178" i="42"/>
  <c r="U170" i="42"/>
  <c r="U162" i="42"/>
  <c r="U154" i="42"/>
  <c r="U146" i="42"/>
  <c r="U138" i="42"/>
  <c r="U130" i="42"/>
  <c r="U122" i="42"/>
  <c r="U114" i="42"/>
  <c r="U106" i="42"/>
  <c r="U98" i="42"/>
  <c r="U90" i="42"/>
  <c r="U82" i="42"/>
  <c r="U74" i="42"/>
  <c r="U66" i="42"/>
  <c r="U58" i="42"/>
  <c r="U50" i="42"/>
  <c r="U42" i="42"/>
  <c r="U34" i="42"/>
  <c r="U26" i="42"/>
  <c r="U18" i="42"/>
  <c r="Q15" i="42"/>
  <c r="H16" i="42" s="1"/>
  <c r="R15" i="42"/>
  <c r="S15" i="42"/>
  <c r="P15" i="42"/>
  <c r="G16" i="42" s="1"/>
  <c r="H11" i="36"/>
  <c r="X14" i="42" l="1"/>
  <c r="Y14" i="42"/>
  <c r="I16" i="42"/>
  <c r="K11" i="36"/>
  <c r="H29" i="33"/>
  <c r="L29" i="33" s="1"/>
  <c r="H28" i="33"/>
  <c r="L28" i="33" s="1"/>
  <c r="M28" i="33" s="1"/>
  <c r="N28" i="33" s="1"/>
  <c r="I12" i="34"/>
  <c r="I12" i="41"/>
  <c r="M12" i="41" s="1"/>
  <c r="H24" i="33"/>
  <c r="M24" i="33" s="1"/>
  <c r="L24" i="33" s="1"/>
  <c r="H25" i="33"/>
  <c r="M25" i="33" s="1"/>
  <c r="L25" i="33" s="1"/>
  <c r="H26" i="33"/>
  <c r="M26" i="33" s="1"/>
  <c r="L26" i="33" s="1"/>
  <c r="H21" i="33"/>
  <c r="H20" i="33"/>
  <c r="L20" i="33" s="1"/>
  <c r="H19" i="33"/>
  <c r="L19" i="33" s="1"/>
  <c r="H23" i="33"/>
  <c r="M23" i="33" s="1"/>
  <c r="L23" i="33" s="1"/>
  <c r="H17" i="33"/>
  <c r="L17" i="33" s="1"/>
  <c r="H18" i="33"/>
  <c r="H16" i="33"/>
  <c r="L16" i="33" s="1"/>
  <c r="M16" i="33" l="1"/>
  <c r="P16" i="33"/>
  <c r="R16" i="33" s="1"/>
  <c r="G13" i="34" s="1"/>
  <c r="G13" i="41"/>
  <c r="I13" i="41" s="1"/>
  <c r="M13" i="41" s="1"/>
  <c r="H13" i="41"/>
  <c r="N23" i="33"/>
  <c r="O23" i="33"/>
  <c r="N24" i="33"/>
  <c r="O24" i="33"/>
  <c r="N26" i="33"/>
  <c r="O26" i="33"/>
  <c r="N25" i="33"/>
  <c r="O25" i="33"/>
  <c r="O12" i="34"/>
  <c r="K12" i="41"/>
  <c r="O12" i="41" s="1"/>
  <c r="M12" i="34"/>
  <c r="O28" i="33"/>
  <c r="M29" i="33"/>
  <c r="O29" i="33" s="1"/>
  <c r="M19" i="33"/>
  <c r="N19" i="33" s="1"/>
  <c r="M20" i="33"/>
  <c r="O20" i="33" s="1"/>
  <c r="N20" i="33"/>
  <c r="M17" i="33"/>
  <c r="O17" i="33" s="1"/>
  <c r="N16" i="33"/>
  <c r="O16" i="33"/>
  <c r="G14" i="41" l="1"/>
  <c r="G15" i="41" s="1"/>
  <c r="H14" i="41"/>
  <c r="P17" i="33"/>
  <c r="R17" i="33" s="1"/>
  <c r="H13" i="34" s="1"/>
  <c r="K13" i="34" s="1"/>
  <c r="O13" i="34" s="1"/>
  <c r="J12" i="34"/>
  <c r="N12" i="34" s="1"/>
  <c r="J12" i="41"/>
  <c r="N12" i="41" s="1"/>
  <c r="N29" i="33"/>
  <c r="J13" i="41"/>
  <c r="N13" i="41" s="1"/>
  <c r="K13" i="41"/>
  <c r="O13" i="41" s="1"/>
  <c r="G14" i="34"/>
  <c r="I13" i="34"/>
  <c r="M13" i="34" s="1"/>
  <c r="O19" i="33"/>
  <c r="N17" i="33"/>
  <c r="J13" i="34" l="1"/>
  <c r="N13" i="34" s="1"/>
  <c r="H14" i="34"/>
  <c r="K14" i="34" s="1"/>
  <c r="O14" i="34" s="1"/>
  <c r="K14" i="41"/>
  <c r="O14" i="41" s="1"/>
  <c r="I14" i="41"/>
  <c r="M14" i="41" s="1"/>
  <c r="H15" i="41"/>
  <c r="J15" i="41" s="1"/>
  <c r="N15" i="41" s="1"/>
  <c r="J14" i="41"/>
  <c r="N14" i="41" s="1"/>
  <c r="G15" i="34"/>
  <c r="G16" i="34" s="1"/>
  <c r="I14" i="34"/>
  <c r="M14" i="34" s="1"/>
  <c r="G16" i="41"/>
  <c r="I15" i="41"/>
  <c r="M15" i="41" s="1"/>
  <c r="H15" i="34" l="1"/>
  <c r="K15" i="34" s="1"/>
  <c r="O15" i="34" s="1"/>
  <c r="J14" i="34"/>
  <c r="N14" i="34" s="1"/>
  <c r="H16" i="41"/>
  <c r="J16" i="41" s="1"/>
  <c r="N16" i="41" s="1"/>
  <c r="K15" i="41"/>
  <c r="O15" i="41" s="1"/>
  <c r="I15" i="34"/>
  <c r="M15" i="34" s="1"/>
  <c r="G17" i="41"/>
  <c r="I16" i="41"/>
  <c r="M16" i="41" s="1"/>
  <c r="G17" i="34"/>
  <c r="I16" i="34"/>
  <c r="M16" i="34" s="1"/>
  <c r="H16" i="34" l="1"/>
  <c r="K16" i="34" s="1"/>
  <c r="O16" i="34" s="1"/>
  <c r="J15" i="34"/>
  <c r="N15" i="34" s="1"/>
  <c r="H17" i="41"/>
  <c r="H18" i="41" s="1"/>
  <c r="K16" i="41"/>
  <c r="O16" i="41" s="1"/>
  <c r="G18" i="41"/>
  <c r="I17" i="41"/>
  <c r="M17" i="41" s="1"/>
  <c r="G18" i="34"/>
  <c r="I17" i="34"/>
  <c r="M17" i="34" s="1"/>
  <c r="H17" i="34" l="1"/>
  <c r="J17" i="34" s="1"/>
  <c r="N17" i="34" s="1"/>
  <c r="J16" i="34"/>
  <c r="N16" i="34" s="1"/>
  <c r="J17" i="41"/>
  <c r="N17" i="41" s="1"/>
  <c r="K17" i="41"/>
  <c r="O17" i="41" s="1"/>
  <c r="H19" i="41"/>
  <c r="G19" i="41"/>
  <c r="I18" i="41"/>
  <c r="M18" i="41" s="1"/>
  <c r="K18" i="41"/>
  <c r="O18" i="41" s="1"/>
  <c r="J18" i="41"/>
  <c r="N18" i="41" s="1"/>
  <c r="G19" i="34"/>
  <c r="I18" i="34"/>
  <c r="M18" i="34" s="1"/>
  <c r="K17" i="34" l="1"/>
  <c r="O17" i="34" s="1"/>
  <c r="H18" i="34"/>
  <c r="K18" i="34" s="1"/>
  <c r="O18" i="34" s="1"/>
  <c r="G20" i="41"/>
  <c r="I19" i="41"/>
  <c r="M19" i="41" s="1"/>
  <c r="H20" i="41"/>
  <c r="J19" i="41"/>
  <c r="N19" i="41" s="1"/>
  <c r="K19" i="41"/>
  <c r="O19" i="41" s="1"/>
  <c r="G20" i="34"/>
  <c r="I19" i="34"/>
  <c r="M19" i="34" s="1"/>
  <c r="J18" i="34" l="1"/>
  <c r="N18" i="34" s="1"/>
  <c r="H19" i="34"/>
  <c r="J19" i="34" s="1"/>
  <c r="N19" i="34" s="1"/>
  <c r="H21" i="41"/>
  <c r="G21" i="41"/>
  <c r="I20" i="41"/>
  <c r="M20" i="41" s="1"/>
  <c r="K20" i="41"/>
  <c r="O20" i="41" s="1"/>
  <c r="J20" i="41"/>
  <c r="N20" i="41" s="1"/>
  <c r="G21" i="34"/>
  <c r="I20" i="34"/>
  <c r="M20" i="34" s="1"/>
  <c r="K19" i="34" l="1"/>
  <c r="O19" i="34" s="1"/>
  <c r="H20" i="34"/>
  <c r="J20" i="34" s="1"/>
  <c r="N20" i="34" s="1"/>
  <c r="H22" i="41"/>
  <c r="G22" i="41"/>
  <c r="I22" i="41" s="1"/>
  <c r="M22" i="41" s="1"/>
  <c r="I21" i="41"/>
  <c r="M21" i="41" s="1"/>
  <c r="K21" i="41"/>
  <c r="O21" i="41" s="1"/>
  <c r="J21" i="41"/>
  <c r="N21" i="41" s="1"/>
  <c r="G22" i="34"/>
  <c r="I21" i="34"/>
  <c r="M21" i="34" s="1"/>
  <c r="K20" i="34" l="1"/>
  <c r="O20" i="34" s="1"/>
  <c r="H21" i="34"/>
  <c r="K21" i="34" s="1"/>
  <c r="O21" i="34" s="1"/>
  <c r="M9" i="41"/>
  <c r="K22" i="41"/>
  <c r="J22" i="41"/>
  <c r="I9" i="41"/>
  <c r="I22" i="34"/>
  <c r="M22" i="34" s="1"/>
  <c r="M9" i="34" s="1"/>
  <c r="J21" i="34" l="1"/>
  <c r="N21" i="34" s="1"/>
  <c r="H22" i="34"/>
  <c r="J22" i="34" s="1"/>
  <c r="N22" i="34" s="1"/>
  <c r="K9" i="41"/>
  <c r="O22" i="41"/>
  <c r="O9" i="41" s="1"/>
  <c r="G13" i="36" s="1"/>
  <c r="O14" i="42" s="1"/>
  <c r="J9" i="41"/>
  <c r="N22" i="41"/>
  <c r="N9" i="41" s="1"/>
  <c r="F13" i="36" s="1"/>
  <c r="N14" i="42" s="1"/>
  <c r="I9" i="34"/>
  <c r="N9" i="34" l="1"/>
  <c r="F12" i="36" s="1"/>
  <c r="L14" i="42" s="1"/>
  <c r="P14" i="42" s="1"/>
  <c r="J9" i="34"/>
  <c r="K22" i="34"/>
  <c r="O22" i="34" s="1"/>
  <c r="O9" i="34" s="1"/>
  <c r="G12" i="36" s="1"/>
  <c r="M14" i="42" s="1"/>
  <c r="S14" i="42"/>
  <c r="H13" i="36"/>
  <c r="I13" i="36" l="1"/>
  <c r="U12" i="35" s="1"/>
  <c r="R14" i="42"/>
  <c r="K9" i="34"/>
  <c r="J13" i="36"/>
  <c r="H15" i="42" s="1"/>
  <c r="Q14" i="42"/>
  <c r="H12" i="36"/>
  <c r="K13" i="36" s="1"/>
  <c r="X12" i="35" s="1"/>
  <c r="L13" i="36" l="1"/>
  <c r="G15" i="42"/>
  <c r="I15" i="42" s="1"/>
  <c r="V12" i="35"/>
  <c r="W12" i="35" s="1"/>
</calcChain>
</file>

<file path=xl/sharedStrings.xml><?xml version="1.0" encoding="utf-8"?>
<sst xmlns="http://schemas.openxmlformats.org/spreadsheetml/2006/main" count="1238" uniqueCount="1130">
  <si>
    <t>Two states Markov model example</t>
  </si>
  <si>
    <t>Assumptions:</t>
  </si>
  <si>
    <t>Cell colour codes</t>
  </si>
  <si>
    <t>User modifiable input cells</t>
  </si>
  <si>
    <t>User modifiable drop-down menu</t>
  </si>
  <si>
    <t xml:space="preserve">Calculation </t>
  </si>
  <si>
    <t>Calculation - output by VBA</t>
  </si>
  <si>
    <t>Results</t>
  </si>
  <si>
    <t>Tab colour codes</t>
  </si>
  <si>
    <t>Description and settings</t>
  </si>
  <si>
    <t>Input parameters</t>
  </si>
  <si>
    <t>Calculations</t>
  </si>
  <si>
    <t>Description</t>
  </si>
  <si>
    <t>Variable name</t>
  </si>
  <si>
    <t>Mean</t>
  </si>
  <si>
    <t>Standard error</t>
  </si>
  <si>
    <t>Beta</t>
  </si>
  <si>
    <t>Distribution</t>
  </si>
  <si>
    <t xml:space="preserve">Probabilities </t>
  </si>
  <si>
    <t>The sheet displays all the parameters within the model and varies them for sensitivity analyses</t>
  </si>
  <si>
    <t>1 = base case, 2 = lower bound, 3 = upper bound</t>
  </si>
  <si>
    <t>SE:</t>
  </si>
  <si>
    <t>Lower bound:</t>
  </si>
  <si>
    <t>Upper bound:</t>
  </si>
  <si>
    <t>Include in OWSA</t>
  </si>
  <si>
    <t>Yes/No</t>
  </si>
  <si>
    <t>Yes</t>
  </si>
  <si>
    <t>No</t>
  </si>
  <si>
    <t>Upper</t>
  </si>
  <si>
    <t>alpha</t>
  </si>
  <si>
    <t>beta</t>
  </si>
  <si>
    <t>Lower</t>
  </si>
  <si>
    <t>Control</t>
  </si>
  <si>
    <t>Active value</t>
  </si>
  <si>
    <t>Costs</t>
  </si>
  <si>
    <t>p_hh_A</t>
  </si>
  <si>
    <t>p_hs_A</t>
  </si>
  <si>
    <t>p_ss_A</t>
  </si>
  <si>
    <t>p_hh_B</t>
  </si>
  <si>
    <t>p_hs_B</t>
  </si>
  <si>
    <t>p_ss_B</t>
  </si>
  <si>
    <t>Drug A cost</t>
  </si>
  <si>
    <t>Drug B cost</t>
  </si>
  <si>
    <t>p_c_A</t>
  </si>
  <si>
    <t>p_c_B</t>
  </si>
  <si>
    <t>Gamma</t>
  </si>
  <si>
    <t>p_c_h</t>
  </si>
  <si>
    <t>p_c_s</t>
  </si>
  <si>
    <t>Utility</t>
  </si>
  <si>
    <t>p_u_h</t>
  </si>
  <si>
    <t>p_u_s</t>
  </si>
  <si>
    <t>Model year</t>
  </si>
  <si>
    <t>General</t>
  </si>
  <si>
    <t>Time horizon</t>
  </si>
  <si>
    <t>Years</t>
  </si>
  <si>
    <t>Cycle length</t>
  </si>
  <si>
    <t>Year</t>
  </si>
  <si>
    <t>Discount rate cost</t>
  </si>
  <si>
    <t>Discount rate health outcome</t>
  </si>
  <si>
    <t>Transition matrix</t>
  </si>
  <si>
    <t>Drug cost</t>
  </si>
  <si>
    <t>Disease management costs</t>
  </si>
  <si>
    <t>The model consists of  two health conditions: Pre-progression and Post-progression</t>
  </si>
  <si>
    <t>Patients initially in the "Pre-progression" state may either remain in that condition or progress to the "Post-progression" state.</t>
  </si>
  <si>
    <t>Patients who starts with or progressed to the 'Post-progression' state can only remain in that condition</t>
  </si>
  <si>
    <t>Drug A - Probability of pre-progression patients stay pre-progression</t>
  </si>
  <si>
    <t>Drug A - Probability of pre-progression patient progress to post-progression</t>
  </si>
  <si>
    <t>Drug A - Probability of post-progression patient stay post-progression</t>
  </si>
  <si>
    <t>Drug B - Probability of pre-progression patients stay pre-progression</t>
  </si>
  <si>
    <t>Drug B - Probability of pre-progression patient progress to post-progression</t>
  </si>
  <si>
    <t>Drug B - Probability of post-progression patient stay post-progression</t>
  </si>
  <si>
    <t>Costs of being pre-progression</t>
  </si>
  <si>
    <t>Costs of being post-progression</t>
  </si>
  <si>
    <t>Pre-progression utility</t>
  </si>
  <si>
    <t>Post-progression utility</t>
  </si>
  <si>
    <t>Patients who progressed to "Post-progression" will stop thei drug treatments</t>
  </si>
  <si>
    <t>Costs - undiscounted</t>
  </si>
  <si>
    <t>General population survival</t>
  </si>
  <si>
    <t>Utility - discounted</t>
  </si>
  <si>
    <t>Utility - undiscounted</t>
  </si>
  <si>
    <t>Total</t>
  </si>
  <si>
    <t>Costs (£)</t>
  </si>
  <si>
    <t>QALYs</t>
  </si>
  <si>
    <t>Incremental costs (£)</t>
  </si>
  <si>
    <t>ICER (£/QALY)</t>
  </si>
  <si>
    <t>Drug A</t>
  </si>
  <si>
    <t>Drug B</t>
  </si>
  <si>
    <t>Incremental QALYs</t>
  </si>
  <si>
    <t>Pre-progression</t>
  </si>
  <si>
    <t>Post-progression</t>
  </si>
  <si>
    <t>WTP</t>
  </si>
  <si>
    <t>£</t>
  </si>
  <si>
    <t>Costs - discounted</t>
  </si>
  <si>
    <t>Incremental costs</t>
  </si>
  <si>
    <t>ICER</t>
  </si>
  <si>
    <t>NMB</t>
  </si>
  <si>
    <t>Input</t>
  </si>
  <si>
    <t>Lower bound</t>
  </si>
  <si>
    <t>Upper bound</t>
  </si>
  <si>
    <t>Absolute difference</t>
  </si>
  <si>
    <t>Parameters</t>
  </si>
  <si>
    <t>Deterministic value</t>
  </si>
  <si>
    <t>Lower Bound</t>
  </si>
  <si>
    <t>Live results</t>
  </si>
  <si>
    <t>Rank</t>
  </si>
  <si>
    <t>Lower bound ICER</t>
  </si>
  <si>
    <t>Upper bound ICER</t>
  </si>
  <si>
    <t>p_rows</t>
  </si>
  <si>
    <t>p_DSA_rows</t>
  </si>
  <si>
    <t>Top 10 parameters influencing ICER</t>
  </si>
  <si>
    <t>DSA</t>
  </si>
  <si>
    <t>Live Deterministic results</t>
  </si>
  <si>
    <t>Note: to ensure p_hh_A + p_hs_A =1, only one of them should be included in the DSA; same for p_hh_B and p_hs_B</t>
  </si>
  <si>
    <t>No patients die within the 10 years time horizon</t>
  </si>
  <si>
    <t>Include in PSA</t>
  </si>
  <si>
    <t>PSA value</t>
  </si>
  <si>
    <t xml:space="preserve"> </t>
  </si>
  <si>
    <t>Probabilistic sensitivity analysis (PSA)</t>
  </si>
  <si>
    <t>Number of simulations</t>
  </si>
  <si>
    <t>Deterministic results</t>
  </si>
  <si>
    <t>Probabilistic results</t>
  </si>
  <si>
    <t>ICER (£/QALYs)</t>
  </si>
  <si>
    <t>Total costs</t>
  </si>
  <si>
    <t>Total QALYs</t>
  </si>
  <si>
    <t xml:space="preserve">Current </t>
  </si>
  <si>
    <t>Average</t>
  </si>
  <si>
    <t>Run 1</t>
  </si>
  <si>
    <t>Run 2</t>
  </si>
  <si>
    <t>Run 3</t>
  </si>
  <si>
    <t>Run 4</t>
  </si>
  <si>
    <t>Run 5</t>
  </si>
  <si>
    <t>Run 6</t>
  </si>
  <si>
    <t>Run 7</t>
  </si>
  <si>
    <t>Run 8</t>
  </si>
  <si>
    <t>Run 9</t>
  </si>
  <si>
    <t>Run 10</t>
  </si>
  <si>
    <t>Run 11</t>
  </si>
  <si>
    <t>Run 12</t>
  </si>
  <si>
    <t>Run 13</t>
  </si>
  <si>
    <t>Run 14</t>
  </si>
  <si>
    <t>Run 15</t>
  </si>
  <si>
    <t>Run 16</t>
  </si>
  <si>
    <t>Run 17</t>
  </si>
  <si>
    <t>Run 18</t>
  </si>
  <si>
    <t>Run 19</t>
  </si>
  <si>
    <t>Run 20</t>
  </si>
  <si>
    <t>Run 21</t>
  </si>
  <si>
    <t>Run 22</t>
  </si>
  <si>
    <t>Run 23</t>
  </si>
  <si>
    <t>Run 24</t>
  </si>
  <si>
    <t>Run 25</t>
  </si>
  <si>
    <t>Run 26</t>
  </si>
  <si>
    <t>Run 27</t>
  </si>
  <si>
    <t>Run 28</t>
  </si>
  <si>
    <t>Run 29</t>
  </si>
  <si>
    <t>Run 30</t>
  </si>
  <si>
    <t>Run 31</t>
  </si>
  <si>
    <t>Run 32</t>
  </si>
  <si>
    <t>Run 33</t>
  </si>
  <si>
    <t>Run 34</t>
  </si>
  <si>
    <t>Run 35</t>
  </si>
  <si>
    <t>Run 36</t>
  </si>
  <si>
    <t>Run 37</t>
  </si>
  <si>
    <t>Run 38</t>
  </si>
  <si>
    <t>Run 39</t>
  </si>
  <si>
    <t>Run 40</t>
  </si>
  <si>
    <t>Run 41</t>
  </si>
  <si>
    <t>Run 42</t>
  </si>
  <si>
    <t>Run 43</t>
  </si>
  <si>
    <t>Run 44</t>
  </si>
  <si>
    <t>Run 45</t>
  </si>
  <si>
    <t>Run 46</t>
  </si>
  <si>
    <t>Run 47</t>
  </si>
  <si>
    <t>Run 48</t>
  </si>
  <si>
    <t>Run 49</t>
  </si>
  <si>
    <t>Run 50</t>
  </si>
  <si>
    <t>Run 51</t>
  </si>
  <si>
    <t>Run 52</t>
  </si>
  <si>
    <t>Run 53</t>
  </si>
  <si>
    <t>Run 54</t>
  </si>
  <si>
    <t>Run 55</t>
  </si>
  <si>
    <t>Run 56</t>
  </si>
  <si>
    <t>Run 57</t>
  </si>
  <si>
    <t>Run 58</t>
  </si>
  <si>
    <t>Run 59</t>
  </si>
  <si>
    <t>Run 60</t>
  </si>
  <si>
    <t>Run 61</t>
  </si>
  <si>
    <t>Run 62</t>
  </si>
  <si>
    <t>Run 63</t>
  </si>
  <si>
    <t>Run 64</t>
  </si>
  <si>
    <t>Run 65</t>
  </si>
  <si>
    <t>Run 66</t>
  </si>
  <si>
    <t>Run 67</t>
  </si>
  <si>
    <t>Run 68</t>
  </si>
  <si>
    <t>Run 69</t>
  </si>
  <si>
    <t>Run 70</t>
  </si>
  <si>
    <t>Run 71</t>
  </si>
  <si>
    <t>Run 72</t>
  </si>
  <si>
    <t>Run 73</t>
  </si>
  <si>
    <t>Run 74</t>
  </si>
  <si>
    <t>Run 75</t>
  </si>
  <si>
    <t>Run 76</t>
  </si>
  <si>
    <t>Run 77</t>
  </si>
  <si>
    <t>Run 78</t>
  </si>
  <si>
    <t>Run 79</t>
  </si>
  <si>
    <t>Run 80</t>
  </si>
  <si>
    <t>Run 81</t>
  </si>
  <si>
    <t>Run 82</t>
  </si>
  <si>
    <t>Run 83</t>
  </si>
  <si>
    <t>Run 84</t>
  </si>
  <si>
    <t>Run 85</t>
  </si>
  <si>
    <t>Run 86</t>
  </si>
  <si>
    <t>Run 87</t>
  </si>
  <si>
    <t>Run 88</t>
  </si>
  <si>
    <t>Run 89</t>
  </si>
  <si>
    <t>Run 90</t>
  </si>
  <si>
    <t>Run 91</t>
  </si>
  <si>
    <t>Run 92</t>
  </si>
  <si>
    <t>Run 93</t>
  </si>
  <si>
    <t>Run 94</t>
  </si>
  <si>
    <t>Run 95</t>
  </si>
  <si>
    <t>Run 96</t>
  </si>
  <si>
    <t>Run 97</t>
  </si>
  <si>
    <t>Run 98</t>
  </si>
  <si>
    <t>Run 99</t>
  </si>
  <si>
    <t>Run 100</t>
  </si>
  <si>
    <t>Run 101</t>
  </si>
  <si>
    <t>Run 102</t>
  </si>
  <si>
    <t>Run 103</t>
  </si>
  <si>
    <t>Run 104</t>
  </si>
  <si>
    <t>Run 105</t>
  </si>
  <si>
    <t>Run 106</t>
  </si>
  <si>
    <t>Run 107</t>
  </si>
  <si>
    <t>Run 108</t>
  </si>
  <si>
    <t>Run 109</t>
  </si>
  <si>
    <t>Run 110</t>
  </si>
  <si>
    <t>Run 111</t>
  </si>
  <si>
    <t>Run 112</t>
  </si>
  <si>
    <t>Run 113</t>
  </si>
  <si>
    <t>Run 114</t>
  </si>
  <si>
    <t>Run 115</t>
  </si>
  <si>
    <t>Run 116</t>
  </si>
  <si>
    <t>Run 117</t>
  </si>
  <si>
    <t>Run 118</t>
  </si>
  <si>
    <t>Run 119</t>
  </si>
  <si>
    <t>Run 120</t>
  </si>
  <si>
    <t>Run 121</t>
  </si>
  <si>
    <t>Run 122</t>
  </si>
  <si>
    <t>Run 123</t>
  </si>
  <si>
    <t>Run 124</t>
  </si>
  <si>
    <t>Run 125</t>
  </si>
  <si>
    <t>Run 126</t>
  </si>
  <si>
    <t>Run 127</t>
  </si>
  <si>
    <t>Run 128</t>
  </si>
  <si>
    <t>Run 129</t>
  </si>
  <si>
    <t>Run 130</t>
  </si>
  <si>
    <t>Run 131</t>
  </si>
  <si>
    <t>Run 132</t>
  </si>
  <si>
    <t>Run 133</t>
  </si>
  <si>
    <t>Run 134</t>
  </si>
  <si>
    <t>Run 135</t>
  </si>
  <si>
    <t>Run 136</t>
  </si>
  <si>
    <t>Run 137</t>
  </si>
  <si>
    <t>Run 138</t>
  </si>
  <si>
    <t>Run 139</t>
  </si>
  <si>
    <t>Run 140</t>
  </si>
  <si>
    <t>Run 141</t>
  </si>
  <si>
    <t>Run 142</t>
  </si>
  <si>
    <t>Run 143</t>
  </si>
  <si>
    <t>Run 144</t>
  </si>
  <si>
    <t>Run 145</t>
  </si>
  <si>
    <t>Run 146</t>
  </si>
  <si>
    <t>Run 147</t>
  </si>
  <si>
    <t>Run 148</t>
  </si>
  <si>
    <t>Run 149</t>
  </si>
  <si>
    <t>Run 150</t>
  </si>
  <si>
    <t>Run 151</t>
  </si>
  <si>
    <t>Run 152</t>
  </si>
  <si>
    <t>Run 153</t>
  </si>
  <si>
    <t>Run 154</t>
  </si>
  <si>
    <t>Run 155</t>
  </si>
  <si>
    <t>Run 156</t>
  </si>
  <si>
    <t>Run 157</t>
  </si>
  <si>
    <t>Run 158</t>
  </si>
  <si>
    <t>Run 159</t>
  </si>
  <si>
    <t>Run 160</t>
  </si>
  <si>
    <t>Run 161</t>
  </si>
  <si>
    <t>Run 162</t>
  </si>
  <si>
    <t>Run 163</t>
  </si>
  <si>
    <t>Run 164</t>
  </si>
  <si>
    <t>Run 165</t>
  </si>
  <si>
    <t>Run 166</t>
  </si>
  <si>
    <t>Run 167</t>
  </si>
  <si>
    <t>Run 168</t>
  </si>
  <si>
    <t>Run 169</t>
  </si>
  <si>
    <t>Run 170</t>
  </si>
  <si>
    <t>Run 171</t>
  </si>
  <si>
    <t>Run 172</t>
  </si>
  <si>
    <t>Run 173</t>
  </si>
  <si>
    <t>Run 174</t>
  </si>
  <si>
    <t>Run 175</t>
  </si>
  <si>
    <t>Run 176</t>
  </si>
  <si>
    <t>Run 177</t>
  </si>
  <si>
    <t>Run 178</t>
  </si>
  <si>
    <t>Run 179</t>
  </si>
  <si>
    <t>Run 180</t>
  </si>
  <si>
    <t>Run 181</t>
  </si>
  <si>
    <t>Run 182</t>
  </si>
  <si>
    <t>Run 183</t>
  </si>
  <si>
    <t>Run 184</t>
  </si>
  <si>
    <t>Run 185</t>
  </si>
  <si>
    <t>Run 186</t>
  </si>
  <si>
    <t>Run 187</t>
  </si>
  <si>
    <t>Run 188</t>
  </si>
  <si>
    <t>Run 189</t>
  </si>
  <si>
    <t>Run 190</t>
  </si>
  <si>
    <t>Run 191</t>
  </si>
  <si>
    <t>Run 192</t>
  </si>
  <si>
    <t>Run 193</t>
  </si>
  <si>
    <t>Run 194</t>
  </si>
  <si>
    <t>Run 195</t>
  </si>
  <si>
    <t>Run 196</t>
  </si>
  <si>
    <t>Run 197</t>
  </si>
  <si>
    <t>Run 198</t>
  </si>
  <si>
    <t>Run 199</t>
  </si>
  <si>
    <t>Run 200</t>
  </si>
  <si>
    <t>Run 201</t>
  </si>
  <si>
    <t>Run 202</t>
  </si>
  <si>
    <t>Run 203</t>
  </si>
  <si>
    <t>Run 204</t>
  </si>
  <si>
    <t>Run 205</t>
  </si>
  <si>
    <t>Run 206</t>
  </si>
  <si>
    <t>Run 207</t>
  </si>
  <si>
    <t>Run 208</t>
  </si>
  <si>
    <t>Run 209</t>
  </si>
  <si>
    <t>Run 210</t>
  </si>
  <si>
    <t>Run 211</t>
  </si>
  <si>
    <t>Run 212</t>
  </si>
  <si>
    <t>Run 213</t>
  </si>
  <si>
    <t>Run 214</t>
  </si>
  <si>
    <t>Run 215</t>
  </si>
  <si>
    <t>Run 216</t>
  </si>
  <si>
    <t>Run 217</t>
  </si>
  <si>
    <t>Run 218</t>
  </si>
  <si>
    <t>Run 219</t>
  </si>
  <si>
    <t>Run 220</t>
  </si>
  <si>
    <t>Run 221</t>
  </si>
  <si>
    <t>Run 222</t>
  </si>
  <si>
    <t>Run 223</t>
  </si>
  <si>
    <t>Run 224</t>
  </si>
  <si>
    <t>Run 225</t>
  </si>
  <si>
    <t>Run 226</t>
  </si>
  <si>
    <t>Run 227</t>
  </si>
  <si>
    <t>Run 228</t>
  </si>
  <si>
    <t>Run 229</t>
  </si>
  <si>
    <t>Run 230</t>
  </si>
  <si>
    <t>Run 231</t>
  </si>
  <si>
    <t>Run 232</t>
  </si>
  <si>
    <t>Run 233</t>
  </si>
  <si>
    <t>Run 234</t>
  </si>
  <si>
    <t>Run 235</t>
  </si>
  <si>
    <t>Run 236</t>
  </si>
  <si>
    <t>Run 237</t>
  </si>
  <si>
    <t>Run 238</t>
  </si>
  <si>
    <t>Run 239</t>
  </si>
  <si>
    <t>Run 240</t>
  </si>
  <si>
    <t>Run 241</t>
  </si>
  <si>
    <t>Run 242</t>
  </si>
  <si>
    <t>Run 243</t>
  </si>
  <si>
    <t>Run 244</t>
  </si>
  <si>
    <t>Run 245</t>
  </si>
  <si>
    <t>Run 246</t>
  </si>
  <si>
    <t>Run 247</t>
  </si>
  <si>
    <t>Run 248</t>
  </si>
  <si>
    <t>Run 249</t>
  </si>
  <si>
    <t>Run 250</t>
  </si>
  <si>
    <t>Run 251</t>
  </si>
  <si>
    <t>Run 252</t>
  </si>
  <si>
    <t>Run 253</t>
  </si>
  <si>
    <t>Run 254</t>
  </si>
  <si>
    <t>Run 255</t>
  </si>
  <si>
    <t>Run 256</t>
  </si>
  <si>
    <t>Run 257</t>
  </si>
  <si>
    <t>Run 258</t>
  </si>
  <si>
    <t>Run 259</t>
  </si>
  <si>
    <t>Run 260</t>
  </si>
  <si>
    <t>Run 261</t>
  </si>
  <si>
    <t>Run 262</t>
  </si>
  <si>
    <t>Run 263</t>
  </si>
  <si>
    <t>Run 264</t>
  </si>
  <si>
    <t>Run 265</t>
  </si>
  <si>
    <t>Run 266</t>
  </si>
  <si>
    <t>Run 267</t>
  </si>
  <si>
    <t>Run 268</t>
  </si>
  <si>
    <t>Run 269</t>
  </si>
  <si>
    <t>Run 270</t>
  </si>
  <si>
    <t>Run 271</t>
  </si>
  <si>
    <t>Run 272</t>
  </si>
  <si>
    <t>Run 273</t>
  </si>
  <si>
    <t>Run 274</t>
  </si>
  <si>
    <t>Run 275</t>
  </si>
  <si>
    <t>Run 276</t>
  </si>
  <si>
    <t>Run 277</t>
  </si>
  <si>
    <t>Run 278</t>
  </si>
  <si>
    <t>Run 279</t>
  </si>
  <si>
    <t>Run 280</t>
  </si>
  <si>
    <t>Run 281</t>
  </si>
  <si>
    <t>Run 282</t>
  </si>
  <si>
    <t>Run 283</t>
  </si>
  <si>
    <t>Run 284</t>
  </si>
  <si>
    <t>Run 285</t>
  </si>
  <si>
    <t>Run 286</t>
  </si>
  <si>
    <t>Run 287</t>
  </si>
  <si>
    <t>Run 288</t>
  </si>
  <si>
    <t>Run 289</t>
  </si>
  <si>
    <t>Run 290</t>
  </si>
  <si>
    <t>Run 291</t>
  </si>
  <si>
    <t>Run 292</t>
  </si>
  <si>
    <t>Run 293</t>
  </si>
  <si>
    <t>Run 294</t>
  </si>
  <si>
    <t>Run 295</t>
  </si>
  <si>
    <t>Run 296</t>
  </si>
  <si>
    <t>Run 297</t>
  </si>
  <si>
    <t>Run 298</t>
  </si>
  <si>
    <t>Run 299</t>
  </si>
  <si>
    <t>Run 300</t>
  </si>
  <si>
    <t>Run 301</t>
  </si>
  <si>
    <t>Run 302</t>
  </si>
  <si>
    <t>Run 303</t>
  </si>
  <si>
    <t>Run 304</t>
  </si>
  <si>
    <t>Run 305</t>
  </si>
  <si>
    <t>Run 306</t>
  </si>
  <si>
    <t>Run 307</t>
  </si>
  <si>
    <t>Run 308</t>
  </si>
  <si>
    <t>Run 309</t>
  </si>
  <si>
    <t>Run 310</t>
  </si>
  <si>
    <t>Run 311</t>
  </si>
  <si>
    <t>Run 312</t>
  </si>
  <si>
    <t>Run 313</t>
  </si>
  <si>
    <t>Run 314</t>
  </si>
  <si>
    <t>Run 315</t>
  </si>
  <si>
    <t>Run 316</t>
  </si>
  <si>
    <t>Run 317</t>
  </si>
  <si>
    <t>Run 318</t>
  </si>
  <si>
    <t>Run 319</t>
  </si>
  <si>
    <t>Run 320</t>
  </si>
  <si>
    <t>Run 321</t>
  </si>
  <si>
    <t>Run 322</t>
  </si>
  <si>
    <t>Run 323</t>
  </si>
  <si>
    <t>Run 324</t>
  </si>
  <si>
    <t>Run 325</t>
  </si>
  <si>
    <t>Run 326</t>
  </si>
  <si>
    <t>Run 327</t>
  </si>
  <si>
    <t>Run 328</t>
  </si>
  <si>
    <t>Run 329</t>
  </si>
  <si>
    <t>Run 330</t>
  </si>
  <si>
    <t>Run 331</t>
  </si>
  <si>
    <t>Run 332</t>
  </si>
  <si>
    <t>Run 333</t>
  </si>
  <si>
    <t>Run 334</t>
  </si>
  <si>
    <t>Run 335</t>
  </si>
  <si>
    <t>Run 336</t>
  </si>
  <si>
    <t>Run 337</t>
  </si>
  <si>
    <t>Run 338</t>
  </si>
  <si>
    <t>Run 339</t>
  </si>
  <si>
    <t>Run 340</t>
  </si>
  <si>
    <t>Run 341</t>
  </si>
  <si>
    <t>Run 342</t>
  </si>
  <si>
    <t>Run 343</t>
  </si>
  <si>
    <t>Run 344</t>
  </si>
  <si>
    <t>Run 345</t>
  </si>
  <si>
    <t>Run 346</t>
  </si>
  <si>
    <t>Run 347</t>
  </si>
  <si>
    <t>Run 348</t>
  </si>
  <si>
    <t>Run 349</t>
  </si>
  <si>
    <t>Run 350</t>
  </si>
  <si>
    <t>Run 351</t>
  </si>
  <si>
    <t>Run 352</t>
  </si>
  <si>
    <t>Run 353</t>
  </si>
  <si>
    <t>Run 354</t>
  </si>
  <si>
    <t>Run 355</t>
  </si>
  <si>
    <t>Run 356</t>
  </si>
  <si>
    <t>Run 357</t>
  </si>
  <si>
    <t>Run 358</t>
  </si>
  <si>
    <t>Run 359</t>
  </si>
  <si>
    <t>Run 360</t>
  </si>
  <si>
    <t>Run 361</t>
  </si>
  <si>
    <t>Run 362</t>
  </si>
  <si>
    <t>Run 363</t>
  </si>
  <si>
    <t>Run 364</t>
  </si>
  <si>
    <t>Run 365</t>
  </si>
  <si>
    <t>Run 366</t>
  </si>
  <si>
    <t>Run 367</t>
  </si>
  <si>
    <t>Run 368</t>
  </si>
  <si>
    <t>Run 369</t>
  </si>
  <si>
    <t>Run 370</t>
  </si>
  <si>
    <t>Run 371</t>
  </si>
  <si>
    <t>Run 372</t>
  </si>
  <si>
    <t>Run 373</t>
  </si>
  <si>
    <t>Run 374</t>
  </si>
  <si>
    <t>Run 375</t>
  </si>
  <si>
    <t>Run 376</t>
  </si>
  <si>
    <t>Run 377</t>
  </si>
  <si>
    <t>Run 378</t>
  </si>
  <si>
    <t>Run 379</t>
  </si>
  <si>
    <t>Run 380</t>
  </si>
  <si>
    <t>Run 381</t>
  </si>
  <si>
    <t>Run 382</t>
  </si>
  <si>
    <t>Run 383</t>
  </si>
  <si>
    <t>Run 384</t>
  </si>
  <si>
    <t>Run 385</t>
  </si>
  <si>
    <t>Run 386</t>
  </si>
  <si>
    <t>Run 387</t>
  </si>
  <si>
    <t>Run 388</t>
  </si>
  <si>
    <t>Run 389</t>
  </si>
  <si>
    <t>Run 390</t>
  </si>
  <si>
    <t>Run 391</t>
  </si>
  <si>
    <t>Run 392</t>
  </si>
  <si>
    <t>Run 393</t>
  </si>
  <si>
    <t>Run 394</t>
  </si>
  <si>
    <t>Run 395</t>
  </si>
  <si>
    <t>Run 396</t>
  </si>
  <si>
    <t>Run 397</t>
  </si>
  <si>
    <t>Run 398</t>
  </si>
  <si>
    <t>Run 399</t>
  </si>
  <si>
    <t>Run 400</t>
  </si>
  <si>
    <t>Run 401</t>
  </si>
  <si>
    <t>Run 402</t>
  </si>
  <si>
    <t>Run 403</t>
  </si>
  <si>
    <t>Run 404</t>
  </si>
  <si>
    <t>Run 405</t>
  </si>
  <si>
    <t>Run 406</t>
  </si>
  <si>
    <t>Run 407</t>
  </si>
  <si>
    <t>Run 408</t>
  </si>
  <si>
    <t>Run 409</t>
  </si>
  <si>
    <t>Run 410</t>
  </si>
  <si>
    <t>Run 411</t>
  </si>
  <si>
    <t>Run 412</t>
  </si>
  <si>
    <t>Run 413</t>
  </si>
  <si>
    <t>Run 414</t>
  </si>
  <si>
    <t>Run 415</t>
  </si>
  <si>
    <t>Run 416</t>
  </si>
  <si>
    <t>Run 417</t>
  </si>
  <si>
    <t>Run 418</t>
  </si>
  <si>
    <t>Run 419</t>
  </si>
  <si>
    <t>Run 420</t>
  </si>
  <si>
    <t>Run 421</t>
  </si>
  <si>
    <t>Run 422</t>
  </si>
  <si>
    <t>Run 423</t>
  </si>
  <si>
    <t>Run 424</t>
  </si>
  <si>
    <t>Run 425</t>
  </si>
  <si>
    <t>Run 426</t>
  </si>
  <si>
    <t>Run 427</t>
  </si>
  <si>
    <t>Run 428</t>
  </si>
  <si>
    <t>Run 429</t>
  </si>
  <si>
    <t>Run 430</t>
  </si>
  <si>
    <t>Run 431</t>
  </si>
  <si>
    <t>Run 432</t>
  </si>
  <si>
    <t>Run 433</t>
  </si>
  <si>
    <t>Run 434</t>
  </si>
  <si>
    <t>Run 435</t>
  </si>
  <si>
    <t>Run 436</t>
  </si>
  <si>
    <t>Run 437</t>
  </si>
  <si>
    <t>Run 438</t>
  </si>
  <si>
    <t>Run 439</t>
  </si>
  <si>
    <t>Run 440</t>
  </si>
  <si>
    <t>Run 441</t>
  </si>
  <si>
    <t>Run 442</t>
  </si>
  <si>
    <t>Run 443</t>
  </si>
  <si>
    <t>Run 444</t>
  </si>
  <si>
    <t>Run 445</t>
  </si>
  <si>
    <t>Run 446</t>
  </si>
  <si>
    <t>Run 447</t>
  </si>
  <si>
    <t>Run 448</t>
  </si>
  <si>
    <t>Run 449</t>
  </si>
  <si>
    <t>Run 450</t>
  </si>
  <si>
    <t>Run 451</t>
  </si>
  <si>
    <t>Run 452</t>
  </si>
  <si>
    <t>Run 453</t>
  </si>
  <si>
    <t>Run 454</t>
  </si>
  <si>
    <t>Run 455</t>
  </si>
  <si>
    <t>Run 456</t>
  </si>
  <si>
    <t>Run 457</t>
  </si>
  <si>
    <t>Run 458</t>
  </si>
  <si>
    <t>Run 459</t>
  </si>
  <si>
    <t>Run 460</t>
  </si>
  <si>
    <t>Run 461</t>
  </si>
  <si>
    <t>Run 462</t>
  </si>
  <si>
    <t>Run 463</t>
  </si>
  <si>
    <t>Run 464</t>
  </si>
  <si>
    <t>Run 465</t>
  </si>
  <si>
    <t>Run 466</t>
  </si>
  <si>
    <t>Run 467</t>
  </si>
  <si>
    <t>Run 468</t>
  </si>
  <si>
    <t>Run 469</t>
  </si>
  <si>
    <t>Run 470</t>
  </si>
  <si>
    <t>Run 471</t>
  </si>
  <si>
    <t>Run 472</t>
  </si>
  <si>
    <t>Run 473</t>
  </si>
  <si>
    <t>Run 474</t>
  </si>
  <si>
    <t>Run 475</t>
  </si>
  <si>
    <t>Run 476</t>
  </si>
  <si>
    <t>Run 477</t>
  </si>
  <si>
    <t>Run 478</t>
  </si>
  <si>
    <t>Run 479</t>
  </si>
  <si>
    <t>Run 480</t>
  </si>
  <si>
    <t>Run 481</t>
  </si>
  <si>
    <t>Run 482</t>
  </si>
  <si>
    <t>Run 483</t>
  </si>
  <si>
    <t>Run 484</t>
  </si>
  <si>
    <t>Run 485</t>
  </si>
  <si>
    <t>Run 486</t>
  </si>
  <si>
    <t>Run 487</t>
  </si>
  <si>
    <t>Run 488</t>
  </si>
  <si>
    <t>Run 489</t>
  </si>
  <si>
    <t>Run 490</t>
  </si>
  <si>
    <t>Run 491</t>
  </si>
  <si>
    <t>Run 492</t>
  </si>
  <si>
    <t>Run 493</t>
  </si>
  <si>
    <t>Run 494</t>
  </si>
  <si>
    <t>Run 495</t>
  </si>
  <si>
    <t>Run 496</t>
  </si>
  <si>
    <t>Run 497</t>
  </si>
  <si>
    <t>Run 498</t>
  </si>
  <si>
    <t>Run 499</t>
  </si>
  <si>
    <t>Run 500</t>
  </si>
  <si>
    <t>Run 501</t>
  </si>
  <si>
    <t>Run 502</t>
  </si>
  <si>
    <t>Run 503</t>
  </si>
  <si>
    <t>Run 504</t>
  </si>
  <si>
    <t>Run 505</t>
  </si>
  <si>
    <t>Run 506</t>
  </si>
  <si>
    <t>Run 507</t>
  </si>
  <si>
    <t>Run 508</t>
  </si>
  <si>
    <t>Run 509</t>
  </si>
  <si>
    <t>Run 510</t>
  </si>
  <si>
    <t>Run 511</t>
  </si>
  <si>
    <t>Run 512</t>
  </si>
  <si>
    <t>Run 513</t>
  </si>
  <si>
    <t>Run 514</t>
  </si>
  <si>
    <t>Run 515</t>
  </si>
  <si>
    <t>Run 516</t>
  </si>
  <si>
    <t>Run 517</t>
  </si>
  <si>
    <t>Run 518</t>
  </si>
  <si>
    <t>Run 519</t>
  </si>
  <si>
    <t>Run 520</t>
  </si>
  <si>
    <t>Run 521</t>
  </si>
  <si>
    <t>Run 522</t>
  </si>
  <si>
    <t>Run 523</t>
  </si>
  <si>
    <t>Run 524</t>
  </si>
  <si>
    <t>Run 525</t>
  </si>
  <si>
    <t>Run 526</t>
  </si>
  <si>
    <t>Run 527</t>
  </si>
  <si>
    <t>Run 528</t>
  </si>
  <si>
    <t>Run 529</t>
  </si>
  <si>
    <t>Run 530</t>
  </si>
  <si>
    <t>Run 531</t>
  </si>
  <si>
    <t>Run 532</t>
  </si>
  <si>
    <t>Run 533</t>
  </si>
  <si>
    <t>Run 534</t>
  </si>
  <si>
    <t>Run 535</t>
  </si>
  <si>
    <t>Run 536</t>
  </si>
  <si>
    <t>Run 537</t>
  </si>
  <si>
    <t>Run 538</t>
  </si>
  <si>
    <t>Run 539</t>
  </si>
  <si>
    <t>Run 540</t>
  </si>
  <si>
    <t>Run 541</t>
  </si>
  <si>
    <t>Run 542</t>
  </si>
  <si>
    <t>Run 543</t>
  </si>
  <si>
    <t>Run 544</t>
  </si>
  <si>
    <t>Run 545</t>
  </si>
  <si>
    <t>Run 546</t>
  </si>
  <si>
    <t>Run 547</t>
  </si>
  <si>
    <t>Run 548</t>
  </si>
  <si>
    <t>Run 549</t>
  </si>
  <si>
    <t>Run 550</t>
  </si>
  <si>
    <t>Run 551</t>
  </si>
  <si>
    <t>Run 552</t>
  </si>
  <si>
    <t>Run 553</t>
  </si>
  <si>
    <t>Run 554</t>
  </si>
  <si>
    <t>Run 555</t>
  </si>
  <si>
    <t>Run 556</t>
  </si>
  <si>
    <t>Run 557</t>
  </si>
  <si>
    <t>Run 558</t>
  </si>
  <si>
    <t>Run 559</t>
  </si>
  <si>
    <t>Run 560</t>
  </si>
  <si>
    <t>Run 561</t>
  </si>
  <si>
    <t>Run 562</t>
  </si>
  <si>
    <t>Run 563</t>
  </si>
  <si>
    <t>Run 564</t>
  </si>
  <si>
    <t>Run 565</t>
  </si>
  <si>
    <t>Run 566</t>
  </si>
  <si>
    <t>Run 567</t>
  </si>
  <si>
    <t>Run 568</t>
  </si>
  <si>
    <t>Run 569</t>
  </si>
  <si>
    <t>Run 570</t>
  </si>
  <si>
    <t>Run 571</t>
  </si>
  <si>
    <t>Run 572</t>
  </si>
  <si>
    <t>Run 573</t>
  </si>
  <si>
    <t>Run 574</t>
  </si>
  <si>
    <t>Run 575</t>
  </si>
  <si>
    <t>Run 576</t>
  </si>
  <si>
    <t>Run 577</t>
  </si>
  <si>
    <t>Run 578</t>
  </si>
  <si>
    <t>Run 579</t>
  </si>
  <si>
    <t>Run 580</t>
  </si>
  <si>
    <t>Run 581</t>
  </si>
  <si>
    <t>Run 582</t>
  </si>
  <si>
    <t>Run 583</t>
  </si>
  <si>
    <t>Run 584</t>
  </si>
  <si>
    <t>Run 585</t>
  </si>
  <si>
    <t>Run 586</t>
  </si>
  <si>
    <t>Run 587</t>
  </si>
  <si>
    <t>Run 588</t>
  </si>
  <si>
    <t>Run 589</t>
  </si>
  <si>
    <t>Run 590</t>
  </si>
  <si>
    <t>Run 591</t>
  </si>
  <si>
    <t>Run 592</t>
  </si>
  <si>
    <t>Run 593</t>
  </si>
  <si>
    <t>Run 594</t>
  </si>
  <si>
    <t>Run 595</t>
  </si>
  <si>
    <t>Run 596</t>
  </si>
  <si>
    <t>Run 597</t>
  </si>
  <si>
    <t>Run 598</t>
  </si>
  <si>
    <t>Run 599</t>
  </si>
  <si>
    <t>Run 600</t>
  </si>
  <si>
    <t>Run 601</t>
  </si>
  <si>
    <t>Run 602</t>
  </si>
  <si>
    <t>Run 603</t>
  </si>
  <si>
    <t>Run 604</t>
  </si>
  <si>
    <t>Run 605</t>
  </si>
  <si>
    <t>Run 606</t>
  </si>
  <si>
    <t>Run 607</t>
  </si>
  <si>
    <t>Run 608</t>
  </si>
  <si>
    <t>Run 609</t>
  </si>
  <si>
    <t>Run 610</t>
  </si>
  <si>
    <t>Run 611</t>
  </si>
  <si>
    <t>Run 612</t>
  </si>
  <si>
    <t>Run 613</t>
  </si>
  <si>
    <t>Run 614</t>
  </si>
  <si>
    <t>Run 615</t>
  </si>
  <si>
    <t>Run 616</t>
  </si>
  <si>
    <t>Run 617</t>
  </si>
  <si>
    <t>Run 618</t>
  </si>
  <si>
    <t>Run 619</t>
  </si>
  <si>
    <t>Run 620</t>
  </si>
  <si>
    <t>Run 621</t>
  </si>
  <si>
    <t>Run 622</t>
  </si>
  <si>
    <t>Run 623</t>
  </si>
  <si>
    <t>Run 624</t>
  </si>
  <si>
    <t>Run 625</t>
  </si>
  <si>
    <t>Run 626</t>
  </si>
  <si>
    <t>Run 627</t>
  </si>
  <si>
    <t>Run 628</t>
  </si>
  <si>
    <t>Run 629</t>
  </si>
  <si>
    <t>Run 630</t>
  </si>
  <si>
    <t>Run 631</t>
  </si>
  <si>
    <t>Run 632</t>
  </si>
  <si>
    <t>Run 633</t>
  </si>
  <si>
    <t>Run 634</t>
  </si>
  <si>
    <t>Run 635</t>
  </si>
  <si>
    <t>Run 636</t>
  </si>
  <si>
    <t>Run 637</t>
  </si>
  <si>
    <t>Run 638</t>
  </si>
  <si>
    <t>Run 639</t>
  </si>
  <si>
    <t>Run 640</t>
  </si>
  <si>
    <t>Run 641</t>
  </si>
  <si>
    <t>Run 642</t>
  </si>
  <si>
    <t>Run 643</t>
  </si>
  <si>
    <t>Run 644</t>
  </si>
  <si>
    <t>Run 645</t>
  </si>
  <si>
    <t>Run 646</t>
  </si>
  <si>
    <t>Run 647</t>
  </si>
  <si>
    <t>Run 648</t>
  </si>
  <si>
    <t>Run 649</t>
  </si>
  <si>
    <t>Run 650</t>
  </si>
  <si>
    <t>Run 651</t>
  </si>
  <si>
    <t>Run 652</t>
  </si>
  <si>
    <t>Run 653</t>
  </si>
  <si>
    <t>Run 654</t>
  </si>
  <si>
    <t>Run 655</t>
  </si>
  <si>
    <t>Run 656</t>
  </si>
  <si>
    <t>Run 657</t>
  </si>
  <si>
    <t>Run 658</t>
  </si>
  <si>
    <t>Run 659</t>
  </si>
  <si>
    <t>Run 660</t>
  </si>
  <si>
    <t>Run 661</t>
  </si>
  <si>
    <t>Run 662</t>
  </si>
  <si>
    <t>Run 663</t>
  </si>
  <si>
    <t>Run 664</t>
  </si>
  <si>
    <t>Run 665</t>
  </si>
  <si>
    <t>Run 666</t>
  </si>
  <si>
    <t>Run 667</t>
  </si>
  <si>
    <t>Run 668</t>
  </si>
  <si>
    <t>Run 669</t>
  </si>
  <si>
    <t>Run 670</t>
  </si>
  <si>
    <t>Run 671</t>
  </si>
  <si>
    <t>Run 672</t>
  </si>
  <si>
    <t>Run 673</t>
  </si>
  <si>
    <t>Run 674</t>
  </si>
  <si>
    <t>Run 675</t>
  </si>
  <si>
    <t>Run 676</t>
  </si>
  <si>
    <t>Run 677</t>
  </si>
  <si>
    <t>Run 678</t>
  </si>
  <si>
    <t>Run 679</t>
  </si>
  <si>
    <t>Run 680</t>
  </si>
  <si>
    <t>Run 681</t>
  </si>
  <si>
    <t>Run 682</t>
  </si>
  <si>
    <t>Run 683</t>
  </si>
  <si>
    <t>Run 684</t>
  </si>
  <si>
    <t>Run 685</t>
  </si>
  <si>
    <t>Run 686</t>
  </si>
  <si>
    <t>Run 687</t>
  </si>
  <si>
    <t>Run 688</t>
  </si>
  <si>
    <t>Run 689</t>
  </si>
  <si>
    <t>Run 690</t>
  </si>
  <si>
    <t>Run 691</t>
  </si>
  <si>
    <t>Run 692</t>
  </si>
  <si>
    <t>Run 693</t>
  </si>
  <si>
    <t>Run 694</t>
  </si>
  <si>
    <t>Run 695</t>
  </si>
  <si>
    <t>Run 696</t>
  </si>
  <si>
    <t>Run 697</t>
  </si>
  <si>
    <t>Run 698</t>
  </si>
  <si>
    <t>Run 699</t>
  </si>
  <si>
    <t>Run 700</t>
  </si>
  <si>
    <t>Run 701</t>
  </si>
  <si>
    <t>Run 702</t>
  </si>
  <si>
    <t>Run 703</t>
  </si>
  <si>
    <t>Run 704</t>
  </si>
  <si>
    <t>Run 705</t>
  </si>
  <si>
    <t>Run 706</t>
  </si>
  <si>
    <t>Run 707</t>
  </si>
  <si>
    <t>Run 708</t>
  </si>
  <si>
    <t>Run 709</t>
  </si>
  <si>
    <t>Run 710</t>
  </si>
  <si>
    <t>Run 711</t>
  </si>
  <si>
    <t>Run 712</t>
  </si>
  <si>
    <t>Run 713</t>
  </si>
  <si>
    <t>Run 714</t>
  </si>
  <si>
    <t>Run 715</t>
  </si>
  <si>
    <t>Run 716</t>
  </si>
  <si>
    <t>Run 717</t>
  </si>
  <si>
    <t>Run 718</t>
  </si>
  <si>
    <t>Run 719</t>
  </si>
  <si>
    <t>Run 720</t>
  </si>
  <si>
    <t>Run 721</t>
  </si>
  <si>
    <t>Run 722</t>
  </si>
  <si>
    <t>Run 723</t>
  </si>
  <si>
    <t>Run 724</t>
  </si>
  <si>
    <t>Run 725</t>
  </si>
  <si>
    <t>Run 726</t>
  </si>
  <si>
    <t>Run 727</t>
  </si>
  <si>
    <t>Run 728</t>
  </si>
  <si>
    <t>Run 729</t>
  </si>
  <si>
    <t>Run 730</t>
  </si>
  <si>
    <t>Run 731</t>
  </si>
  <si>
    <t>Run 732</t>
  </si>
  <si>
    <t>Run 733</t>
  </si>
  <si>
    <t>Run 734</t>
  </si>
  <si>
    <t>Run 735</t>
  </si>
  <si>
    <t>Run 736</t>
  </si>
  <si>
    <t>Run 737</t>
  </si>
  <si>
    <t>Run 738</t>
  </si>
  <si>
    <t>Run 739</t>
  </si>
  <si>
    <t>Run 740</t>
  </si>
  <si>
    <t>Run 741</t>
  </si>
  <si>
    <t>Run 742</t>
  </si>
  <si>
    <t>Run 743</t>
  </si>
  <si>
    <t>Run 744</t>
  </si>
  <si>
    <t>Run 745</t>
  </si>
  <si>
    <t>Run 746</t>
  </si>
  <si>
    <t>Run 747</t>
  </si>
  <si>
    <t>Run 748</t>
  </si>
  <si>
    <t>Run 749</t>
  </si>
  <si>
    <t>Run 750</t>
  </si>
  <si>
    <t>Run 751</t>
  </si>
  <si>
    <t>Run 752</t>
  </si>
  <si>
    <t>Run 753</t>
  </si>
  <si>
    <t>Run 754</t>
  </si>
  <si>
    <t>Run 755</t>
  </si>
  <si>
    <t>Run 756</t>
  </si>
  <si>
    <t>Run 757</t>
  </si>
  <si>
    <t>Run 758</t>
  </si>
  <si>
    <t>Run 759</t>
  </si>
  <si>
    <t>Run 760</t>
  </si>
  <si>
    <t>Run 761</t>
  </si>
  <si>
    <t>Run 762</t>
  </si>
  <si>
    <t>Run 763</t>
  </si>
  <si>
    <t>Run 764</t>
  </si>
  <si>
    <t>Run 765</t>
  </si>
  <si>
    <t>Run 766</t>
  </si>
  <si>
    <t>Run 767</t>
  </si>
  <si>
    <t>Run 768</t>
  </si>
  <si>
    <t>Run 769</t>
  </si>
  <si>
    <t>Run 770</t>
  </si>
  <si>
    <t>Run 771</t>
  </si>
  <si>
    <t>Run 772</t>
  </si>
  <si>
    <t>Run 773</t>
  </si>
  <si>
    <t>Run 774</t>
  </si>
  <si>
    <t>Run 775</t>
  </si>
  <si>
    <t>Run 776</t>
  </si>
  <si>
    <t>Run 777</t>
  </si>
  <si>
    <t>Run 778</t>
  </si>
  <si>
    <t>Run 779</t>
  </si>
  <si>
    <t>Run 780</t>
  </si>
  <si>
    <t>Run 781</t>
  </si>
  <si>
    <t>Run 782</t>
  </si>
  <si>
    <t>Run 783</t>
  </si>
  <si>
    <t>Run 784</t>
  </si>
  <si>
    <t>Run 785</t>
  </si>
  <si>
    <t>Run 786</t>
  </si>
  <si>
    <t>Run 787</t>
  </si>
  <si>
    <t>Run 788</t>
  </si>
  <si>
    <t>Run 789</t>
  </si>
  <si>
    <t>Run 790</t>
  </si>
  <si>
    <t>Run 791</t>
  </si>
  <si>
    <t>Run 792</t>
  </si>
  <si>
    <t>Run 793</t>
  </si>
  <si>
    <t>Run 794</t>
  </si>
  <si>
    <t>Run 795</t>
  </si>
  <si>
    <t>Run 796</t>
  </si>
  <si>
    <t>Run 797</t>
  </si>
  <si>
    <t>Run 798</t>
  </si>
  <si>
    <t>Run 799</t>
  </si>
  <si>
    <t>Run 800</t>
  </si>
  <si>
    <t>Run 801</t>
  </si>
  <si>
    <t>Run 802</t>
  </si>
  <si>
    <t>Run 803</t>
  </si>
  <si>
    <t>Run 804</t>
  </si>
  <si>
    <t>Run 805</t>
  </si>
  <si>
    <t>Run 806</t>
  </si>
  <si>
    <t>Run 807</t>
  </si>
  <si>
    <t>Run 808</t>
  </si>
  <si>
    <t>Run 809</t>
  </si>
  <si>
    <t>Run 810</t>
  </si>
  <si>
    <t>Run 811</t>
  </si>
  <si>
    <t>Run 812</t>
  </si>
  <si>
    <t>Run 813</t>
  </si>
  <si>
    <t>Run 814</t>
  </si>
  <si>
    <t>Run 815</t>
  </si>
  <si>
    <t>Run 816</t>
  </si>
  <si>
    <t>Run 817</t>
  </si>
  <si>
    <t>Run 818</t>
  </si>
  <si>
    <t>Run 819</t>
  </si>
  <si>
    <t>Run 820</t>
  </si>
  <si>
    <t>Run 821</t>
  </si>
  <si>
    <t>Run 822</t>
  </si>
  <si>
    <t>Run 823</t>
  </si>
  <si>
    <t>Run 824</t>
  </si>
  <si>
    <t>Run 825</t>
  </si>
  <si>
    <t>Run 826</t>
  </si>
  <si>
    <t>Run 827</t>
  </si>
  <si>
    <t>Run 828</t>
  </si>
  <si>
    <t>Run 829</t>
  </si>
  <si>
    <t>Run 830</t>
  </si>
  <si>
    <t>Run 831</t>
  </si>
  <si>
    <t>Run 832</t>
  </si>
  <si>
    <t>Run 833</t>
  </si>
  <si>
    <t>Run 834</t>
  </si>
  <si>
    <t>Run 835</t>
  </si>
  <si>
    <t>Run 836</t>
  </si>
  <si>
    <t>Run 837</t>
  </si>
  <si>
    <t>Run 838</t>
  </si>
  <si>
    <t>Run 839</t>
  </si>
  <si>
    <t>Run 840</t>
  </si>
  <si>
    <t>Run 841</t>
  </si>
  <si>
    <t>Run 842</t>
  </si>
  <si>
    <t>Run 843</t>
  </si>
  <si>
    <t>Run 844</t>
  </si>
  <si>
    <t>Run 845</t>
  </si>
  <si>
    <t>Run 846</t>
  </si>
  <si>
    <t>Run 847</t>
  </si>
  <si>
    <t>Run 848</t>
  </si>
  <si>
    <t>Run 849</t>
  </si>
  <si>
    <t>Run 850</t>
  </si>
  <si>
    <t>Run 851</t>
  </si>
  <si>
    <t>Run 852</t>
  </si>
  <si>
    <t>Run 853</t>
  </si>
  <si>
    <t>Run 854</t>
  </si>
  <si>
    <t>Run 855</t>
  </si>
  <si>
    <t>Run 856</t>
  </si>
  <si>
    <t>Run 857</t>
  </si>
  <si>
    <t>Run 858</t>
  </si>
  <si>
    <t>Run 859</t>
  </si>
  <si>
    <t>Run 860</t>
  </si>
  <si>
    <t>Run 861</t>
  </si>
  <si>
    <t>Run 862</t>
  </si>
  <si>
    <t>Run 863</t>
  </si>
  <si>
    <t>Run 864</t>
  </si>
  <si>
    <t>Run 865</t>
  </si>
  <si>
    <t>Run 866</t>
  </si>
  <si>
    <t>Run 867</t>
  </si>
  <si>
    <t>Run 868</t>
  </si>
  <si>
    <t>Run 869</t>
  </si>
  <si>
    <t>Run 870</t>
  </si>
  <si>
    <t>Run 871</t>
  </si>
  <si>
    <t>Run 872</t>
  </si>
  <si>
    <t>Run 873</t>
  </si>
  <si>
    <t>Run 874</t>
  </si>
  <si>
    <t>Run 875</t>
  </si>
  <si>
    <t>Run 876</t>
  </si>
  <si>
    <t>Run 877</t>
  </si>
  <si>
    <t>Run 878</t>
  </si>
  <si>
    <t>Run 879</t>
  </si>
  <si>
    <t>Run 880</t>
  </si>
  <si>
    <t>Run 881</t>
  </si>
  <si>
    <t>Run 882</t>
  </si>
  <si>
    <t>Run 883</t>
  </si>
  <si>
    <t>Run 884</t>
  </si>
  <si>
    <t>Run 885</t>
  </si>
  <si>
    <t>Run 886</t>
  </si>
  <si>
    <t>Run 887</t>
  </si>
  <si>
    <t>Run 888</t>
  </si>
  <si>
    <t>Run 889</t>
  </si>
  <si>
    <t>Run 890</t>
  </si>
  <si>
    <t>Run 891</t>
  </si>
  <si>
    <t>Run 892</t>
  </si>
  <si>
    <t>Run 893</t>
  </si>
  <si>
    <t>Run 894</t>
  </si>
  <si>
    <t>Run 895</t>
  </si>
  <si>
    <t>Run 896</t>
  </si>
  <si>
    <t>Run 897</t>
  </si>
  <si>
    <t>Run 898</t>
  </si>
  <si>
    <t>Run 899</t>
  </si>
  <si>
    <t>Run 900</t>
  </si>
  <si>
    <t>Run 901</t>
  </si>
  <si>
    <t>Run 902</t>
  </si>
  <si>
    <t>Run 903</t>
  </si>
  <si>
    <t>Run 904</t>
  </si>
  <si>
    <t>Run 905</t>
  </si>
  <si>
    <t>Run 906</t>
  </si>
  <si>
    <t>Run 907</t>
  </si>
  <si>
    <t>Run 908</t>
  </si>
  <si>
    <t>Run 909</t>
  </si>
  <si>
    <t>Run 910</t>
  </si>
  <si>
    <t>Run 911</t>
  </si>
  <si>
    <t>Run 912</t>
  </si>
  <si>
    <t>Run 913</t>
  </si>
  <si>
    <t>Run 914</t>
  </si>
  <si>
    <t>Run 915</t>
  </si>
  <si>
    <t>Run 916</t>
  </si>
  <si>
    <t>Run 917</t>
  </si>
  <si>
    <t>Run 918</t>
  </si>
  <si>
    <t>Run 919</t>
  </si>
  <si>
    <t>Run 920</t>
  </si>
  <si>
    <t>Run 921</t>
  </si>
  <si>
    <t>Run 922</t>
  </si>
  <si>
    <t>Run 923</t>
  </si>
  <si>
    <t>Run 924</t>
  </si>
  <si>
    <t>Run 925</t>
  </si>
  <si>
    <t>Run 926</t>
  </si>
  <si>
    <t>Run 927</t>
  </si>
  <si>
    <t>Run 928</t>
  </si>
  <si>
    <t>Run 929</t>
  </si>
  <si>
    <t>Run 930</t>
  </si>
  <si>
    <t>Run 931</t>
  </si>
  <si>
    <t>Run 932</t>
  </si>
  <si>
    <t>Run 933</t>
  </si>
  <si>
    <t>Run 934</t>
  </si>
  <si>
    <t>Run 935</t>
  </si>
  <si>
    <t>Run 936</t>
  </si>
  <si>
    <t>Run 937</t>
  </si>
  <si>
    <t>Run 938</t>
  </si>
  <si>
    <t>Run 939</t>
  </si>
  <si>
    <t>Run 940</t>
  </si>
  <si>
    <t>Run 941</t>
  </si>
  <si>
    <t>Run 942</t>
  </si>
  <si>
    <t>Run 943</t>
  </si>
  <si>
    <t>Run 944</t>
  </si>
  <si>
    <t>Run 945</t>
  </si>
  <si>
    <t>Run 946</t>
  </si>
  <si>
    <t>Run 947</t>
  </si>
  <si>
    <t>Run 948</t>
  </si>
  <si>
    <t>Run 949</t>
  </si>
  <si>
    <t>Run 950</t>
  </si>
  <si>
    <t>Run 951</t>
  </si>
  <si>
    <t>Run 952</t>
  </si>
  <si>
    <t>Run 953</t>
  </si>
  <si>
    <t>Run 954</t>
  </si>
  <si>
    <t>Run 955</t>
  </si>
  <si>
    <t>Run 956</t>
  </si>
  <si>
    <t>Run 957</t>
  </si>
  <si>
    <t>Run 958</t>
  </si>
  <si>
    <t>Run 959</t>
  </si>
  <si>
    <t>Run 960</t>
  </si>
  <si>
    <t>Run 961</t>
  </si>
  <si>
    <t>Run 962</t>
  </si>
  <si>
    <t>Run 963</t>
  </si>
  <si>
    <t>Run 964</t>
  </si>
  <si>
    <t>Run 965</t>
  </si>
  <si>
    <t>Run 966</t>
  </si>
  <si>
    <t>Run 967</t>
  </si>
  <si>
    <t>Run 968</t>
  </si>
  <si>
    <t>Run 969</t>
  </si>
  <si>
    <t>Run 970</t>
  </si>
  <si>
    <t>Run 971</t>
  </si>
  <si>
    <t>Run 972</t>
  </si>
  <si>
    <t>Run 973</t>
  </si>
  <si>
    <t>Run 974</t>
  </si>
  <si>
    <t>Run 975</t>
  </si>
  <si>
    <t>Run 976</t>
  </si>
  <si>
    <t>Run 977</t>
  </si>
  <si>
    <t>Run 978</t>
  </si>
  <si>
    <t>Run 979</t>
  </si>
  <si>
    <t>Run 980</t>
  </si>
  <si>
    <t>Run 981</t>
  </si>
  <si>
    <t>Run 982</t>
  </si>
  <si>
    <t>Run 983</t>
  </si>
  <si>
    <t>Run 984</t>
  </si>
  <si>
    <t>Run 985</t>
  </si>
  <si>
    <t>Run 986</t>
  </si>
  <si>
    <t>Run 987</t>
  </si>
  <si>
    <t>Run 988</t>
  </si>
  <si>
    <t>Run 989</t>
  </si>
  <si>
    <t>Run 990</t>
  </si>
  <si>
    <t>Run 991</t>
  </si>
  <si>
    <t>Run 992</t>
  </si>
  <si>
    <t>Run 993</t>
  </si>
  <si>
    <t>Run 994</t>
  </si>
  <si>
    <t>Run 995</t>
  </si>
  <si>
    <t>Run 996</t>
  </si>
  <si>
    <t>Run 997</t>
  </si>
  <si>
    <t>Run 998</t>
  </si>
  <si>
    <t>Run 999</t>
  </si>
  <si>
    <t>Run 1000</t>
  </si>
  <si>
    <t xml:space="preserve">   </t>
  </si>
  <si>
    <t>WTP Threshold</t>
  </si>
  <si>
    <t>% Cost-effective</t>
  </si>
  <si>
    <t>Most cost-effective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</si>
</sst>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rgb="FFC0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b/>
      <u/>
      <sz val="11"/>
      <color theme="1"/>
      <name val="Arial"/>
      <family val="2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D7E89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D7D31"/>
        <bgColor indexed="64"/>
      </patternFill>
    </fill>
    <fill>
      <gradientFill degree="270">
        <stop position="0">
          <color theme="0"/>
        </stop>
        <stop position="1">
          <color rgb="FFED7D31"/>
        </stop>
      </gradientFill>
    </fill>
    <fill>
      <patternFill patternType="solid">
        <fgColor rgb="FFFF9900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theme="0" tint="-0.14999847407452621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</borders>
  <cellStyleXfs count="4">
    <xf numFmtId="0" fontId="0" fillId="0" borderId="0"/>
    <xf numFmtId="4" fontId="1" fillId="2" borderId="1"/>
    <xf numFmtId="0" fontId="1" fillId="3" borderId="1"/>
    <xf numFmtId="4" fontId="1" fillId="4" borderId="1"/>
  </cellStyleXfs>
  <cellXfs count="140">
    <xf numFmtId="0" fontId="0" fillId="0" borderId="0" xfId="0"/>
    <xf numFmtId="0" fontId="0" fillId="5" borderId="0" xfId="0" applyFill="1"/>
    <xf numFmtId="0" fontId="0" fillId="6" borderId="0" xfId="0" applyFill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0" fontId="0" fillId="7" borderId="0" xfId="0" applyFill="1"/>
    <xf numFmtId="0" fontId="0" fillId="8" borderId="0" xfId="0" applyFill="1"/>
    <xf numFmtId="0" fontId="2" fillId="5" borderId="0" xfId="0" applyFont="1" applyFill="1"/>
    <xf numFmtId="0" fontId="3" fillId="5" borderId="0" xfId="0" applyFont="1" applyFill="1"/>
    <xf numFmtId="0" fontId="4" fillId="0" borderId="0" xfId="0" applyFont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6" fillId="0" borderId="6" xfId="0" applyFont="1" applyBorder="1"/>
    <xf numFmtId="0" fontId="0" fillId="0" borderId="6" xfId="0" applyBorder="1"/>
    <xf numFmtId="0" fontId="0" fillId="0" borderId="1" xfId="0" applyBorder="1"/>
    <xf numFmtId="9" fontId="0" fillId="0" borderId="1" xfId="0" applyNumberFormat="1" applyBorder="1"/>
    <xf numFmtId="0" fontId="6" fillId="0" borderId="6" xfId="0" applyFont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0" xfId="0" applyFill="1" applyAlignment="1">
      <alignment vertical="top"/>
    </xf>
    <xf numFmtId="0" fontId="0" fillId="7" borderId="0" xfId="0" applyFill="1" applyAlignment="1">
      <alignment vertical="top"/>
    </xf>
    <xf numFmtId="0" fontId="0" fillId="8" borderId="0" xfId="0" applyFill="1" applyAlignment="1">
      <alignment vertical="top"/>
    </xf>
    <xf numFmtId="0" fontId="0" fillId="5" borderId="4" xfId="0" applyFill="1" applyBorder="1" applyAlignment="1">
      <alignment vertical="top"/>
    </xf>
    <xf numFmtId="0" fontId="0" fillId="5" borderId="1" xfId="0" applyFill="1" applyBorder="1" applyAlignment="1">
      <alignment vertical="top"/>
    </xf>
    <xf numFmtId="0" fontId="6" fillId="0" borderId="6" xfId="0" applyFont="1" applyBorder="1" applyAlignment="1">
      <alignment vertical="top"/>
    </xf>
    <xf numFmtId="0" fontId="0" fillId="5" borderId="6" xfId="0" applyFill="1" applyBorder="1" applyAlignment="1">
      <alignment vertical="top"/>
    </xf>
    <xf numFmtId="0" fontId="0" fillId="6" borderId="0" xfId="0" applyFill="1" applyAlignment="1">
      <alignment vertical="top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5" borderId="0" xfId="0" applyFill="1" applyAlignment="1">
      <alignment horizontal="left" vertical="center"/>
    </xf>
    <xf numFmtId="164" fontId="0" fillId="5" borderId="0" xfId="0" applyNumberFormat="1" applyFill="1" applyAlignment="1">
      <alignment horizontal="center" vertical="center"/>
    </xf>
    <xf numFmtId="164" fontId="0" fillId="7" borderId="0" xfId="0" applyNumberFormat="1" applyFill="1" applyAlignment="1">
      <alignment horizontal="center" vertical="center"/>
    </xf>
    <xf numFmtId="164" fontId="0" fillId="8" borderId="0" xfId="0" applyNumberFormat="1" applyFill="1" applyAlignment="1">
      <alignment horizontal="center" vertical="center"/>
    </xf>
    <xf numFmtId="164" fontId="0" fillId="5" borderId="6" xfId="0" applyNumberFormat="1" applyFill="1" applyBorder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64" fontId="0" fillId="5" borderId="1" xfId="0" applyNumberFormat="1" applyFill="1" applyBorder="1" applyAlignment="1">
      <alignment horizontal="center" vertical="center"/>
    </xf>
    <xf numFmtId="0" fontId="3" fillId="0" borderId="10" xfId="0" applyFont="1" applyBorder="1"/>
    <xf numFmtId="0" fontId="6" fillId="5" borderId="13" xfId="0" applyFont="1" applyFill="1" applyBorder="1"/>
    <xf numFmtId="0" fontId="6" fillId="5" borderId="15" xfId="0" applyFont="1" applyFill="1" applyBorder="1"/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0" fillId="5" borderId="20" xfId="0" applyFill="1" applyBorder="1"/>
    <xf numFmtId="0" fontId="0" fillId="5" borderId="20" xfId="0" applyFill="1" applyBorder="1" applyAlignment="1">
      <alignment horizontal="center" vertical="center"/>
    </xf>
    <xf numFmtId="0" fontId="0" fillId="5" borderId="19" xfId="0" applyFill="1" applyBorder="1"/>
    <xf numFmtId="0" fontId="0" fillId="5" borderId="20" xfId="0" applyFill="1" applyBorder="1" applyAlignment="1">
      <alignment horizontal="left" vertical="center"/>
    </xf>
    <xf numFmtId="0" fontId="0" fillId="5" borderId="21" xfId="0" applyFill="1" applyBorder="1"/>
    <xf numFmtId="0" fontId="0" fillId="5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left" vertical="center"/>
    </xf>
    <xf numFmtId="0" fontId="0" fillId="5" borderId="22" xfId="0" applyFill="1" applyBorder="1"/>
    <xf numFmtId="0" fontId="2" fillId="5" borderId="0" xfId="0" applyFont="1" applyFill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4" fontId="9" fillId="13" borderId="1" xfId="0" applyNumberFormat="1" applyFont="1" applyFill="1" applyBorder="1" applyAlignment="1">
      <alignment horizontal="center" vertical="center"/>
    </xf>
    <xf numFmtId="3" fontId="9" fillId="13" borderId="1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1" fillId="0" borderId="0" xfId="0" applyFont="1"/>
    <xf numFmtId="0" fontId="6" fillId="0" borderId="1" xfId="0" applyFont="1" applyBorder="1" applyAlignment="1">
      <alignment horizontal="center" vertical="center"/>
    </xf>
    <xf numFmtId="4" fontId="7" fillId="0" borderId="24" xfId="0" applyNumberFormat="1" applyFont="1" applyBorder="1"/>
    <xf numFmtId="4" fontId="7" fillId="0" borderId="25" xfId="0" applyNumberFormat="1" applyFont="1" applyBorder="1"/>
    <xf numFmtId="4" fontId="7" fillId="0" borderId="26" xfId="0" applyNumberFormat="1" applyFont="1" applyBorder="1"/>
    <xf numFmtId="0" fontId="0" fillId="5" borderId="7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0" xfId="0" applyFill="1" applyAlignment="1">
      <alignment horizontal="right" vertical="top"/>
    </xf>
    <xf numFmtId="0" fontId="6" fillId="0" borderId="18" xfId="0" applyFont="1" applyBorder="1" applyAlignment="1">
      <alignment horizontal="center" vertical="center"/>
    </xf>
    <xf numFmtId="1" fontId="8" fillId="0" borderId="24" xfId="0" applyNumberFormat="1" applyFont="1" applyBorder="1" applyAlignment="1">
      <alignment horizontal="center"/>
    </xf>
    <xf numFmtId="1" fontId="8" fillId="0" borderId="25" xfId="0" applyNumberFormat="1" applyFont="1" applyBorder="1" applyAlignment="1">
      <alignment horizontal="center"/>
    </xf>
    <xf numFmtId="1" fontId="8" fillId="0" borderId="26" xfId="0" applyNumberFormat="1" applyFont="1" applyBorder="1" applyAlignment="1">
      <alignment horizontal="center"/>
    </xf>
    <xf numFmtId="2" fontId="7" fillId="0" borderId="24" xfId="0" applyNumberFormat="1" applyFont="1" applyBorder="1" applyAlignment="1">
      <alignment wrapText="1"/>
    </xf>
    <xf numFmtId="2" fontId="7" fillId="0" borderId="25" xfId="0" applyNumberFormat="1" applyFont="1" applyBorder="1" applyAlignment="1">
      <alignment wrapText="1"/>
    </xf>
    <xf numFmtId="2" fontId="7" fillId="0" borderId="26" xfId="0" applyNumberFormat="1" applyFont="1" applyBorder="1" applyAlignment="1">
      <alignment wrapText="1"/>
    </xf>
    <xf numFmtId="3" fontId="0" fillId="9" borderId="1" xfId="0" applyNumberForma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2" fontId="0" fillId="5" borderId="6" xfId="0" applyNumberFormat="1" applyFill="1" applyBorder="1" applyAlignment="1">
      <alignment horizontal="center" vertical="center"/>
    </xf>
    <xf numFmtId="2" fontId="0" fillId="11" borderId="0" xfId="0" applyNumberFormat="1" applyFill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164" fontId="0" fillId="11" borderId="1" xfId="0" applyNumberFormat="1" applyFill="1" applyBorder="1" applyAlignment="1">
      <alignment horizontal="center" vertical="center"/>
    </xf>
    <xf numFmtId="164" fontId="0" fillId="11" borderId="0" xfId="0" applyNumberFormat="1" applyFill="1" applyAlignment="1">
      <alignment horizontal="center" vertical="center"/>
    </xf>
    <xf numFmtId="164" fontId="0" fillId="11" borderId="8" xfId="0" applyNumberFormat="1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164" fontId="0" fillId="11" borderId="6" xfId="0" applyNumberFormat="1" applyFill="1" applyBorder="1" applyAlignment="1">
      <alignment horizontal="center" vertical="center"/>
    </xf>
    <xf numFmtId="164" fontId="0" fillId="11" borderId="9" xfId="0" applyNumberFormat="1" applyFill="1" applyBorder="1" applyAlignment="1">
      <alignment horizontal="center" vertical="center"/>
    </xf>
    <xf numFmtId="164" fontId="0" fillId="11" borderId="2" xfId="0" applyNumberFormat="1" applyFill="1" applyBorder="1" applyAlignment="1">
      <alignment horizontal="center" vertical="center"/>
    </xf>
    <xf numFmtId="164" fontId="0" fillId="11" borderId="5" xfId="0" applyNumberFormat="1" applyFill="1" applyBorder="1" applyAlignment="1">
      <alignment horizontal="center" vertical="center"/>
    </xf>
    <xf numFmtId="164" fontId="0" fillId="11" borderId="3" xfId="0" applyNumberFormat="1" applyFill="1" applyBorder="1" applyAlignment="1">
      <alignment horizontal="center" vertical="center"/>
    </xf>
    <xf numFmtId="164" fontId="0" fillId="11" borderId="4" xfId="0" applyNumberFormat="1" applyFill="1" applyBorder="1" applyAlignment="1">
      <alignment horizontal="center" vertical="center"/>
    </xf>
    <xf numFmtId="164" fontId="0" fillId="11" borderId="7" xfId="0" applyNumberFormat="1" applyFill="1" applyBorder="1" applyAlignment="1">
      <alignment horizontal="center" vertical="center"/>
    </xf>
    <xf numFmtId="4" fontId="0" fillId="12" borderId="0" xfId="0" applyNumberFormat="1" applyFill="1" applyAlignment="1">
      <alignment horizontal="center"/>
    </xf>
    <xf numFmtId="4" fontId="0" fillId="12" borderId="14" xfId="0" applyNumberFormat="1" applyFill="1" applyBorder="1" applyAlignment="1">
      <alignment horizontal="center"/>
    </xf>
    <xf numFmtId="4" fontId="0" fillId="12" borderId="16" xfId="0" applyNumberFormat="1" applyFill="1" applyBorder="1" applyAlignment="1">
      <alignment horizontal="center"/>
    </xf>
    <xf numFmtId="4" fontId="0" fillId="12" borderId="17" xfId="0" applyNumberFormat="1" applyFill="1" applyBorder="1" applyAlignment="1">
      <alignment horizontal="center"/>
    </xf>
    <xf numFmtId="0" fontId="0" fillId="5" borderId="29" xfId="0" applyFill="1" applyBorder="1"/>
    <xf numFmtId="0" fontId="6" fillId="0" borderId="31" xfId="0" applyFont="1" applyBorder="1" applyAlignment="1">
      <alignment horizontal="center" vertical="center"/>
    </xf>
    <xf numFmtId="4" fontId="6" fillId="0" borderId="31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5" borderId="32" xfId="0" applyNumberFormat="1" applyFill="1" applyBorder="1" applyAlignment="1">
      <alignment horizontal="center"/>
    </xf>
    <xf numFmtId="10" fontId="0" fillId="5" borderId="33" xfId="0" applyNumberFormat="1" applyFill="1" applyBorder="1" applyAlignment="1">
      <alignment horizontal="center"/>
    </xf>
    <xf numFmtId="0" fontId="6" fillId="0" borderId="10" xfId="0" applyFont="1" applyBorder="1" applyAlignment="1">
      <alignment horizontal="center" vertical="center"/>
    </xf>
    <xf numFmtId="0" fontId="6" fillId="0" borderId="3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5" borderId="31" xfId="0" applyFill="1" applyBorder="1" applyAlignment="1">
      <alignment horizontal="center" vertical="center"/>
    </xf>
    <xf numFmtId="3" fontId="0" fillId="5" borderId="35" xfId="0" applyNumberFormat="1" applyFill="1" applyBorder="1" applyAlignment="1">
      <alignment horizontal="center" vertical="center"/>
    </xf>
    <xf numFmtId="0" fontId="0" fillId="5" borderId="35" xfId="0" applyFill="1" applyBorder="1"/>
    <xf numFmtId="0" fontId="0" fillId="6" borderId="35" xfId="0" applyFill="1" applyBorder="1"/>
    <xf numFmtId="10" fontId="0" fillId="5" borderId="35" xfId="0" applyNumberFormat="1" applyFill="1" applyBorder="1"/>
    <xf numFmtId="0" fontId="0" fillId="0" borderId="35" xfId="0" applyBorder="1"/>
    <xf numFmtId="3" fontId="0" fillId="5" borderId="36" xfId="0" applyNumberFormat="1" applyFill="1" applyBorder="1" applyAlignment="1">
      <alignment horizontal="center" vertical="center"/>
    </xf>
    <xf numFmtId="10" fontId="0" fillId="5" borderId="36" xfId="0" applyNumberFormat="1" applyFill="1" applyBorder="1"/>
    <xf numFmtId="0" fontId="12" fillId="5" borderId="0" xfId="0" applyFont="1" applyFill="1" applyAlignment="1">
      <alignment horizontal="center" vertical="center" wrapText="1"/>
    </xf>
    <xf numFmtId="0" fontId="0" fillId="5" borderId="23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 wrapText="1"/>
    </xf>
    <xf numFmtId="0" fontId="0" fillId="5" borderId="28" xfId="0" applyFill="1" applyBorder="1" applyAlignment="1">
      <alignment horizontal="center" vertical="center" wrapText="1"/>
    </xf>
    <xf numFmtId="0" fontId="6" fillId="0" borderId="31" xfId="0" applyFont="1" applyBorder="1" applyAlignment="1">
      <alignment horizontal="center" vertical="center"/>
    </xf>
    <xf numFmtId="4" fontId="6" fillId="0" borderId="32" xfId="0" applyNumberFormat="1" applyFont="1" applyBorder="1" applyAlignment="1">
      <alignment horizontal="center" vertical="center"/>
    </xf>
    <xf numFmtId="4" fontId="6" fillId="0" borderId="30" xfId="0" applyNumberFormat="1" applyFont="1" applyBorder="1" applyAlignment="1">
      <alignment horizontal="center" vertical="center"/>
    </xf>
    <xf numFmtId="4" fontId="6" fillId="0" borderId="33" xfId="0" applyNumberFormat="1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</cellXfs>
  <cellStyles count="4">
    <cellStyle name="Calc" xfId="3" xr:uid="{4EF9E205-85E6-453F-8CC4-B282C33542DD}"/>
    <cellStyle name="Input1" xfId="1" xr:uid="{13D44153-11F0-458A-B206-7857179ADA80}"/>
    <cellStyle name="Input2" xfId="2" xr:uid="{FC304710-46ED-43EE-917F-BE6F0BE3CCB3}"/>
    <cellStyle name="Normal" xfId="0" builtinId="0"/>
  </cellStyles>
  <dxfs count="0"/>
  <tableStyles count="0" defaultTableStyle="TableStyleMedium2" defaultPivotStyle="PivotStyleLight16"/>
  <colors>
    <mruColors>
      <color rgb="FFCCCC00"/>
      <color rgb="FFCC9900"/>
      <color rgb="FFFF9900"/>
      <color rgb="FF782381"/>
      <color rgb="FF7422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Top 10 parameters influencing ICER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44040128901284092"/>
          <c:y val="0.15430833050630577"/>
          <c:w val="0.56684779859338608"/>
          <c:h val="0.7378951440593736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DSA!$M$17</c:f>
              <c:strCache>
                <c:ptCount val="1"/>
                <c:pt idx="0">
                  <c:v>Lower bound ICER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DSA!$L$18:$L$27</c:f>
              <c:strCache>
                <c:ptCount val="8"/>
                <c:pt idx="0">
                  <c:v>Drug B - Probability of pre-progression patients stay pre-progression</c:v>
                </c:pt>
                <c:pt idx="1">
                  <c:v>Drug A - Probability of pre-progression patients stay pre-progression</c:v>
                </c:pt>
                <c:pt idx="2">
                  <c:v>Pre-progression utility</c:v>
                </c:pt>
                <c:pt idx="3">
                  <c:v>Drug A cost</c:v>
                </c:pt>
                <c:pt idx="4">
                  <c:v>Post-progression utility</c:v>
                </c:pt>
                <c:pt idx="5">
                  <c:v>Costs of being post-progression</c:v>
                </c:pt>
                <c:pt idx="6">
                  <c:v>Drug B cost</c:v>
                </c:pt>
                <c:pt idx="7">
                  <c:v>Costs of being pre-progression</c:v>
                </c:pt>
              </c:strCache>
            </c:strRef>
          </c:cat>
          <c:val>
            <c:numRef>
              <c:f>DSA!$M$18:$M$27</c:f>
              <c:numCache>
                <c:formatCode>#,##0.00</c:formatCode>
                <c:ptCount val="10"/>
                <c:pt idx="0">
                  <c:v>874.15987860805058</c:v>
                </c:pt>
                <c:pt idx="1">
                  <c:v>-4535.4601497661606</c:v>
                </c:pt>
                <c:pt idx="2">
                  <c:v>6277.0445489907124</c:v>
                </c:pt>
                <c:pt idx="3">
                  <c:v>1271.7266718330693</c:v>
                </c:pt>
                <c:pt idx="4">
                  <c:v>1787.8338219101988</c:v>
                </c:pt>
                <c:pt idx="5">
                  <c:v>2614.9239745656459</c:v>
                </c:pt>
                <c:pt idx="6">
                  <c:v>2560.7844673020845</c:v>
                </c:pt>
                <c:pt idx="7">
                  <c:v>2171.2094805400047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28-4A17-859F-68158B60C47C}"/>
            </c:ext>
          </c:extLst>
        </c:ser>
        <c:ser>
          <c:idx val="1"/>
          <c:order val="1"/>
          <c:tx>
            <c:strRef>
              <c:f>DSA!$N$17</c:f>
              <c:strCache>
                <c:ptCount val="1"/>
                <c:pt idx="0">
                  <c:v>Upper bound ICER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strRef>
              <c:f>DSA!$L$18:$L$27</c:f>
              <c:strCache>
                <c:ptCount val="8"/>
                <c:pt idx="0">
                  <c:v>Drug B - Probability of pre-progression patients stay pre-progression</c:v>
                </c:pt>
                <c:pt idx="1">
                  <c:v>Drug A - Probability of pre-progression patients stay pre-progression</c:v>
                </c:pt>
                <c:pt idx="2">
                  <c:v>Pre-progression utility</c:v>
                </c:pt>
                <c:pt idx="3">
                  <c:v>Drug A cost</c:v>
                </c:pt>
                <c:pt idx="4">
                  <c:v>Post-progression utility</c:v>
                </c:pt>
                <c:pt idx="5">
                  <c:v>Costs of being post-progression</c:v>
                </c:pt>
                <c:pt idx="6">
                  <c:v>Drug B cost</c:v>
                </c:pt>
                <c:pt idx="7">
                  <c:v>Costs of being pre-progression</c:v>
                </c:pt>
              </c:strCache>
            </c:strRef>
          </c:cat>
          <c:val>
            <c:numRef>
              <c:f>DSA!$N$18:$N$27</c:f>
              <c:numCache>
                <c:formatCode>#,##0.00</c:formatCode>
                <c:ptCount val="10"/>
                <c:pt idx="0">
                  <c:v>-9040.3070703185094</c:v>
                </c:pt>
                <c:pt idx="1">
                  <c:v>652.28186392495184</c:v>
                </c:pt>
                <c:pt idx="2">
                  <c:v>2157.2272711930791</c:v>
                </c:pt>
                <c:pt idx="3">
                  <c:v>3348.5563927364215</c:v>
                </c:pt>
                <c:pt idx="4">
                  <c:v>3042.0348024757905</c:v>
                </c:pt>
                <c:pt idx="5">
                  <c:v>1868.9248030945569</c:v>
                </c:pt>
                <c:pt idx="6">
                  <c:v>1928.563491343737</c:v>
                </c:pt>
                <c:pt idx="7">
                  <c:v>2357.7092734077801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28-4A17-859F-68158B60C4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523633552"/>
        <c:axId val="1523631152"/>
      </c:barChart>
      <c:catAx>
        <c:axId val="1523633552"/>
        <c:scaling>
          <c:orientation val="maxMin"/>
        </c:scaling>
        <c:delete val="0"/>
        <c:axPos val="l"/>
        <c:numFmt formatCode="#,##0_);\(#,##0\)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631152"/>
        <c:crossesAt val="2259.9523793451335"/>
        <c:auto val="1"/>
        <c:lblAlgn val="ctr"/>
        <c:lblOffset val="100"/>
        <c:noMultiLvlLbl val="0"/>
      </c:catAx>
      <c:valAx>
        <c:axId val="152363115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633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bg2">
            <a:lumMod val="9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alpha val="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PSA!$Q$17:$Q$1016</c:f>
              <c:numCache>
                <c:formatCode>General</c:formatCode>
                <c:ptCount val="1000"/>
                <c:pt idx="0">
                  <c:v>-0.94797472795549886</c:v>
                </c:pt>
                <c:pt idx="1">
                  <c:v>1.3131263638136534</c:v>
                </c:pt>
                <c:pt idx="2">
                  <c:v>-0.74644926397939582</c:v>
                </c:pt>
                <c:pt idx="3">
                  <c:v>0.84316553222218626</c:v>
                </c:pt>
                <c:pt idx="4">
                  <c:v>-2.7390004889325512</c:v>
                </c:pt>
                <c:pt idx="5">
                  <c:v>-2.2499890541519409</c:v>
                </c:pt>
                <c:pt idx="6">
                  <c:v>-1.7230480527023087</c:v>
                </c:pt>
                <c:pt idx="7">
                  <c:v>2.170047435733566</c:v>
                </c:pt>
                <c:pt idx="8">
                  <c:v>2.9449870122146775</c:v>
                </c:pt>
                <c:pt idx="9">
                  <c:v>-2.3284985225565453</c:v>
                </c:pt>
                <c:pt idx="10">
                  <c:v>2.4656729227526641</c:v>
                </c:pt>
                <c:pt idx="11">
                  <c:v>5.5227781518505141</c:v>
                </c:pt>
                <c:pt idx="12">
                  <c:v>-0.44215709001650172</c:v>
                </c:pt>
                <c:pt idx="13">
                  <c:v>1.3448178593798596</c:v>
                </c:pt>
                <c:pt idx="14">
                  <c:v>0.90391703951388402</c:v>
                </c:pt>
                <c:pt idx="15">
                  <c:v>0.66555077474087021</c:v>
                </c:pt>
                <c:pt idx="16">
                  <c:v>3.509780059243174</c:v>
                </c:pt>
                <c:pt idx="17">
                  <c:v>3.7826217172071326</c:v>
                </c:pt>
                <c:pt idx="18">
                  <c:v>1.6304349739657713</c:v>
                </c:pt>
                <c:pt idx="19">
                  <c:v>3.8104747657459086</c:v>
                </c:pt>
                <c:pt idx="20">
                  <c:v>-2.5570313054901401</c:v>
                </c:pt>
                <c:pt idx="21">
                  <c:v>2.799245649054634</c:v>
                </c:pt>
                <c:pt idx="22">
                  <c:v>2.0920201529626921</c:v>
                </c:pt>
                <c:pt idx="23">
                  <c:v>2.7107705955388335</c:v>
                </c:pt>
                <c:pt idx="24">
                  <c:v>1.6292650747894584</c:v>
                </c:pt>
                <c:pt idx="25">
                  <c:v>-3.3491998182857783</c:v>
                </c:pt>
                <c:pt idx="26">
                  <c:v>-0.42909243585232737</c:v>
                </c:pt>
                <c:pt idx="27">
                  <c:v>2.4219942306017419</c:v>
                </c:pt>
                <c:pt idx="28">
                  <c:v>-1.7363779557465886</c:v>
                </c:pt>
                <c:pt idx="29">
                  <c:v>0.36453928370601751</c:v>
                </c:pt>
                <c:pt idx="30">
                  <c:v>-2.0332471423017706</c:v>
                </c:pt>
                <c:pt idx="31">
                  <c:v>0.81740844637449861</c:v>
                </c:pt>
                <c:pt idx="32">
                  <c:v>0.2524099284927841</c:v>
                </c:pt>
                <c:pt idx="33">
                  <c:v>-0.33689277592760369</c:v>
                </c:pt>
                <c:pt idx="34">
                  <c:v>-1.941675247398134</c:v>
                </c:pt>
                <c:pt idx="35">
                  <c:v>-1.1938128220444471</c:v>
                </c:pt>
                <c:pt idx="36">
                  <c:v>-0.80103419967934819</c:v>
                </c:pt>
                <c:pt idx="37">
                  <c:v>-2.2046170045627296</c:v>
                </c:pt>
                <c:pt idx="38">
                  <c:v>0.27766977121257419</c:v>
                </c:pt>
                <c:pt idx="39">
                  <c:v>1.637848688925418</c:v>
                </c:pt>
                <c:pt idx="40">
                  <c:v>0.1154632513129723</c:v>
                </c:pt>
                <c:pt idx="41">
                  <c:v>1.0157579049954961</c:v>
                </c:pt>
                <c:pt idx="42">
                  <c:v>5.942300575072351</c:v>
                </c:pt>
                <c:pt idx="43">
                  <c:v>2.4805046761868708</c:v>
                </c:pt>
                <c:pt idx="44">
                  <c:v>2.3556001692406863</c:v>
                </c:pt>
                <c:pt idx="45">
                  <c:v>-1.1906485390066903</c:v>
                </c:pt>
                <c:pt idx="46">
                  <c:v>1.5799723146576357</c:v>
                </c:pt>
                <c:pt idx="47">
                  <c:v>-0.85091452476612339</c:v>
                </c:pt>
                <c:pt idx="48">
                  <c:v>-3.366488139614054</c:v>
                </c:pt>
                <c:pt idx="49">
                  <c:v>0.99357684847546412</c:v>
                </c:pt>
                <c:pt idx="50">
                  <c:v>-1.7057629491262025</c:v>
                </c:pt>
                <c:pt idx="51">
                  <c:v>1.6784243392480551</c:v>
                </c:pt>
                <c:pt idx="52">
                  <c:v>1.0160147668731341</c:v>
                </c:pt>
                <c:pt idx="53">
                  <c:v>-1.8756428578127693</c:v>
                </c:pt>
                <c:pt idx="54">
                  <c:v>3.7642218838001815</c:v>
                </c:pt>
                <c:pt idx="55">
                  <c:v>2.2989436723274519</c:v>
                </c:pt>
                <c:pt idx="56">
                  <c:v>-1.7041038826642474</c:v>
                </c:pt>
                <c:pt idx="57">
                  <c:v>-1.3868430815969273</c:v>
                </c:pt>
                <c:pt idx="58">
                  <c:v>-0.75725051239783525</c:v>
                </c:pt>
                <c:pt idx="59">
                  <c:v>0.48859740073486968</c:v>
                </c:pt>
                <c:pt idx="60">
                  <c:v>2.625361253975413</c:v>
                </c:pt>
                <c:pt idx="61">
                  <c:v>-3.59758157999297</c:v>
                </c:pt>
                <c:pt idx="62">
                  <c:v>-0.60715196177286135</c:v>
                </c:pt>
                <c:pt idx="63">
                  <c:v>1.9315498137495775</c:v>
                </c:pt>
                <c:pt idx="64">
                  <c:v>3.3046301780736895</c:v>
                </c:pt>
                <c:pt idx="65">
                  <c:v>2.8920501677501758</c:v>
                </c:pt>
                <c:pt idx="66">
                  <c:v>8.7233073638530279E-2</c:v>
                </c:pt>
                <c:pt idx="67">
                  <c:v>2.3610376908831316</c:v>
                </c:pt>
                <c:pt idx="68">
                  <c:v>-0.94960222232204661</c:v>
                </c:pt>
                <c:pt idx="69">
                  <c:v>3.2413149485575241</c:v>
                </c:pt>
                <c:pt idx="70">
                  <c:v>-3.9200517064433642</c:v>
                </c:pt>
                <c:pt idx="71">
                  <c:v>-1.3783542370233235</c:v>
                </c:pt>
                <c:pt idx="72">
                  <c:v>0.85309492135952603</c:v>
                </c:pt>
                <c:pt idx="73">
                  <c:v>2.2560295937476775</c:v>
                </c:pt>
                <c:pt idx="74">
                  <c:v>3.7335076680433454</c:v>
                </c:pt>
                <c:pt idx="75">
                  <c:v>1.9936218522395848</c:v>
                </c:pt>
                <c:pt idx="76">
                  <c:v>-1.4037776290474415</c:v>
                </c:pt>
                <c:pt idx="77">
                  <c:v>0.72205002157949139</c:v>
                </c:pt>
                <c:pt idx="78">
                  <c:v>-0.4578171099631545</c:v>
                </c:pt>
                <c:pt idx="79">
                  <c:v>2.4519975755601884</c:v>
                </c:pt>
                <c:pt idx="80">
                  <c:v>-1.2176777790451228</c:v>
                </c:pt>
                <c:pt idx="81">
                  <c:v>8.2234342952652639E-2</c:v>
                </c:pt>
                <c:pt idx="82">
                  <c:v>-0.85118061851428095</c:v>
                </c:pt>
                <c:pt idx="83">
                  <c:v>2.0181741309305767</c:v>
                </c:pt>
                <c:pt idx="84">
                  <c:v>0.48629124899355425</c:v>
                </c:pt>
                <c:pt idx="85">
                  <c:v>2.8281210614034062</c:v>
                </c:pt>
                <c:pt idx="86">
                  <c:v>1.7103350364102505</c:v>
                </c:pt>
                <c:pt idx="87">
                  <c:v>1.7517213804363561</c:v>
                </c:pt>
                <c:pt idx="88">
                  <c:v>0.72240895781656889</c:v>
                </c:pt>
                <c:pt idx="89">
                  <c:v>0.23707798948819203</c:v>
                </c:pt>
                <c:pt idx="90">
                  <c:v>-0.8713359324110197</c:v>
                </c:pt>
                <c:pt idx="91">
                  <c:v>2.9486384863247324</c:v>
                </c:pt>
                <c:pt idx="92">
                  <c:v>-0.37368045870395328</c:v>
                </c:pt>
                <c:pt idx="93">
                  <c:v>4.856021318440189</c:v>
                </c:pt>
                <c:pt idx="94">
                  <c:v>2.8540535129892852E-2</c:v>
                </c:pt>
                <c:pt idx="95">
                  <c:v>1.253709516713605</c:v>
                </c:pt>
                <c:pt idx="96">
                  <c:v>4.0236347597281101</c:v>
                </c:pt>
                <c:pt idx="97">
                  <c:v>-0.8661254357324264</c:v>
                </c:pt>
                <c:pt idx="98">
                  <c:v>2.4463739016636623</c:v>
                </c:pt>
                <c:pt idx="99">
                  <c:v>2.4391637267801762</c:v>
                </c:pt>
                <c:pt idx="100">
                  <c:v>3.3234381038341247</c:v>
                </c:pt>
                <c:pt idx="101">
                  <c:v>-1.1217805064444475</c:v>
                </c:pt>
                <c:pt idx="102">
                  <c:v>-1.91097272688123</c:v>
                </c:pt>
                <c:pt idx="103">
                  <c:v>-0.36790018948864933</c:v>
                </c:pt>
                <c:pt idx="104">
                  <c:v>1.8636976213338139</c:v>
                </c:pt>
                <c:pt idx="105">
                  <c:v>2.8307315749170714</c:v>
                </c:pt>
                <c:pt idx="106">
                  <c:v>-1.4177783711138314</c:v>
                </c:pt>
                <c:pt idx="107">
                  <c:v>1.1102211536769744</c:v>
                </c:pt>
                <c:pt idx="108">
                  <c:v>-1.5751349055069408</c:v>
                </c:pt>
                <c:pt idx="109">
                  <c:v>-1.3587378543046853</c:v>
                </c:pt>
                <c:pt idx="110">
                  <c:v>0.25640190218287451</c:v>
                </c:pt>
                <c:pt idx="111">
                  <c:v>-0.4032019483144289</c:v>
                </c:pt>
                <c:pt idx="112">
                  <c:v>2.2380594339499957</c:v>
                </c:pt>
                <c:pt idx="113">
                  <c:v>-1.8617890966457313</c:v>
                </c:pt>
                <c:pt idx="114">
                  <c:v>-1.4035241012014072</c:v>
                </c:pt>
                <c:pt idx="115">
                  <c:v>0.58457841866321747</c:v>
                </c:pt>
                <c:pt idx="116">
                  <c:v>-6.7883636892874168</c:v>
                </c:pt>
                <c:pt idx="117">
                  <c:v>-1.143829954752273</c:v>
                </c:pt>
                <c:pt idx="118">
                  <c:v>1.0367978410894096E-2</c:v>
                </c:pt>
                <c:pt idx="119">
                  <c:v>3.3281949376691413</c:v>
                </c:pt>
                <c:pt idx="120">
                  <c:v>-1.5633277646529731</c:v>
                </c:pt>
                <c:pt idx="121">
                  <c:v>-0.93586977791750581</c:v>
                </c:pt>
                <c:pt idx="122">
                  <c:v>-0.85335492966083848</c:v>
                </c:pt>
                <c:pt idx="123">
                  <c:v>3.5889553224237671</c:v>
                </c:pt>
                <c:pt idx="124">
                  <c:v>2.1253879407516125</c:v>
                </c:pt>
                <c:pt idx="125">
                  <c:v>-1.0611204532571996</c:v>
                </c:pt>
                <c:pt idx="126">
                  <c:v>3.1343645473886212</c:v>
                </c:pt>
                <c:pt idx="127">
                  <c:v>2.6430439473282208</c:v>
                </c:pt>
                <c:pt idx="128">
                  <c:v>-1.1433900948436007</c:v>
                </c:pt>
                <c:pt idx="129">
                  <c:v>2.4153043919840309</c:v>
                </c:pt>
                <c:pt idx="130">
                  <c:v>3.749059327734642</c:v>
                </c:pt>
                <c:pt idx="131">
                  <c:v>2.3678007214952768</c:v>
                </c:pt>
                <c:pt idx="132">
                  <c:v>-1.0708268496155213</c:v>
                </c:pt>
                <c:pt idx="133">
                  <c:v>-1.1100640597806297</c:v>
                </c:pt>
                <c:pt idx="134">
                  <c:v>1.4859601895013732</c:v>
                </c:pt>
                <c:pt idx="135">
                  <c:v>2.0739028129676491</c:v>
                </c:pt>
                <c:pt idx="136">
                  <c:v>1.7550288331080068</c:v>
                </c:pt>
                <c:pt idx="137">
                  <c:v>1.1296623632549121</c:v>
                </c:pt>
                <c:pt idx="138">
                  <c:v>0.74967635174293257</c:v>
                </c:pt>
                <c:pt idx="139">
                  <c:v>4.1255372805904393</c:v>
                </c:pt>
                <c:pt idx="140">
                  <c:v>-1.7348128854944864</c:v>
                </c:pt>
                <c:pt idx="141">
                  <c:v>3.465857563457611</c:v>
                </c:pt>
                <c:pt idx="142">
                  <c:v>2.0269107525354091</c:v>
                </c:pt>
                <c:pt idx="143">
                  <c:v>-0.33337887047502335</c:v>
                </c:pt>
                <c:pt idx="144">
                  <c:v>0.50635561746031854</c:v>
                </c:pt>
                <c:pt idx="145">
                  <c:v>1.5611382951152599</c:v>
                </c:pt>
                <c:pt idx="146">
                  <c:v>-0.83608878884085502</c:v>
                </c:pt>
                <c:pt idx="147">
                  <c:v>2.1494478561322827</c:v>
                </c:pt>
                <c:pt idx="148">
                  <c:v>2.6641456447217386</c:v>
                </c:pt>
                <c:pt idx="149">
                  <c:v>0.97308342974650763</c:v>
                </c:pt>
                <c:pt idx="150">
                  <c:v>1.6511674046625417</c:v>
                </c:pt>
                <c:pt idx="151">
                  <c:v>0.55390572276750838</c:v>
                </c:pt>
                <c:pt idx="152">
                  <c:v>2.7375804673969428</c:v>
                </c:pt>
                <c:pt idx="153">
                  <c:v>-0.98263514997718637</c:v>
                </c:pt>
                <c:pt idx="154">
                  <c:v>1.7928034259270094</c:v>
                </c:pt>
                <c:pt idx="155">
                  <c:v>4.9057236484931144</c:v>
                </c:pt>
                <c:pt idx="156">
                  <c:v>-1.4602432137056196</c:v>
                </c:pt>
                <c:pt idx="157">
                  <c:v>2.8527884657068068</c:v>
                </c:pt>
                <c:pt idx="158">
                  <c:v>1.3932262237362654</c:v>
                </c:pt>
                <c:pt idx="159">
                  <c:v>-2.7382077470889747</c:v>
                </c:pt>
                <c:pt idx="160">
                  <c:v>2.4148418714375692</c:v>
                </c:pt>
                <c:pt idx="161">
                  <c:v>-2.2761096745546068</c:v>
                </c:pt>
                <c:pt idx="162">
                  <c:v>-0.50675212184624563</c:v>
                </c:pt>
                <c:pt idx="163">
                  <c:v>-0.69218556023972777</c:v>
                </c:pt>
                <c:pt idx="164">
                  <c:v>2.1537970361595518</c:v>
                </c:pt>
                <c:pt idx="165">
                  <c:v>1.1205145394452245</c:v>
                </c:pt>
                <c:pt idx="166">
                  <c:v>2.7527829830716453</c:v>
                </c:pt>
                <c:pt idx="167">
                  <c:v>4.6824485818225794</c:v>
                </c:pt>
                <c:pt idx="168">
                  <c:v>3.4240513882745987</c:v>
                </c:pt>
                <c:pt idx="169">
                  <c:v>5.3778363020693352</c:v>
                </c:pt>
                <c:pt idx="170">
                  <c:v>-1.3456026935461134</c:v>
                </c:pt>
                <c:pt idx="171">
                  <c:v>5.3554838839530028</c:v>
                </c:pt>
                <c:pt idx="172">
                  <c:v>-2.1364233282642617</c:v>
                </c:pt>
                <c:pt idx="173">
                  <c:v>1.0584162103364552</c:v>
                </c:pt>
                <c:pt idx="174">
                  <c:v>-1.7379295846020648</c:v>
                </c:pt>
                <c:pt idx="175">
                  <c:v>2.8401596843093904</c:v>
                </c:pt>
                <c:pt idx="176">
                  <c:v>-2.2012669496001802</c:v>
                </c:pt>
                <c:pt idx="177">
                  <c:v>-1.4551218623164957</c:v>
                </c:pt>
                <c:pt idx="178">
                  <c:v>1.7170127205938268</c:v>
                </c:pt>
                <c:pt idx="179">
                  <c:v>-3.6523675722436977E-2</c:v>
                </c:pt>
                <c:pt idx="180">
                  <c:v>7.5631528472974017</c:v>
                </c:pt>
                <c:pt idx="181">
                  <c:v>2.0536254513469494</c:v>
                </c:pt>
                <c:pt idx="182">
                  <c:v>1.7333970285394313</c:v>
                </c:pt>
                <c:pt idx="183">
                  <c:v>-0.19773333958183859</c:v>
                </c:pt>
                <c:pt idx="184">
                  <c:v>-1.9815343742313711</c:v>
                </c:pt>
                <c:pt idx="185">
                  <c:v>0.8695272570761059</c:v>
                </c:pt>
                <c:pt idx="186">
                  <c:v>1.0181185999812303</c:v>
                </c:pt>
                <c:pt idx="187">
                  <c:v>-0.41351104384582449</c:v>
                </c:pt>
                <c:pt idx="188">
                  <c:v>2.7701919747557273</c:v>
                </c:pt>
                <c:pt idx="189">
                  <c:v>0.1107416196044344</c:v>
                </c:pt>
                <c:pt idx="190">
                  <c:v>0.82930622228105122</c:v>
                </c:pt>
                <c:pt idx="191">
                  <c:v>0.71877551588607336</c:v>
                </c:pt>
                <c:pt idx="192">
                  <c:v>0.89552542494667087</c:v>
                </c:pt>
                <c:pt idx="193">
                  <c:v>-0.76885749795719338</c:v>
                </c:pt>
                <c:pt idx="194">
                  <c:v>4.5669296404976114</c:v>
                </c:pt>
                <c:pt idx="195">
                  <c:v>5.5088950210071355</c:v>
                </c:pt>
                <c:pt idx="196">
                  <c:v>0.45296926459251807</c:v>
                </c:pt>
                <c:pt idx="197">
                  <c:v>0.87480680509313302</c:v>
                </c:pt>
                <c:pt idx="198">
                  <c:v>2.5946633411115654</c:v>
                </c:pt>
                <c:pt idx="199">
                  <c:v>4.2994371967333933</c:v>
                </c:pt>
                <c:pt idx="200">
                  <c:v>-0.86958634669711987</c:v>
                </c:pt>
                <c:pt idx="201">
                  <c:v>-6.1708175388573316E-2</c:v>
                </c:pt>
                <c:pt idx="202">
                  <c:v>1.6058874909084047</c:v>
                </c:pt>
                <c:pt idx="203">
                  <c:v>-1.3710061941839351</c:v>
                </c:pt>
                <c:pt idx="204">
                  <c:v>-1.2879692077021261</c:v>
                </c:pt>
                <c:pt idx="205">
                  <c:v>-1.3184763758036171</c:v>
                </c:pt>
                <c:pt idx="206">
                  <c:v>-1.7333071193901555</c:v>
                </c:pt>
                <c:pt idx="207">
                  <c:v>-2.8029450316285098</c:v>
                </c:pt>
                <c:pt idx="208">
                  <c:v>-3.0480713934460706</c:v>
                </c:pt>
                <c:pt idx="209">
                  <c:v>-3.3128446953494874</c:v>
                </c:pt>
                <c:pt idx="210">
                  <c:v>0.89549664969885434</c:v>
                </c:pt>
                <c:pt idx="211">
                  <c:v>1.8316870957963305</c:v>
                </c:pt>
                <c:pt idx="212">
                  <c:v>0.55248760159754529</c:v>
                </c:pt>
                <c:pt idx="213">
                  <c:v>2.5297396167480333</c:v>
                </c:pt>
                <c:pt idx="214">
                  <c:v>1.4156044359289996</c:v>
                </c:pt>
                <c:pt idx="215">
                  <c:v>-3.7178388172355561</c:v>
                </c:pt>
                <c:pt idx="216">
                  <c:v>-1.6907167527979459</c:v>
                </c:pt>
                <c:pt idx="217">
                  <c:v>-0.25739115241113186</c:v>
                </c:pt>
                <c:pt idx="218">
                  <c:v>-1.5715174107393732</c:v>
                </c:pt>
                <c:pt idx="219">
                  <c:v>-0.63078283392867007</c:v>
                </c:pt>
                <c:pt idx="220">
                  <c:v>-0.6726640762471261</c:v>
                </c:pt>
                <c:pt idx="221">
                  <c:v>-9.414114470845103E-2</c:v>
                </c:pt>
                <c:pt idx="222">
                  <c:v>-0.23778603823235933</c:v>
                </c:pt>
                <c:pt idx="223">
                  <c:v>-3.9174867637728026</c:v>
                </c:pt>
                <c:pt idx="224">
                  <c:v>1.4678169716381921</c:v>
                </c:pt>
                <c:pt idx="225">
                  <c:v>8.5411656050306206E-2</c:v>
                </c:pt>
                <c:pt idx="226">
                  <c:v>-0.63365528745774835</c:v>
                </c:pt>
                <c:pt idx="227">
                  <c:v>3.2072597670914682</c:v>
                </c:pt>
                <c:pt idx="228">
                  <c:v>6.1422057778712214</c:v>
                </c:pt>
                <c:pt idx="229">
                  <c:v>1.6291653516796298</c:v>
                </c:pt>
                <c:pt idx="230">
                  <c:v>-1.8742770023495892</c:v>
                </c:pt>
                <c:pt idx="231">
                  <c:v>2.8119937802402717</c:v>
                </c:pt>
                <c:pt idx="232">
                  <c:v>0.81934751187772203</c:v>
                </c:pt>
                <c:pt idx="233">
                  <c:v>-2.4027427632300098</c:v>
                </c:pt>
                <c:pt idx="234">
                  <c:v>-3.8238941733592462</c:v>
                </c:pt>
                <c:pt idx="235">
                  <c:v>3.0268472742796044</c:v>
                </c:pt>
                <c:pt idx="236">
                  <c:v>-0.5812067105600871</c:v>
                </c:pt>
                <c:pt idx="237">
                  <c:v>2.6281433011192341</c:v>
                </c:pt>
                <c:pt idx="238">
                  <c:v>1.0547405568241865</c:v>
                </c:pt>
                <c:pt idx="239">
                  <c:v>3.5362320421762856</c:v>
                </c:pt>
                <c:pt idx="240">
                  <c:v>-2.5984712516200492</c:v>
                </c:pt>
                <c:pt idx="241">
                  <c:v>-1.6883816070434117</c:v>
                </c:pt>
                <c:pt idx="242">
                  <c:v>1.2837965270424689E-2</c:v>
                </c:pt>
                <c:pt idx="243">
                  <c:v>1.8637281044509439</c:v>
                </c:pt>
                <c:pt idx="244">
                  <c:v>2.5235782021945496</c:v>
                </c:pt>
                <c:pt idx="245">
                  <c:v>3.7735453796843084</c:v>
                </c:pt>
                <c:pt idx="246">
                  <c:v>-0.61682564125013695</c:v>
                </c:pt>
                <c:pt idx="247">
                  <c:v>-5.7703703359535119E-2</c:v>
                </c:pt>
                <c:pt idx="248">
                  <c:v>2.0725262705535537</c:v>
                </c:pt>
                <c:pt idx="249">
                  <c:v>8.0210387915093051E-2</c:v>
                </c:pt>
                <c:pt idx="250">
                  <c:v>-0.36174904215432768</c:v>
                </c:pt>
                <c:pt idx="251">
                  <c:v>0.5599904190082805</c:v>
                </c:pt>
                <c:pt idx="252">
                  <c:v>1.0434290971534921E-2</c:v>
                </c:pt>
                <c:pt idx="253">
                  <c:v>3.1012484346562967</c:v>
                </c:pt>
                <c:pt idx="254">
                  <c:v>-1.2003929246340892</c:v>
                </c:pt>
                <c:pt idx="255">
                  <c:v>-3.4299452237436192</c:v>
                </c:pt>
                <c:pt idx="256">
                  <c:v>5.0966884364406191</c:v>
                </c:pt>
                <c:pt idx="257">
                  <c:v>-6.944270545809772E-2</c:v>
                </c:pt>
                <c:pt idx="258">
                  <c:v>1.9459992144915867</c:v>
                </c:pt>
                <c:pt idx="259">
                  <c:v>4.3824019980219013</c:v>
                </c:pt>
                <c:pt idx="260">
                  <c:v>0.68261766432147208</c:v>
                </c:pt>
                <c:pt idx="261">
                  <c:v>4.4816477916115476</c:v>
                </c:pt>
                <c:pt idx="262">
                  <c:v>2.5099321052339061</c:v>
                </c:pt>
                <c:pt idx="263">
                  <c:v>1.1734126324091232</c:v>
                </c:pt>
                <c:pt idx="264">
                  <c:v>-1.3906553871637053</c:v>
                </c:pt>
                <c:pt idx="265">
                  <c:v>-1.6033399960282573</c:v>
                </c:pt>
                <c:pt idx="266">
                  <c:v>-7.1649968802820041E-2</c:v>
                </c:pt>
                <c:pt idx="267">
                  <c:v>1.6680992493966231</c:v>
                </c:pt>
                <c:pt idx="268">
                  <c:v>-2.8854543281372242</c:v>
                </c:pt>
                <c:pt idx="269">
                  <c:v>-1.8080653141885277</c:v>
                </c:pt>
                <c:pt idx="270">
                  <c:v>-3.3936043104812219</c:v>
                </c:pt>
                <c:pt idx="271">
                  <c:v>0.95998686624932095</c:v>
                </c:pt>
                <c:pt idx="272">
                  <c:v>1.2139138116333967</c:v>
                </c:pt>
                <c:pt idx="273">
                  <c:v>3.9679358678826526</c:v>
                </c:pt>
                <c:pt idx="274">
                  <c:v>-2.1501165411195586</c:v>
                </c:pt>
                <c:pt idx="275">
                  <c:v>-1.1501624202817338</c:v>
                </c:pt>
                <c:pt idx="276">
                  <c:v>1.5800323852944942</c:v>
                </c:pt>
                <c:pt idx="277">
                  <c:v>0.44492282788474746</c:v>
                </c:pt>
                <c:pt idx="278">
                  <c:v>1.0152363226644043</c:v>
                </c:pt>
                <c:pt idx="279">
                  <c:v>2.3369198912315037</c:v>
                </c:pt>
                <c:pt idx="280">
                  <c:v>-2.7853856785325428</c:v>
                </c:pt>
                <c:pt idx="281">
                  <c:v>-0.8150908605616225</c:v>
                </c:pt>
                <c:pt idx="282">
                  <c:v>-1.072373851594425</c:v>
                </c:pt>
                <c:pt idx="283">
                  <c:v>0.89319708487815763</c:v>
                </c:pt>
                <c:pt idx="284">
                  <c:v>2.8490627564186992</c:v>
                </c:pt>
                <c:pt idx="285">
                  <c:v>0.98632646925189249</c:v>
                </c:pt>
                <c:pt idx="286">
                  <c:v>-1.1894412503430125</c:v>
                </c:pt>
                <c:pt idx="287">
                  <c:v>0.2317168577821711</c:v>
                </c:pt>
                <c:pt idx="288">
                  <c:v>0.93592191619904863</c:v>
                </c:pt>
                <c:pt idx="289">
                  <c:v>-0.92758136426283322</c:v>
                </c:pt>
                <c:pt idx="290">
                  <c:v>-3.141947908198846</c:v>
                </c:pt>
                <c:pt idx="291">
                  <c:v>-8.071620241915678E-2</c:v>
                </c:pt>
                <c:pt idx="292">
                  <c:v>5.3167474383729818E-2</c:v>
                </c:pt>
                <c:pt idx="293">
                  <c:v>-1.0017210115971462</c:v>
                </c:pt>
                <c:pt idx="294">
                  <c:v>3.1033848529896702</c:v>
                </c:pt>
                <c:pt idx="295">
                  <c:v>2.3946047958986085</c:v>
                </c:pt>
                <c:pt idx="296">
                  <c:v>2.173464329461936</c:v>
                </c:pt>
                <c:pt idx="297">
                  <c:v>2.416748649344246</c:v>
                </c:pt>
                <c:pt idx="298">
                  <c:v>-0.97945541075504217</c:v>
                </c:pt>
                <c:pt idx="299">
                  <c:v>0.8101620988274556</c:v>
                </c:pt>
                <c:pt idx="300">
                  <c:v>2.1311394188915118</c:v>
                </c:pt>
                <c:pt idx="301">
                  <c:v>-3.2588978572173746</c:v>
                </c:pt>
                <c:pt idx="302">
                  <c:v>3.8690939040807564</c:v>
                </c:pt>
                <c:pt idx="303">
                  <c:v>-0.41346974239221979</c:v>
                </c:pt>
                <c:pt idx="304">
                  <c:v>-0.13589075506760917</c:v>
                </c:pt>
                <c:pt idx="305">
                  <c:v>-0.3413118579110952</c:v>
                </c:pt>
                <c:pt idx="306">
                  <c:v>3.6686117835835184</c:v>
                </c:pt>
                <c:pt idx="307">
                  <c:v>0.47355955588068177</c:v>
                </c:pt>
                <c:pt idx="308">
                  <c:v>3.5761501955359858</c:v>
                </c:pt>
                <c:pt idx="309">
                  <c:v>1.5116446169457678</c:v>
                </c:pt>
                <c:pt idx="310">
                  <c:v>0.28890050927649114</c:v>
                </c:pt>
                <c:pt idx="311">
                  <c:v>0.28813950270723598</c:v>
                </c:pt>
                <c:pt idx="312">
                  <c:v>1.3456231024462255</c:v>
                </c:pt>
                <c:pt idx="313">
                  <c:v>0.56361609146055613</c:v>
                </c:pt>
                <c:pt idx="314">
                  <c:v>-1.0798784500106846</c:v>
                </c:pt>
                <c:pt idx="315">
                  <c:v>3.5421422730980474</c:v>
                </c:pt>
                <c:pt idx="316">
                  <c:v>3.1825182102783902</c:v>
                </c:pt>
                <c:pt idx="317">
                  <c:v>-0.50549378389809618</c:v>
                </c:pt>
                <c:pt idx="318">
                  <c:v>-1.0562250308306442</c:v>
                </c:pt>
                <c:pt idx="319">
                  <c:v>0.22347137057078914</c:v>
                </c:pt>
                <c:pt idx="320">
                  <c:v>4.7043942883123542</c:v>
                </c:pt>
                <c:pt idx="321">
                  <c:v>3.1253703820659222</c:v>
                </c:pt>
                <c:pt idx="322">
                  <c:v>1.2091462129666288</c:v>
                </c:pt>
                <c:pt idx="323">
                  <c:v>-2.4210185600482088</c:v>
                </c:pt>
                <c:pt idx="324">
                  <c:v>1.4305244177521796</c:v>
                </c:pt>
                <c:pt idx="325">
                  <c:v>2.3011630885777947</c:v>
                </c:pt>
                <c:pt idx="326">
                  <c:v>0.91179791635613849</c:v>
                </c:pt>
                <c:pt idx="327">
                  <c:v>4.1225301909679537</c:v>
                </c:pt>
                <c:pt idx="328">
                  <c:v>-0.8005079533956021</c:v>
                </c:pt>
                <c:pt idx="329">
                  <c:v>5.1514250229079233</c:v>
                </c:pt>
                <c:pt idx="330">
                  <c:v>-0.41483260776144437</c:v>
                </c:pt>
                <c:pt idx="331">
                  <c:v>1.1475020448685447</c:v>
                </c:pt>
                <c:pt idx="332">
                  <c:v>1.0240566247462253</c:v>
                </c:pt>
                <c:pt idx="333">
                  <c:v>2.1977977966185644</c:v>
                </c:pt>
                <c:pt idx="334">
                  <c:v>0.90577302279271965</c:v>
                </c:pt>
                <c:pt idx="335">
                  <c:v>-1.9028572133675379</c:v>
                </c:pt>
                <c:pt idx="336">
                  <c:v>3.8997513152017884</c:v>
                </c:pt>
                <c:pt idx="337">
                  <c:v>2.1921484244086464E-2</c:v>
                </c:pt>
                <c:pt idx="338">
                  <c:v>0.19054352116744333</c:v>
                </c:pt>
                <c:pt idx="339">
                  <c:v>2.5282128074905632</c:v>
                </c:pt>
                <c:pt idx="340">
                  <c:v>-2.2502457726546261</c:v>
                </c:pt>
                <c:pt idx="341">
                  <c:v>-0.60515023880276519</c:v>
                </c:pt>
                <c:pt idx="342">
                  <c:v>9.7749780667596653E-2</c:v>
                </c:pt>
                <c:pt idx="343">
                  <c:v>-1.0981764308456716</c:v>
                </c:pt>
                <c:pt idx="344">
                  <c:v>2.1502075559123437</c:v>
                </c:pt>
                <c:pt idx="345">
                  <c:v>-1.283447893592049</c:v>
                </c:pt>
                <c:pt idx="346">
                  <c:v>0.85059530264136907</c:v>
                </c:pt>
                <c:pt idx="347">
                  <c:v>3.0076534910946364</c:v>
                </c:pt>
                <c:pt idx="348">
                  <c:v>-1.9061105305368056</c:v>
                </c:pt>
                <c:pt idx="349">
                  <c:v>1.6275176894174272</c:v>
                </c:pt>
                <c:pt idx="350">
                  <c:v>3.6529934238088888</c:v>
                </c:pt>
                <c:pt idx="351">
                  <c:v>3.8575936386077796</c:v>
                </c:pt>
                <c:pt idx="352">
                  <c:v>3.7110974564331274</c:v>
                </c:pt>
                <c:pt idx="353">
                  <c:v>3.157145580411715</c:v>
                </c:pt>
                <c:pt idx="354">
                  <c:v>0.46049784893891665</c:v>
                </c:pt>
                <c:pt idx="355">
                  <c:v>-0.36214028989732938</c:v>
                </c:pt>
                <c:pt idx="356">
                  <c:v>3.8702265199420491</c:v>
                </c:pt>
                <c:pt idx="357">
                  <c:v>-0.27445481909462988</c:v>
                </c:pt>
                <c:pt idx="358">
                  <c:v>2.6819563605502257</c:v>
                </c:pt>
                <c:pt idx="359">
                  <c:v>-1.0279823332568991</c:v>
                </c:pt>
                <c:pt idx="360">
                  <c:v>0.5368379076281693</c:v>
                </c:pt>
                <c:pt idx="361">
                  <c:v>-2.2355612684667507</c:v>
                </c:pt>
                <c:pt idx="362">
                  <c:v>2.2054098138255895</c:v>
                </c:pt>
                <c:pt idx="363">
                  <c:v>0.38074126399372243</c:v>
                </c:pt>
                <c:pt idx="364">
                  <c:v>-0.58392461069029711</c:v>
                </c:pt>
                <c:pt idx="365">
                  <c:v>-0.85041109858548936</c:v>
                </c:pt>
                <c:pt idx="366">
                  <c:v>1.0706508724205843</c:v>
                </c:pt>
                <c:pt idx="367">
                  <c:v>3.1530341766537822</c:v>
                </c:pt>
                <c:pt idx="368">
                  <c:v>-0.54739247956192294</c:v>
                </c:pt>
                <c:pt idx="369">
                  <c:v>-3.0430941755701175</c:v>
                </c:pt>
                <c:pt idx="370">
                  <c:v>4.7259681812287893</c:v>
                </c:pt>
                <c:pt idx="371">
                  <c:v>2.5508993238809055</c:v>
                </c:pt>
                <c:pt idx="372">
                  <c:v>7.9754056763485792E-2</c:v>
                </c:pt>
                <c:pt idx="373">
                  <c:v>0.91241032572604208</c:v>
                </c:pt>
                <c:pt idx="374">
                  <c:v>4.6061015035477055</c:v>
                </c:pt>
                <c:pt idx="375">
                  <c:v>3.6954643368186559</c:v>
                </c:pt>
                <c:pt idx="376">
                  <c:v>1.9536338111987757</c:v>
                </c:pt>
                <c:pt idx="377">
                  <c:v>-2.9826819594658236</c:v>
                </c:pt>
                <c:pt idx="378">
                  <c:v>-3.3051338783859352</c:v>
                </c:pt>
                <c:pt idx="379">
                  <c:v>-0.95730675054101155</c:v>
                </c:pt>
                <c:pt idx="380">
                  <c:v>1.6106934917037261</c:v>
                </c:pt>
                <c:pt idx="381">
                  <c:v>-2.6115948430445259</c:v>
                </c:pt>
                <c:pt idx="382">
                  <c:v>-1.3431247991246735</c:v>
                </c:pt>
                <c:pt idx="383">
                  <c:v>0.74239521940568309</c:v>
                </c:pt>
                <c:pt idx="384">
                  <c:v>3.1469370437454458E-2</c:v>
                </c:pt>
                <c:pt idx="385">
                  <c:v>-0.40693013017155</c:v>
                </c:pt>
                <c:pt idx="386">
                  <c:v>-4.9214846591531405</c:v>
                </c:pt>
                <c:pt idx="387">
                  <c:v>-0.36175584855898002</c:v>
                </c:pt>
                <c:pt idx="388">
                  <c:v>-1.7548446939936673</c:v>
                </c:pt>
                <c:pt idx="389">
                  <c:v>-0.42920240348703231</c:v>
                </c:pt>
                <c:pt idx="390">
                  <c:v>1.6778589077627446</c:v>
                </c:pt>
                <c:pt idx="391">
                  <c:v>-2.6075451386256345</c:v>
                </c:pt>
                <c:pt idx="392">
                  <c:v>-0.32704538738174094</c:v>
                </c:pt>
                <c:pt idx="393">
                  <c:v>-0.23790975320720609</c:v>
                </c:pt>
                <c:pt idx="394">
                  <c:v>-0.56211857555410472</c:v>
                </c:pt>
                <c:pt idx="395">
                  <c:v>0.95795487367826659</c:v>
                </c:pt>
                <c:pt idx="396">
                  <c:v>0.83505929030080583</c:v>
                </c:pt>
                <c:pt idx="397">
                  <c:v>-4.4322884660316282</c:v>
                </c:pt>
                <c:pt idx="398">
                  <c:v>-3.9081789878925841</c:v>
                </c:pt>
                <c:pt idx="399">
                  <c:v>0.7947864443199153</c:v>
                </c:pt>
                <c:pt idx="400">
                  <c:v>-0.63337397055239641</c:v>
                </c:pt>
                <c:pt idx="401">
                  <c:v>-1.0893547194556401</c:v>
                </c:pt>
                <c:pt idx="402">
                  <c:v>1.4780278564606295</c:v>
                </c:pt>
                <c:pt idx="403">
                  <c:v>0.12410681268082246</c:v>
                </c:pt>
                <c:pt idx="404">
                  <c:v>-1.7040646999172981</c:v>
                </c:pt>
                <c:pt idx="405">
                  <c:v>0.53787095476521607</c:v>
                </c:pt>
                <c:pt idx="406">
                  <c:v>-1.4480943614654009</c:v>
                </c:pt>
                <c:pt idx="407">
                  <c:v>1.0166560027365623</c:v>
                </c:pt>
                <c:pt idx="408">
                  <c:v>1.7085635407638602</c:v>
                </c:pt>
                <c:pt idx="409">
                  <c:v>0.12046089194016041</c:v>
                </c:pt>
                <c:pt idx="410">
                  <c:v>0.34758154864464341</c:v>
                </c:pt>
                <c:pt idx="411">
                  <c:v>4.3076062097519268</c:v>
                </c:pt>
                <c:pt idx="412">
                  <c:v>1.044798652331469</c:v>
                </c:pt>
                <c:pt idx="413">
                  <c:v>-1.5249309520066738</c:v>
                </c:pt>
                <c:pt idx="414">
                  <c:v>-2.5600037686691355</c:v>
                </c:pt>
                <c:pt idx="415">
                  <c:v>1.0306304374036994</c:v>
                </c:pt>
                <c:pt idx="416">
                  <c:v>5.2760523573410367</c:v>
                </c:pt>
                <c:pt idx="417">
                  <c:v>-2.0548010517296627</c:v>
                </c:pt>
                <c:pt idx="418">
                  <c:v>1.9802618272970891</c:v>
                </c:pt>
                <c:pt idx="419">
                  <c:v>2.5152070768664521</c:v>
                </c:pt>
                <c:pt idx="420">
                  <c:v>3.319685660542893</c:v>
                </c:pt>
                <c:pt idx="421">
                  <c:v>1.5364747635707507</c:v>
                </c:pt>
                <c:pt idx="422">
                  <c:v>-0.90452863030177344</c:v>
                </c:pt>
                <c:pt idx="423">
                  <c:v>-0.7633796423257575</c:v>
                </c:pt>
                <c:pt idx="424">
                  <c:v>3.2481179543218399</c:v>
                </c:pt>
                <c:pt idx="425">
                  <c:v>-0.33014125897233182</c:v>
                </c:pt>
                <c:pt idx="426">
                  <c:v>1.6309276115586737</c:v>
                </c:pt>
                <c:pt idx="427">
                  <c:v>-0.18616800242259401</c:v>
                </c:pt>
                <c:pt idx="428">
                  <c:v>1.8010054546882133</c:v>
                </c:pt>
                <c:pt idx="429">
                  <c:v>0.64347474353061962</c:v>
                </c:pt>
                <c:pt idx="430">
                  <c:v>-3.1317831862214707</c:v>
                </c:pt>
                <c:pt idx="431">
                  <c:v>-0.29254817287168411</c:v>
                </c:pt>
                <c:pt idx="432">
                  <c:v>0.95465375649160134</c:v>
                </c:pt>
                <c:pt idx="433">
                  <c:v>-0.49272207460876682</c:v>
                </c:pt>
                <c:pt idx="434">
                  <c:v>-0.33228258326480731</c:v>
                </c:pt>
                <c:pt idx="435">
                  <c:v>-1.5012593081839594</c:v>
                </c:pt>
                <c:pt idx="436">
                  <c:v>-1.5812980246946955</c:v>
                </c:pt>
                <c:pt idx="437">
                  <c:v>-1.9751183378967925</c:v>
                </c:pt>
                <c:pt idx="438">
                  <c:v>0.15526082689042653</c:v>
                </c:pt>
                <c:pt idx="439">
                  <c:v>1.4048161577821929</c:v>
                </c:pt>
                <c:pt idx="440">
                  <c:v>-2.4158423847469184</c:v>
                </c:pt>
                <c:pt idx="441">
                  <c:v>-0.2217101470517937</c:v>
                </c:pt>
                <c:pt idx="442">
                  <c:v>3.9094100922250554</c:v>
                </c:pt>
                <c:pt idx="443">
                  <c:v>0.61678948579770942</c:v>
                </c:pt>
                <c:pt idx="444">
                  <c:v>-0.60823989900431918</c:v>
                </c:pt>
                <c:pt idx="445">
                  <c:v>0.55156929383963416</c:v>
                </c:pt>
                <c:pt idx="446">
                  <c:v>-2.7040693188522811</c:v>
                </c:pt>
                <c:pt idx="447">
                  <c:v>-1.4984107317999005</c:v>
                </c:pt>
                <c:pt idx="448">
                  <c:v>-0.32438812073621115</c:v>
                </c:pt>
                <c:pt idx="449">
                  <c:v>-1.3809847003764233</c:v>
                </c:pt>
                <c:pt idx="450">
                  <c:v>-1.9618018278741411</c:v>
                </c:pt>
                <c:pt idx="451">
                  <c:v>-1.3089705938467393</c:v>
                </c:pt>
                <c:pt idx="452">
                  <c:v>-2.204304386915152</c:v>
                </c:pt>
                <c:pt idx="453">
                  <c:v>0.24885545810669107</c:v>
                </c:pt>
                <c:pt idx="454">
                  <c:v>-2.2161382276214221</c:v>
                </c:pt>
                <c:pt idx="455">
                  <c:v>-1.913254125565123</c:v>
                </c:pt>
                <c:pt idx="456">
                  <c:v>-0.47027747002674669</c:v>
                </c:pt>
                <c:pt idx="457">
                  <c:v>-0.81415575268643892</c:v>
                </c:pt>
                <c:pt idx="458">
                  <c:v>-3.160662564354948</c:v>
                </c:pt>
                <c:pt idx="459">
                  <c:v>-2.249470809974099</c:v>
                </c:pt>
                <c:pt idx="460">
                  <c:v>1.4952075252211641</c:v>
                </c:pt>
                <c:pt idx="461">
                  <c:v>1.7312489346282254</c:v>
                </c:pt>
                <c:pt idx="462">
                  <c:v>0.29524311843314788</c:v>
                </c:pt>
                <c:pt idx="463">
                  <c:v>-2.3770900911415129</c:v>
                </c:pt>
                <c:pt idx="464">
                  <c:v>-0.836348814952518</c:v>
                </c:pt>
                <c:pt idx="465">
                  <c:v>1.0118273888495386</c:v>
                </c:pt>
                <c:pt idx="466">
                  <c:v>5.7124681764694216</c:v>
                </c:pt>
                <c:pt idx="467">
                  <c:v>-2.3776315290902366</c:v>
                </c:pt>
                <c:pt idx="468">
                  <c:v>0.51422845399098271</c:v>
                </c:pt>
                <c:pt idx="469">
                  <c:v>0.54573353880474595</c:v>
                </c:pt>
                <c:pt idx="470">
                  <c:v>1.7750476436402645</c:v>
                </c:pt>
                <c:pt idx="471">
                  <c:v>-0.55142628358167123</c:v>
                </c:pt>
                <c:pt idx="472">
                  <c:v>-0.86709218274961941</c:v>
                </c:pt>
                <c:pt idx="473">
                  <c:v>-1.7218003503869079</c:v>
                </c:pt>
                <c:pt idx="474">
                  <c:v>3.9229273487205241</c:v>
                </c:pt>
                <c:pt idx="475">
                  <c:v>1.0956709924722716</c:v>
                </c:pt>
                <c:pt idx="476">
                  <c:v>1.412464147851912</c:v>
                </c:pt>
                <c:pt idx="477">
                  <c:v>4.5569981881192785</c:v>
                </c:pt>
                <c:pt idx="478">
                  <c:v>1.8818003298621893</c:v>
                </c:pt>
                <c:pt idx="479">
                  <c:v>2.0634972775085725</c:v>
                </c:pt>
                <c:pt idx="480">
                  <c:v>-0.265797652926274</c:v>
                </c:pt>
                <c:pt idx="481">
                  <c:v>2.0585373403568932</c:v>
                </c:pt>
                <c:pt idx="482">
                  <c:v>-0.4634970142983077</c:v>
                </c:pt>
                <c:pt idx="483">
                  <c:v>-1.6645107402568851</c:v>
                </c:pt>
                <c:pt idx="484">
                  <c:v>-1.6214580110777774</c:v>
                </c:pt>
                <c:pt idx="485">
                  <c:v>1.4874676065097194</c:v>
                </c:pt>
                <c:pt idx="486">
                  <c:v>4.383747935881388E-2</c:v>
                </c:pt>
                <c:pt idx="487">
                  <c:v>1.1258627048917322</c:v>
                </c:pt>
                <c:pt idx="488">
                  <c:v>1.0619740300146185</c:v>
                </c:pt>
                <c:pt idx="489">
                  <c:v>0.79597991215656627</c:v>
                </c:pt>
                <c:pt idx="490">
                  <c:v>-0.81908916618714311</c:v>
                </c:pt>
                <c:pt idx="491">
                  <c:v>0.49248814769590687</c:v>
                </c:pt>
                <c:pt idx="492">
                  <c:v>-1.5071530390679762</c:v>
                </c:pt>
                <c:pt idx="493">
                  <c:v>3.4223530308625207</c:v>
                </c:pt>
                <c:pt idx="494">
                  <c:v>-0.97260740286907588</c:v>
                </c:pt>
                <c:pt idx="495">
                  <c:v>1.7730499202660921</c:v>
                </c:pt>
                <c:pt idx="496">
                  <c:v>-3.8121109624639233</c:v>
                </c:pt>
                <c:pt idx="497">
                  <c:v>-0.37851829376633628</c:v>
                </c:pt>
                <c:pt idx="498">
                  <c:v>1.0283123093523932</c:v>
                </c:pt>
                <c:pt idx="499">
                  <c:v>-1.576089105406556</c:v>
                </c:pt>
                <c:pt idx="500">
                  <c:v>0.15397337993781157</c:v>
                </c:pt>
                <c:pt idx="501">
                  <c:v>2.8754167451497779</c:v>
                </c:pt>
                <c:pt idx="502">
                  <c:v>5.4196788972275201E-2</c:v>
                </c:pt>
                <c:pt idx="503">
                  <c:v>-1.4997215598905971</c:v>
                </c:pt>
                <c:pt idx="504">
                  <c:v>-0.66654388422655231</c:v>
                </c:pt>
                <c:pt idx="505">
                  <c:v>0.27171514856445977</c:v>
                </c:pt>
                <c:pt idx="506">
                  <c:v>3.942845324144967</c:v>
                </c:pt>
                <c:pt idx="507">
                  <c:v>0.30706341864230335</c:v>
                </c:pt>
                <c:pt idx="508">
                  <c:v>1.8303077812328308</c:v>
                </c:pt>
                <c:pt idx="509">
                  <c:v>-1.3749854536697974</c:v>
                </c:pt>
                <c:pt idx="510">
                  <c:v>-4.1245425307447636</c:v>
                </c:pt>
                <c:pt idx="511">
                  <c:v>-1.1129675451794485</c:v>
                </c:pt>
                <c:pt idx="512">
                  <c:v>4.1468289964762342</c:v>
                </c:pt>
                <c:pt idx="513">
                  <c:v>4.1626263851867629</c:v>
                </c:pt>
                <c:pt idx="514">
                  <c:v>3.6447415274401482</c:v>
                </c:pt>
                <c:pt idx="515">
                  <c:v>-0.26592567197706174</c:v>
                </c:pt>
                <c:pt idx="516">
                  <c:v>-2.5544082398311296E-2</c:v>
                </c:pt>
                <c:pt idx="517">
                  <c:v>4.167961240677486</c:v>
                </c:pt>
                <c:pt idx="518">
                  <c:v>1.6827522152784464</c:v>
                </c:pt>
                <c:pt idx="519">
                  <c:v>0.56163439220609224</c:v>
                </c:pt>
                <c:pt idx="520">
                  <c:v>1.3893950193057059E-2</c:v>
                </c:pt>
                <c:pt idx="521">
                  <c:v>-2.0894888113711954</c:v>
                </c:pt>
                <c:pt idx="522">
                  <c:v>1.8930955347105884</c:v>
                </c:pt>
                <c:pt idx="523">
                  <c:v>2.0435459996248397</c:v>
                </c:pt>
                <c:pt idx="524">
                  <c:v>-1.6872878802691584</c:v>
                </c:pt>
                <c:pt idx="525">
                  <c:v>0.67644883381780296</c:v>
                </c:pt>
                <c:pt idx="526">
                  <c:v>-0.66529867322447611</c:v>
                </c:pt>
                <c:pt idx="527">
                  <c:v>2.9764899759674286</c:v>
                </c:pt>
                <c:pt idx="528">
                  <c:v>2.9124655336241059</c:v>
                </c:pt>
                <c:pt idx="529">
                  <c:v>-1.5088718490844109</c:v>
                </c:pt>
                <c:pt idx="530">
                  <c:v>-0.81279316146128799</c:v>
                </c:pt>
                <c:pt idx="531">
                  <c:v>3.4345555976495765</c:v>
                </c:pt>
                <c:pt idx="532">
                  <c:v>8.8966834685048291E-2</c:v>
                </c:pt>
                <c:pt idx="533">
                  <c:v>3.0235233162804107</c:v>
                </c:pt>
                <c:pt idx="534">
                  <c:v>2.4976038515030039</c:v>
                </c:pt>
                <c:pt idx="535">
                  <c:v>5.5894247922486366</c:v>
                </c:pt>
                <c:pt idx="536">
                  <c:v>-1.5654677511042205</c:v>
                </c:pt>
                <c:pt idx="537">
                  <c:v>-0.91688089990221844</c:v>
                </c:pt>
                <c:pt idx="538">
                  <c:v>-0.81107269117560232</c:v>
                </c:pt>
                <c:pt idx="539">
                  <c:v>3.6776295330450273</c:v>
                </c:pt>
                <c:pt idx="540">
                  <c:v>0.40039078709709752</c:v>
                </c:pt>
                <c:pt idx="541">
                  <c:v>-0.13286602637325728</c:v>
                </c:pt>
                <c:pt idx="542">
                  <c:v>-0.67374660241363937</c:v>
                </c:pt>
                <c:pt idx="543">
                  <c:v>0.28358822545083218</c:v>
                </c:pt>
                <c:pt idx="544">
                  <c:v>-4.4634219947607727</c:v>
                </c:pt>
                <c:pt idx="545">
                  <c:v>-0.57499586093188082</c:v>
                </c:pt>
                <c:pt idx="546">
                  <c:v>3.8447294974897082</c:v>
                </c:pt>
                <c:pt idx="547">
                  <c:v>0.84033629549888555</c:v>
                </c:pt>
                <c:pt idx="548">
                  <c:v>-2.4510209749003353</c:v>
                </c:pt>
                <c:pt idx="549">
                  <c:v>5.5742409065564091</c:v>
                </c:pt>
                <c:pt idx="550">
                  <c:v>-1.6273369341894046</c:v>
                </c:pt>
                <c:pt idx="551">
                  <c:v>-0.33792476721057163</c:v>
                </c:pt>
                <c:pt idx="552">
                  <c:v>3.1127579377818186</c:v>
                </c:pt>
                <c:pt idx="553">
                  <c:v>-3.4110937319548871</c:v>
                </c:pt>
                <c:pt idx="554">
                  <c:v>2.7137037885476056</c:v>
                </c:pt>
                <c:pt idx="555">
                  <c:v>0.79084494835574937</c:v>
                </c:pt>
                <c:pt idx="556">
                  <c:v>1.0010292172168942</c:v>
                </c:pt>
                <c:pt idx="557">
                  <c:v>2.8293679413436266</c:v>
                </c:pt>
                <c:pt idx="558">
                  <c:v>3.205333760621861</c:v>
                </c:pt>
                <c:pt idx="559">
                  <c:v>7.8325708901990412</c:v>
                </c:pt>
                <c:pt idx="560">
                  <c:v>1.9211212155631925</c:v>
                </c:pt>
                <c:pt idx="561">
                  <c:v>2.6367891862809429</c:v>
                </c:pt>
                <c:pt idx="562">
                  <c:v>1.5030579459871314</c:v>
                </c:pt>
                <c:pt idx="563">
                  <c:v>-0.31624556239582091</c:v>
                </c:pt>
                <c:pt idx="564">
                  <c:v>-1.1814502756077019</c:v>
                </c:pt>
                <c:pt idx="565">
                  <c:v>-1.7904430707721142</c:v>
                </c:pt>
                <c:pt idx="566">
                  <c:v>4.6933352666246684</c:v>
                </c:pt>
                <c:pt idx="567">
                  <c:v>-1.0207995350642669</c:v>
                </c:pt>
                <c:pt idx="568">
                  <c:v>0.36783818765980758</c:v>
                </c:pt>
                <c:pt idx="569">
                  <c:v>-0.38723935419699451</c:v>
                </c:pt>
                <c:pt idx="570">
                  <c:v>-1.3807826743832905</c:v>
                </c:pt>
                <c:pt idx="571">
                  <c:v>3.4074493927012588</c:v>
                </c:pt>
                <c:pt idx="572">
                  <c:v>-2.5867526599603892</c:v>
                </c:pt>
                <c:pt idx="573">
                  <c:v>2.8405629354646855</c:v>
                </c:pt>
                <c:pt idx="574">
                  <c:v>-1.4620582458083398E-2</c:v>
                </c:pt>
                <c:pt idx="575">
                  <c:v>2.2648538713818667E-3</c:v>
                </c:pt>
                <c:pt idx="576">
                  <c:v>-0.39435005785399468</c:v>
                </c:pt>
                <c:pt idx="577">
                  <c:v>0.7973106768640541</c:v>
                </c:pt>
                <c:pt idx="578">
                  <c:v>2.6710014788109184</c:v>
                </c:pt>
                <c:pt idx="579">
                  <c:v>0.82595707977884203</c:v>
                </c:pt>
                <c:pt idx="580">
                  <c:v>1.2508110676616129</c:v>
                </c:pt>
                <c:pt idx="581">
                  <c:v>4.0387110057363849</c:v>
                </c:pt>
                <c:pt idx="582">
                  <c:v>4.4898634879887265</c:v>
                </c:pt>
                <c:pt idx="583">
                  <c:v>1.7899936284703202</c:v>
                </c:pt>
                <c:pt idx="584">
                  <c:v>1.2719163864032508</c:v>
                </c:pt>
                <c:pt idx="585">
                  <c:v>-0.33555402863877593</c:v>
                </c:pt>
                <c:pt idx="586">
                  <c:v>-2.6222545353475732</c:v>
                </c:pt>
                <c:pt idx="587">
                  <c:v>3.4049944847077906</c:v>
                </c:pt>
                <c:pt idx="588">
                  <c:v>-1.3086587300802774</c:v>
                </c:pt>
                <c:pt idx="589">
                  <c:v>-0.8816657923911615</c:v>
                </c:pt>
                <c:pt idx="590">
                  <c:v>-0.98748429600437682</c:v>
                </c:pt>
                <c:pt idx="591">
                  <c:v>-2.0812715785572147</c:v>
                </c:pt>
                <c:pt idx="592">
                  <c:v>-2.2481152922619501</c:v>
                </c:pt>
                <c:pt idx="593">
                  <c:v>3.029862510605982</c:v>
                </c:pt>
                <c:pt idx="594">
                  <c:v>0.98897824107766041</c:v>
                </c:pt>
                <c:pt idx="595">
                  <c:v>0.63154929560284234</c:v>
                </c:pt>
                <c:pt idx="596">
                  <c:v>-2.4201903879362785</c:v>
                </c:pt>
                <c:pt idx="597">
                  <c:v>-0.18432224560765142</c:v>
                </c:pt>
                <c:pt idx="598">
                  <c:v>2.3842356757983278</c:v>
                </c:pt>
                <c:pt idx="599">
                  <c:v>1.2979050564159413</c:v>
                </c:pt>
                <c:pt idx="600">
                  <c:v>1.7531779815383608</c:v>
                </c:pt>
                <c:pt idx="601">
                  <c:v>2.4528050701191706</c:v>
                </c:pt>
                <c:pt idx="602">
                  <c:v>-1.0151303663410935</c:v>
                </c:pt>
                <c:pt idx="603">
                  <c:v>1.4294157802750025</c:v>
                </c:pt>
                <c:pt idx="604">
                  <c:v>-0.43525492402460664</c:v>
                </c:pt>
                <c:pt idx="605">
                  <c:v>1.3134687711393154</c:v>
                </c:pt>
                <c:pt idx="606">
                  <c:v>-2.5108062102547457</c:v>
                </c:pt>
                <c:pt idx="607">
                  <c:v>-2.1210977442571437</c:v>
                </c:pt>
                <c:pt idx="608">
                  <c:v>-3.4002955848325271</c:v>
                </c:pt>
                <c:pt idx="609">
                  <c:v>-1.074882566529193</c:v>
                </c:pt>
                <c:pt idx="610">
                  <c:v>-2.4290213736569992</c:v>
                </c:pt>
                <c:pt idx="611">
                  <c:v>3.7237059151087362</c:v>
                </c:pt>
                <c:pt idx="612">
                  <c:v>1.4832391964901381</c:v>
                </c:pt>
                <c:pt idx="613">
                  <c:v>2.9727383590800134</c:v>
                </c:pt>
                <c:pt idx="614">
                  <c:v>-0.95316115726052697</c:v>
                </c:pt>
                <c:pt idx="615">
                  <c:v>-0.30366178868857929</c:v>
                </c:pt>
                <c:pt idx="616">
                  <c:v>-0.76380653779963303</c:v>
                </c:pt>
                <c:pt idx="617">
                  <c:v>0.35825379321498652</c:v>
                </c:pt>
                <c:pt idx="618">
                  <c:v>2.4831556273345949</c:v>
                </c:pt>
                <c:pt idx="619">
                  <c:v>1.1831068350286067</c:v>
                </c:pt>
                <c:pt idx="620">
                  <c:v>2.455251272945107</c:v>
                </c:pt>
                <c:pt idx="621">
                  <c:v>2.2929765432965232</c:v>
                </c:pt>
                <c:pt idx="622">
                  <c:v>-0.21343078762657353</c:v>
                </c:pt>
                <c:pt idx="623">
                  <c:v>-0.76329284212986259</c:v>
                </c:pt>
                <c:pt idx="624">
                  <c:v>3.4317326081869499</c:v>
                </c:pt>
                <c:pt idx="625">
                  <c:v>-0.51228759114711586</c:v>
                </c:pt>
                <c:pt idx="626">
                  <c:v>-0.57182485394100091</c:v>
                </c:pt>
                <c:pt idx="627">
                  <c:v>0.98930876757580055</c:v>
                </c:pt>
                <c:pt idx="628">
                  <c:v>3.5274431523385061</c:v>
                </c:pt>
                <c:pt idx="629">
                  <c:v>-0.57023836360880509</c:v>
                </c:pt>
                <c:pt idx="630">
                  <c:v>-1.4825586622634868</c:v>
                </c:pt>
                <c:pt idx="631">
                  <c:v>3.8928468375496799</c:v>
                </c:pt>
                <c:pt idx="632">
                  <c:v>2.3562521466977229</c:v>
                </c:pt>
                <c:pt idx="633">
                  <c:v>2.6080699375711509</c:v>
                </c:pt>
                <c:pt idx="634">
                  <c:v>3.2097771748590027</c:v>
                </c:pt>
                <c:pt idx="635">
                  <c:v>-0.25037626003948699</c:v>
                </c:pt>
                <c:pt idx="636">
                  <c:v>-0.23712732404552295</c:v>
                </c:pt>
                <c:pt idx="637">
                  <c:v>-1.6012195599942256</c:v>
                </c:pt>
                <c:pt idx="638">
                  <c:v>1.5457574007339003</c:v>
                </c:pt>
                <c:pt idx="639">
                  <c:v>2.3779827491716174</c:v>
                </c:pt>
                <c:pt idx="640">
                  <c:v>-0.63461702533881237</c:v>
                </c:pt>
                <c:pt idx="641">
                  <c:v>-3.554588279477513</c:v>
                </c:pt>
                <c:pt idx="642">
                  <c:v>1.8474554460585697</c:v>
                </c:pt>
                <c:pt idx="643">
                  <c:v>0.2086593012813136</c:v>
                </c:pt>
                <c:pt idx="644">
                  <c:v>-5.215057463471771</c:v>
                </c:pt>
                <c:pt idx="645">
                  <c:v>-1.8329113708084597</c:v>
                </c:pt>
                <c:pt idx="646">
                  <c:v>-0.92410336385678704</c:v>
                </c:pt>
                <c:pt idx="647">
                  <c:v>-1.2721322390764893</c:v>
                </c:pt>
                <c:pt idx="648">
                  <c:v>-1.0515525715180347</c:v>
                </c:pt>
                <c:pt idx="649">
                  <c:v>0.1921557458696137</c:v>
                </c:pt>
                <c:pt idx="650">
                  <c:v>1.0645706734780713</c:v>
                </c:pt>
                <c:pt idx="651">
                  <c:v>-2.2445624808727418</c:v>
                </c:pt>
                <c:pt idx="652">
                  <c:v>-1.6979311931093477E-2</c:v>
                </c:pt>
                <c:pt idx="653">
                  <c:v>1.8198276199380006</c:v>
                </c:pt>
                <c:pt idx="654">
                  <c:v>2.8208854507472267</c:v>
                </c:pt>
                <c:pt idx="655">
                  <c:v>-1.6158415847197061</c:v>
                </c:pt>
                <c:pt idx="656">
                  <c:v>-2.4380625115809798</c:v>
                </c:pt>
                <c:pt idx="657">
                  <c:v>-1.3941870506503209</c:v>
                </c:pt>
                <c:pt idx="658">
                  <c:v>-0.52438871568242273</c:v>
                </c:pt>
                <c:pt idx="659">
                  <c:v>-1.894769925059764</c:v>
                </c:pt>
                <c:pt idx="660">
                  <c:v>0.16681463852535927</c:v>
                </c:pt>
                <c:pt idx="661">
                  <c:v>1.7187381172484484</c:v>
                </c:pt>
                <c:pt idx="662">
                  <c:v>5.054825254105304</c:v>
                </c:pt>
                <c:pt idx="663">
                  <c:v>2.7040289714618444</c:v>
                </c:pt>
                <c:pt idx="664">
                  <c:v>0.96842441838420701</c:v>
                </c:pt>
                <c:pt idx="665">
                  <c:v>-2.6973065292228267</c:v>
                </c:pt>
                <c:pt idx="666">
                  <c:v>-1.3591293349968812</c:v>
                </c:pt>
                <c:pt idx="667">
                  <c:v>-0.31352515861731511</c:v>
                </c:pt>
                <c:pt idx="668">
                  <c:v>0.65467580195071307</c:v>
                </c:pt>
                <c:pt idx="669">
                  <c:v>-2.1363163073581601</c:v>
                </c:pt>
                <c:pt idx="670">
                  <c:v>-2.8212514808265263</c:v>
                </c:pt>
                <c:pt idx="671">
                  <c:v>2.1413120602472047</c:v>
                </c:pt>
                <c:pt idx="672">
                  <c:v>0.75693115537296318</c:v>
                </c:pt>
                <c:pt idx="673">
                  <c:v>0.65999311965083685</c:v>
                </c:pt>
                <c:pt idx="674">
                  <c:v>3.6971371162589941</c:v>
                </c:pt>
                <c:pt idx="675">
                  <c:v>0.87181571114442313</c:v>
                </c:pt>
                <c:pt idx="676">
                  <c:v>-1.1180751749975126</c:v>
                </c:pt>
                <c:pt idx="677">
                  <c:v>1.0798377669320383</c:v>
                </c:pt>
                <c:pt idx="678">
                  <c:v>-0.32581574244117473</c:v>
                </c:pt>
                <c:pt idx="679">
                  <c:v>3.5126432150395264</c:v>
                </c:pt>
                <c:pt idx="680">
                  <c:v>1.9341541255717871</c:v>
                </c:pt>
                <c:pt idx="681">
                  <c:v>1.0583415358641153</c:v>
                </c:pt>
                <c:pt idx="682">
                  <c:v>1.4468955767042422</c:v>
                </c:pt>
                <c:pt idx="683">
                  <c:v>-2.3636260912600457</c:v>
                </c:pt>
                <c:pt idx="684">
                  <c:v>-2.8343944618746164</c:v>
                </c:pt>
                <c:pt idx="685">
                  <c:v>1.289310634374651</c:v>
                </c:pt>
                <c:pt idx="686">
                  <c:v>2.9746000851292109</c:v>
                </c:pt>
                <c:pt idx="687">
                  <c:v>1.3503777449981431</c:v>
                </c:pt>
                <c:pt idx="688">
                  <c:v>-3.0734095302212063</c:v>
                </c:pt>
                <c:pt idx="689">
                  <c:v>-0.24509507860591651</c:v>
                </c:pt>
                <c:pt idx="690">
                  <c:v>2.0185854653628823</c:v>
                </c:pt>
                <c:pt idx="691">
                  <c:v>4.0069729291402432</c:v>
                </c:pt>
                <c:pt idx="692">
                  <c:v>0.95965150448497027</c:v>
                </c:pt>
                <c:pt idx="693">
                  <c:v>0.30819843470470865</c:v>
                </c:pt>
                <c:pt idx="694">
                  <c:v>-0.21388982796116895</c:v>
                </c:pt>
                <c:pt idx="695">
                  <c:v>0.96863279336013264</c:v>
                </c:pt>
                <c:pt idx="696">
                  <c:v>-0.61706388792828992</c:v>
                </c:pt>
                <c:pt idx="697">
                  <c:v>1.850101692073765</c:v>
                </c:pt>
                <c:pt idx="698">
                  <c:v>-0.66102090002287373</c:v>
                </c:pt>
                <c:pt idx="699">
                  <c:v>-1.2208695880125582</c:v>
                </c:pt>
                <c:pt idx="700">
                  <c:v>2.5723646827448068</c:v>
                </c:pt>
                <c:pt idx="701">
                  <c:v>2.2665751232476605</c:v>
                </c:pt>
                <c:pt idx="702">
                  <c:v>-0.18069656727467276</c:v>
                </c:pt>
                <c:pt idx="703">
                  <c:v>1.9213175117848564</c:v>
                </c:pt>
                <c:pt idx="704">
                  <c:v>0.32767471557196526</c:v>
                </c:pt>
                <c:pt idx="705">
                  <c:v>-1.1710623792597277</c:v>
                </c:pt>
                <c:pt idx="706">
                  <c:v>-3.4698577859649085</c:v>
                </c:pt>
                <c:pt idx="707">
                  <c:v>1.5334467068561946</c:v>
                </c:pt>
                <c:pt idx="708">
                  <c:v>0.17446625260140802</c:v>
                </c:pt>
                <c:pt idx="709">
                  <c:v>2.6648996689484274</c:v>
                </c:pt>
                <c:pt idx="710">
                  <c:v>-0.76088248198175901</c:v>
                </c:pt>
                <c:pt idx="711">
                  <c:v>0.91620264616823555</c:v>
                </c:pt>
                <c:pt idx="712">
                  <c:v>2.983078407517989</c:v>
                </c:pt>
                <c:pt idx="713">
                  <c:v>-0.34743217264905013</c:v>
                </c:pt>
                <c:pt idx="714">
                  <c:v>-0.64916594057504273</c:v>
                </c:pt>
                <c:pt idx="715">
                  <c:v>-0.14869698213071647</c:v>
                </c:pt>
                <c:pt idx="716">
                  <c:v>0.92750546984647286</c:v>
                </c:pt>
                <c:pt idx="717">
                  <c:v>-0.38597755569841308</c:v>
                </c:pt>
                <c:pt idx="718">
                  <c:v>3.613398337310973</c:v>
                </c:pt>
                <c:pt idx="719">
                  <c:v>-3.1444127048527095</c:v>
                </c:pt>
                <c:pt idx="720">
                  <c:v>3.6906903301649399</c:v>
                </c:pt>
                <c:pt idx="721">
                  <c:v>0.13981239464335271</c:v>
                </c:pt>
                <c:pt idx="722">
                  <c:v>-0.89123028345257893</c:v>
                </c:pt>
                <c:pt idx="723">
                  <c:v>0.34424228627438413</c:v>
                </c:pt>
                <c:pt idx="724">
                  <c:v>-1.6667070833083955</c:v>
                </c:pt>
                <c:pt idx="725">
                  <c:v>-1.3897071821721516</c:v>
                </c:pt>
                <c:pt idx="726">
                  <c:v>-0.79216977025933932</c:v>
                </c:pt>
                <c:pt idx="727">
                  <c:v>-0.78664112809825593</c:v>
                </c:pt>
                <c:pt idx="728">
                  <c:v>-0.13298494216976131</c:v>
                </c:pt>
                <c:pt idx="729">
                  <c:v>-0.8918991775099121</c:v>
                </c:pt>
                <c:pt idx="730">
                  <c:v>1.0765807420795195</c:v>
                </c:pt>
                <c:pt idx="731">
                  <c:v>3.8754793487369099</c:v>
                </c:pt>
                <c:pt idx="732">
                  <c:v>1.1071942854565515</c:v>
                </c:pt>
                <c:pt idx="733">
                  <c:v>6.7128384434455892</c:v>
                </c:pt>
                <c:pt idx="734">
                  <c:v>3.659306019129124</c:v>
                </c:pt>
                <c:pt idx="735">
                  <c:v>1.5671765647951483</c:v>
                </c:pt>
                <c:pt idx="736">
                  <c:v>3.290535272016597</c:v>
                </c:pt>
                <c:pt idx="737">
                  <c:v>3.2297666574215542</c:v>
                </c:pt>
                <c:pt idx="738">
                  <c:v>2.5646659414806425</c:v>
                </c:pt>
                <c:pt idx="739">
                  <c:v>-0.34179311111301303</c:v>
                </c:pt>
                <c:pt idx="740">
                  <c:v>-0.73562990920944582</c:v>
                </c:pt>
                <c:pt idx="741">
                  <c:v>1.9126755902289672</c:v>
                </c:pt>
                <c:pt idx="742">
                  <c:v>0.74478437740218784</c:v>
                </c:pt>
                <c:pt idx="743">
                  <c:v>-0.94509191628742784</c:v>
                </c:pt>
                <c:pt idx="744">
                  <c:v>3.1728325184561017</c:v>
                </c:pt>
                <c:pt idx="745">
                  <c:v>2.7521888638536707</c:v>
                </c:pt>
                <c:pt idx="746">
                  <c:v>1.5175368875919002</c:v>
                </c:pt>
                <c:pt idx="747">
                  <c:v>-1.9499332544238568</c:v>
                </c:pt>
                <c:pt idx="748">
                  <c:v>-0.45551643362272021</c:v>
                </c:pt>
                <c:pt idx="749">
                  <c:v>0.62997602128222141</c:v>
                </c:pt>
                <c:pt idx="750">
                  <c:v>-0.85394677104241801</c:v>
                </c:pt>
                <c:pt idx="751">
                  <c:v>-1.0048617056910158</c:v>
                </c:pt>
                <c:pt idx="752">
                  <c:v>-2.1932250598877143</c:v>
                </c:pt>
                <c:pt idx="753">
                  <c:v>-1.9208182415729542</c:v>
                </c:pt>
                <c:pt idx="754">
                  <c:v>1.8629144780838702</c:v>
                </c:pt>
                <c:pt idx="755">
                  <c:v>-2.931741338302186</c:v>
                </c:pt>
                <c:pt idx="756">
                  <c:v>2.4774576118550087</c:v>
                </c:pt>
                <c:pt idx="757">
                  <c:v>2.0787029738555187</c:v>
                </c:pt>
                <c:pt idx="758">
                  <c:v>-1.6348464909397737</c:v>
                </c:pt>
                <c:pt idx="759">
                  <c:v>1.5913857786473971</c:v>
                </c:pt>
                <c:pt idx="760">
                  <c:v>1.0434098422521298</c:v>
                </c:pt>
                <c:pt idx="761">
                  <c:v>-2.3719575072446615</c:v>
                </c:pt>
                <c:pt idx="762">
                  <c:v>0.69762418298792284</c:v>
                </c:pt>
                <c:pt idx="763">
                  <c:v>2.7352629246632381</c:v>
                </c:pt>
                <c:pt idx="764">
                  <c:v>0.3956715097122574</c:v>
                </c:pt>
                <c:pt idx="765">
                  <c:v>1.9130162263917452</c:v>
                </c:pt>
                <c:pt idx="766">
                  <c:v>-2.0221795670967895</c:v>
                </c:pt>
                <c:pt idx="767">
                  <c:v>-0.40381750156727403</c:v>
                </c:pt>
                <c:pt idx="768">
                  <c:v>-2.5622352137240183</c:v>
                </c:pt>
                <c:pt idx="769">
                  <c:v>4.5064877935289109</c:v>
                </c:pt>
                <c:pt idx="770">
                  <c:v>0.51899670162392297</c:v>
                </c:pt>
                <c:pt idx="771">
                  <c:v>1.4428277672067082</c:v>
                </c:pt>
                <c:pt idx="772">
                  <c:v>2.0966026708866785</c:v>
                </c:pt>
                <c:pt idx="773">
                  <c:v>0.60192970412847657</c:v>
                </c:pt>
                <c:pt idx="774">
                  <c:v>-0.58823466330691954</c:v>
                </c:pt>
                <c:pt idx="775">
                  <c:v>3.7478712625986788E-3</c:v>
                </c:pt>
                <c:pt idx="776">
                  <c:v>-2.5201492235195913</c:v>
                </c:pt>
                <c:pt idx="777">
                  <c:v>-0.40478560803918207</c:v>
                </c:pt>
                <c:pt idx="778">
                  <c:v>1.1190015678334584</c:v>
                </c:pt>
                <c:pt idx="779">
                  <c:v>0.103571991696076</c:v>
                </c:pt>
                <c:pt idx="780">
                  <c:v>1.2695869163996063</c:v>
                </c:pt>
                <c:pt idx="781">
                  <c:v>-3.3045211583087282</c:v>
                </c:pt>
                <c:pt idx="782">
                  <c:v>2.778276499387438</c:v>
                </c:pt>
                <c:pt idx="783">
                  <c:v>-0.82313050709951519</c:v>
                </c:pt>
                <c:pt idx="784">
                  <c:v>-2.3816824720572969</c:v>
                </c:pt>
                <c:pt idx="785">
                  <c:v>2.4400031339790029</c:v>
                </c:pt>
                <c:pt idx="786">
                  <c:v>-1.2156503014453808</c:v>
                </c:pt>
                <c:pt idx="787">
                  <c:v>0.39672280107340541</c:v>
                </c:pt>
                <c:pt idx="788">
                  <c:v>-2.4798242264474943</c:v>
                </c:pt>
                <c:pt idx="789">
                  <c:v>-3.035358442928624</c:v>
                </c:pt>
                <c:pt idx="790">
                  <c:v>-2.6043172942766004</c:v>
                </c:pt>
                <c:pt idx="791">
                  <c:v>-0.46568829954669333</c:v>
                </c:pt>
                <c:pt idx="792">
                  <c:v>1.0415898879187191</c:v>
                </c:pt>
                <c:pt idx="793">
                  <c:v>0.97333318366991506</c:v>
                </c:pt>
                <c:pt idx="794">
                  <c:v>-1.302469672887117</c:v>
                </c:pt>
                <c:pt idx="795">
                  <c:v>0.49469478988427351</c:v>
                </c:pt>
                <c:pt idx="796">
                  <c:v>5.5883556232911058</c:v>
                </c:pt>
                <c:pt idx="797">
                  <c:v>0.85170652108013467</c:v>
                </c:pt>
                <c:pt idx="798">
                  <c:v>1.9621703195545592</c:v>
                </c:pt>
                <c:pt idx="799">
                  <c:v>-1.6307277531644493</c:v>
                </c:pt>
                <c:pt idx="800">
                  <c:v>2.2534013008393661</c:v>
                </c:pt>
                <c:pt idx="801">
                  <c:v>2.7348610044667669</c:v>
                </c:pt>
                <c:pt idx="802">
                  <c:v>3.023333116226345</c:v>
                </c:pt>
                <c:pt idx="803">
                  <c:v>1.9136778322848444</c:v>
                </c:pt>
                <c:pt idx="804">
                  <c:v>2.1613622676061794</c:v>
                </c:pt>
                <c:pt idx="805">
                  <c:v>2.0586892005332569</c:v>
                </c:pt>
                <c:pt idx="806">
                  <c:v>1.9083025888686098</c:v>
                </c:pt>
                <c:pt idx="807">
                  <c:v>-2.4898632116471342</c:v>
                </c:pt>
                <c:pt idx="808">
                  <c:v>4.3451721963524079</c:v>
                </c:pt>
                <c:pt idx="809">
                  <c:v>-4.8953977609946264</c:v>
                </c:pt>
                <c:pt idx="810">
                  <c:v>2.7290560354091564</c:v>
                </c:pt>
                <c:pt idx="811">
                  <c:v>0.55395918468388672</c:v>
                </c:pt>
                <c:pt idx="812">
                  <c:v>-0.4171987204937766</c:v>
                </c:pt>
                <c:pt idx="813">
                  <c:v>1.6042817089616932</c:v>
                </c:pt>
                <c:pt idx="814">
                  <c:v>3.3229662351481082</c:v>
                </c:pt>
                <c:pt idx="815">
                  <c:v>4.1258484632335204</c:v>
                </c:pt>
                <c:pt idx="816">
                  <c:v>3.053951886512559</c:v>
                </c:pt>
                <c:pt idx="817">
                  <c:v>-1.0228921866084697</c:v>
                </c:pt>
                <c:pt idx="818">
                  <c:v>1.3636625017841251</c:v>
                </c:pt>
                <c:pt idx="819">
                  <c:v>0.77782417417458394</c:v>
                </c:pt>
                <c:pt idx="820">
                  <c:v>2.4270622386753953</c:v>
                </c:pt>
                <c:pt idx="821">
                  <c:v>1.0878351762848704</c:v>
                </c:pt>
                <c:pt idx="822">
                  <c:v>1.6246496914253417</c:v>
                </c:pt>
                <c:pt idx="823">
                  <c:v>3.4266072689403684</c:v>
                </c:pt>
                <c:pt idx="824">
                  <c:v>2.1287020346099474</c:v>
                </c:pt>
                <c:pt idx="825">
                  <c:v>0.93589318936693999</c:v>
                </c:pt>
                <c:pt idx="826">
                  <c:v>2.3528221724802165</c:v>
                </c:pt>
                <c:pt idx="827">
                  <c:v>0.93879455920410138</c:v>
                </c:pt>
                <c:pt idx="828">
                  <c:v>2.1616352815622966</c:v>
                </c:pt>
                <c:pt idx="829">
                  <c:v>1.0948501082998714</c:v>
                </c:pt>
                <c:pt idx="830">
                  <c:v>-1.4524177379442271</c:v>
                </c:pt>
                <c:pt idx="831">
                  <c:v>2.5888017984009419</c:v>
                </c:pt>
                <c:pt idx="832">
                  <c:v>-3.4459832323399269</c:v>
                </c:pt>
                <c:pt idx="833">
                  <c:v>2.8690102952903453</c:v>
                </c:pt>
                <c:pt idx="834">
                  <c:v>2.3132916164137693</c:v>
                </c:pt>
                <c:pt idx="835">
                  <c:v>3.6394705131880967</c:v>
                </c:pt>
                <c:pt idx="836">
                  <c:v>-1.4224269811641292</c:v>
                </c:pt>
                <c:pt idx="837">
                  <c:v>1.3753555073089654</c:v>
                </c:pt>
                <c:pt idx="838">
                  <c:v>-6.6406207573726839E-2</c:v>
                </c:pt>
                <c:pt idx="839">
                  <c:v>-4.2314283989408095</c:v>
                </c:pt>
                <c:pt idx="840">
                  <c:v>1.43559835611127</c:v>
                </c:pt>
                <c:pt idx="841">
                  <c:v>0.97315362470537181</c:v>
                </c:pt>
                <c:pt idx="842">
                  <c:v>0.23218693375407806</c:v>
                </c:pt>
                <c:pt idx="843">
                  <c:v>-1.43879361612706</c:v>
                </c:pt>
                <c:pt idx="844">
                  <c:v>0.91906261033853198</c:v>
                </c:pt>
                <c:pt idx="845">
                  <c:v>2.1282587301585743</c:v>
                </c:pt>
                <c:pt idx="846">
                  <c:v>-0.65515558309509014</c:v>
                </c:pt>
                <c:pt idx="847">
                  <c:v>2.1799973768251579</c:v>
                </c:pt>
                <c:pt idx="848">
                  <c:v>0.10248216067515603</c:v>
                </c:pt>
                <c:pt idx="849">
                  <c:v>-0.56714341296695725</c:v>
                </c:pt>
                <c:pt idx="850">
                  <c:v>-0.4897413660797465</c:v>
                </c:pt>
                <c:pt idx="851">
                  <c:v>0.81826765167891402</c:v>
                </c:pt>
                <c:pt idx="852">
                  <c:v>2.723542399677406</c:v>
                </c:pt>
                <c:pt idx="853">
                  <c:v>2.7781001501714151</c:v>
                </c:pt>
                <c:pt idx="854">
                  <c:v>-2.2213834107096853</c:v>
                </c:pt>
                <c:pt idx="855">
                  <c:v>1.4560044626463515</c:v>
                </c:pt>
                <c:pt idx="856">
                  <c:v>1.3828515820535596</c:v>
                </c:pt>
                <c:pt idx="857">
                  <c:v>2.4236301770719866</c:v>
                </c:pt>
                <c:pt idx="858">
                  <c:v>-1.2592902394826764</c:v>
                </c:pt>
                <c:pt idx="859">
                  <c:v>-2.0801537425740042</c:v>
                </c:pt>
                <c:pt idx="860">
                  <c:v>-0.97188736386765928</c:v>
                </c:pt>
                <c:pt idx="861">
                  <c:v>2.5128819768188118</c:v>
                </c:pt>
                <c:pt idx="862">
                  <c:v>-0.49293195106996635</c:v>
                </c:pt>
                <c:pt idx="863">
                  <c:v>-1.3084910316300267</c:v>
                </c:pt>
                <c:pt idx="864">
                  <c:v>0.40702994811485294</c:v>
                </c:pt>
                <c:pt idx="865">
                  <c:v>-0.14720678018926225</c:v>
                </c:pt>
                <c:pt idx="866">
                  <c:v>1.7018095765890386</c:v>
                </c:pt>
                <c:pt idx="867">
                  <c:v>-0.61780197227720102</c:v>
                </c:pt>
                <c:pt idx="868">
                  <c:v>2.5379921676187571</c:v>
                </c:pt>
                <c:pt idx="869">
                  <c:v>2.0349798088647892</c:v>
                </c:pt>
                <c:pt idx="870">
                  <c:v>1.5577550712288772</c:v>
                </c:pt>
                <c:pt idx="871">
                  <c:v>-2.1554457728590313</c:v>
                </c:pt>
                <c:pt idx="872">
                  <c:v>-3.1761914392620296</c:v>
                </c:pt>
                <c:pt idx="873">
                  <c:v>2.1006273701855616</c:v>
                </c:pt>
                <c:pt idx="874">
                  <c:v>0.81423361896100133</c:v>
                </c:pt>
                <c:pt idx="875">
                  <c:v>-1.1972059631824852</c:v>
                </c:pt>
                <c:pt idx="876">
                  <c:v>-1.2865647815884147</c:v>
                </c:pt>
                <c:pt idx="877">
                  <c:v>2.475767038890897</c:v>
                </c:pt>
                <c:pt idx="878">
                  <c:v>1.9367468989517302</c:v>
                </c:pt>
                <c:pt idx="879">
                  <c:v>-2.4350569521785959</c:v>
                </c:pt>
                <c:pt idx="880">
                  <c:v>2.2926492343534459</c:v>
                </c:pt>
                <c:pt idx="881">
                  <c:v>-1.9127544201746733</c:v>
                </c:pt>
                <c:pt idx="882">
                  <c:v>3.9260506138435467</c:v>
                </c:pt>
                <c:pt idx="883">
                  <c:v>0.83340682692536383</c:v>
                </c:pt>
                <c:pt idx="884">
                  <c:v>-1.6567766381643301</c:v>
                </c:pt>
                <c:pt idx="885">
                  <c:v>0.46445393462081075</c:v>
                </c:pt>
                <c:pt idx="886">
                  <c:v>0.70238225967458234</c:v>
                </c:pt>
                <c:pt idx="887">
                  <c:v>-0.82076639521966399</c:v>
                </c:pt>
                <c:pt idx="888">
                  <c:v>1.6163149483488422</c:v>
                </c:pt>
                <c:pt idx="889">
                  <c:v>1.4342165106025702</c:v>
                </c:pt>
                <c:pt idx="890">
                  <c:v>-1.8048306407218542</c:v>
                </c:pt>
                <c:pt idx="891">
                  <c:v>-2.7496108221828823</c:v>
                </c:pt>
                <c:pt idx="892">
                  <c:v>-0.86145845927723386</c:v>
                </c:pt>
                <c:pt idx="893">
                  <c:v>3.1131720415029296</c:v>
                </c:pt>
                <c:pt idx="894">
                  <c:v>4.7799049891171563</c:v>
                </c:pt>
                <c:pt idx="895">
                  <c:v>5.012958957547359</c:v>
                </c:pt>
                <c:pt idx="896">
                  <c:v>-1.606151044261181</c:v>
                </c:pt>
                <c:pt idx="897">
                  <c:v>-1.0620867970966561</c:v>
                </c:pt>
                <c:pt idx="898">
                  <c:v>-0.12278337076888768</c:v>
                </c:pt>
                <c:pt idx="899">
                  <c:v>0.26547982199256115</c:v>
                </c:pt>
                <c:pt idx="900">
                  <c:v>-1.2658100519023687</c:v>
                </c:pt>
                <c:pt idx="901">
                  <c:v>-0.83092066786437346</c:v>
                </c:pt>
                <c:pt idx="902">
                  <c:v>2.1862119773537207</c:v>
                </c:pt>
                <c:pt idx="903">
                  <c:v>5.2116932406254239</c:v>
                </c:pt>
                <c:pt idx="904">
                  <c:v>2.7516063999341256E-2</c:v>
                </c:pt>
                <c:pt idx="905">
                  <c:v>-0.19911192882763284</c:v>
                </c:pt>
                <c:pt idx="906">
                  <c:v>-0.68976125165106783</c:v>
                </c:pt>
                <c:pt idx="907">
                  <c:v>2.7327104495326706</c:v>
                </c:pt>
                <c:pt idx="908">
                  <c:v>-2.1543984906309732</c:v>
                </c:pt>
                <c:pt idx="909">
                  <c:v>0.84897919354518425</c:v>
                </c:pt>
                <c:pt idx="910">
                  <c:v>2.0509500969462096</c:v>
                </c:pt>
                <c:pt idx="911">
                  <c:v>3.4920576633270217</c:v>
                </c:pt>
                <c:pt idx="912">
                  <c:v>3.9078533554844102</c:v>
                </c:pt>
                <c:pt idx="913">
                  <c:v>4.940533064670281</c:v>
                </c:pt>
                <c:pt idx="914">
                  <c:v>-1.249798699626143</c:v>
                </c:pt>
                <c:pt idx="915">
                  <c:v>-1.2109102801671856</c:v>
                </c:pt>
                <c:pt idx="916">
                  <c:v>0.41087077064960376</c:v>
                </c:pt>
                <c:pt idx="917">
                  <c:v>-0.95849199648735528</c:v>
                </c:pt>
                <c:pt idx="918">
                  <c:v>-0.8559010988635567</c:v>
                </c:pt>
                <c:pt idx="919">
                  <c:v>3.8032524023645689</c:v>
                </c:pt>
                <c:pt idx="920">
                  <c:v>1.0141848095564878</c:v>
                </c:pt>
                <c:pt idx="921">
                  <c:v>4.8099473977536054</c:v>
                </c:pt>
                <c:pt idx="922">
                  <c:v>2.8763836577011581</c:v>
                </c:pt>
                <c:pt idx="923">
                  <c:v>1.7123551150646987</c:v>
                </c:pt>
                <c:pt idx="924">
                  <c:v>-1.8331425198108811</c:v>
                </c:pt>
                <c:pt idx="925">
                  <c:v>4.8573759973122455</c:v>
                </c:pt>
                <c:pt idx="926">
                  <c:v>0.94847628673225604</c:v>
                </c:pt>
                <c:pt idx="927">
                  <c:v>-1.3658719211810251</c:v>
                </c:pt>
                <c:pt idx="928">
                  <c:v>-1.1484401866743434</c:v>
                </c:pt>
                <c:pt idx="929">
                  <c:v>-1.400234001723093</c:v>
                </c:pt>
                <c:pt idx="930">
                  <c:v>2.0349337337687246</c:v>
                </c:pt>
                <c:pt idx="931">
                  <c:v>-0.76045181418941254</c:v>
                </c:pt>
                <c:pt idx="932">
                  <c:v>2.822772879428749</c:v>
                </c:pt>
                <c:pt idx="933">
                  <c:v>2.43263157681056</c:v>
                </c:pt>
                <c:pt idx="934">
                  <c:v>2.7617338130155584</c:v>
                </c:pt>
                <c:pt idx="935">
                  <c:v>1.4070795655797088</c:v>
                </c:pt>
                <c:pt idx="936">
                  <c:v>-2.1417417501569487</c:v>
                </c:pt>
                <c:pt idx="937">
                  <c:v>-1.47340325628205</c:v>
                </c:pt>
                <c:pt idx="938">
                  <c:v>1.5624303126733388</c:v>
                </c:pt>
                <c:pt idx="939">
                  <c:v>4.1287598790311595</c:v>
                </c:pt>
                <c:pt idx="940">
                  <c:v>-0.48361117536246745</c:v>
                </c:pt>
                <c:pt idx="941">
                  <c:v>0.66773889043042089</c:v>
                </c:pt>
                <c:pt idx="942">
                  <c:v>-3.6496952382824102</c:v>
                </c:pt>
                <c:pt idx="943">
                  <c:v>-2.3133633769396411</c:v>
                </c:pt>
                <c:pt idx="944">
                  <c:v>0.14313115855849023</c:v>
                </c:pt>
                <c:pt idx="945">
                  <c:v>-3.9997100592219201</c:v>
                </c:pt>
                <c:pt idx="946">
                  <c:v>2.2209152164395514</c:v>
                </c:pt>
                <c:pt idx="947">
                  <c:v>-1.7573902111339201</c:v>
                </c:pt>
                <c:pt idx="948">
                  <c:v>3.6635563543129344</c:v>
                </c:pt>
                <c:pt idx="949">
                  <c:v>-0.92403703942035076</c:v>
                </c:pt>
                <c:pt idx="950">
                  <c:v>3.0187399196091436</c:v>
                </c:pt>
                <c:pt idx="951">
                  <c:v>2.3786973070983368</c:v>
                </c:pt>
                <c:pt idx="952">
                  <c:v>-1.2962783717174764</c:v>
                </c:pt>
                <c:pt idx="953">
                  <c:v>1.8061449918797807</c:v>
                </c:pt>
                <c:pt idx="954">
                  <c:v>1.5244156258625523</c:v>
                </c:pt>
                <c:pt idx="955">
                  <c:v>2.3614583586028619</c:v>
                </c:pt>
                <c:pt idx="956">
                  <c:v>0.48486922519541054</c:v>
                </c:pt>
                <c:pt idx="957">
                  <c:v>-2.6421106996189767</c:v>
                </c:pt>
                <c:pt idx="958">
                  <c:v>-1.0981697809936257</c:v>
                </c:pt>
                <c:pt idx="959">
                  <c:v>-1.2454595632104368</c:v>
                </c:pt>
                <c:pt idx="960">
                  <c:v>0.18864335370265373</c:v>
                </c:pt>
                <c:pt idx="961">
                  <c:v>1.5784695477489299</c:v>
                </c:pt>
                <c:pt idx="962">
                  <c:v>-2.9247435851775059</c:v>
                </c:pt>
                <c:pt idx="963">
                  <c:v>-1.7758098052942319</c:v>
                </c:pt>
                <c:pt idx="964">
                  <c:v>-2.5630111893643184</c:v>
                </c:pt>
                <c:pt idx="965">
                  <c:v>0.7518762603284026</c:v>
                </c:pt>
                <c:pt idx="966">
                  <c:v>2.1980378556497726</c:v>
                </c:pt>
                <c:pt idx="967">
                  <c:v>1.4950612056264356</c:v>
                </c:pt>
                <c:pt idx="968">
                  <c:v>-0.50391448631926483</c:v>
                </c:pt>
                <c:pt idx="969">
                  <c:v>1.9647248120077414</c:v>
                </c:pt>
                <c:pt idx="970">
                  <c:v>-3.0468080963019517</c:v>
                </c:pt>
                <c:pt idx="971">
                  <c:v>3.1995516978371645</c:v>
                </c:pt>
                <c:pt idx="972">
                  <c:v>1.6303969679403334</c:v>
                </c:pt>
                <c:pt idx="973">
                  <c:v>-3.2208768135255488</c:v>
                </c:pt>
                <c:pt idx="974">
                  <c:v>-2.0056306037482932</c:v>
                </c:pt>
                <c:pt idx="975">
                  <c:v>2.8954055827889951</c:v>
                </c:pt>
                <c:pt idx="976">
                  <c:v>-0.22106730191285706</c:v>
                </c:pt>
                <c:pt idx="977">
                  <c:v>3.0555012125524321</c:v>
                </c:pt>
                <c:pt idx="978">
                  <c:v>-3.4273728500363476</c:v>
                </c:pt>
                <c:pt idx="979">
                  <c:v>-1.0782328161136459</c:v>
                </c:pt>
                <c:pt idx="980">
                  <c:v>2.0744104450156637</c:v>
                </c:pt>
                <c:pt idx="981">
                  <c:v>1.7863650753303402</c:v>
                </c:pt>
                <c:pt idx="982">
                  <c:v>0.28245423170737816</c:v>
                </c:pt>
                <c:pt idx="983">
                  <c:v>2.0089177736903272</c:v>
                </c:pt>
                <c:pt idx="984">
                  <c:v>-2.544405622671631</c:v>
                </c:pt>
                <c:pt idx="985">
                  <c:v>-0.21000572120465044</c:v>
                </c:pt>
                <c:pt idx="986">
                  <c:v>2.8396164253661862</c:v>
                </c:pt>
                <c:pt idx="987">
                  <c:v>-0.90870785777967189</c:v>
                </c:pt>
                <c:pt idx="988">
                  <c:v>4.9453699074060911</c:v>
                </c:pt>
                <c:pt idx="989">
                  <c:v>0.7871862419284632</c:v>
                </c:pt>
                <c:pt idx="990">
                  <c:v>-2.8968489624601572</c:v>
                </c:pt>
                <c:pt idx="991">
                  <c:v>3.4595135016399787</c:v>
                </c:pt>
                <c:pt idx="992">
                  <c:v>0.20491057221122944</c:v>
                </c:pt>
                <c:pt idx="993">
                  <c:v>4.1144348601039571</c:v>
                </c:pt>
                <c:pt idx="994">
                  <c:v>-1.6600287140489893</c:v>
                </c:pt>
                <c:pt idx="995">
                  <c:v>2.1412891988054934</c:v>
                </c:pt>
                <c:pt idx="996">
                  <c:v>0.85395579243346909</c:v>
                </c:pt>
                <c:pt idx="997">
                  <c:v>1.8212078494506212</c:v>
                </c:pt>
                <c:pt idx="998">
                  <c:v>0.52658358676069117</c:v>
                </c:pt>
                <c:pt idx="999">
                  <c:v>-2.30489323287145</c:v>
                </c:pt>
              </c:numCache>
            </c:numRef>
          </c:xVal>
          <c:yVal>
            <c:numRef>
              <c:f>PSA!$P$17:$P$1016</c:f>
              <c:numCache>
                <c:formatCode>General</c:formatCode>
                <c:ptCount val="1000"/>
                <c:pt idx="0">
                  <c:v>1137.3111486737944</c:v>
                </c:pt>
                <c:pt idx="1">
                  <c:v>3155.3288758708331</c:v>
                </c:pt>
                <c:pt idx="2">
                  <c:v>-462.97293819901097</c:v>
                </c:pt>
                <c:pt idx="3">
                  <c:v>1427.4240353056339</c:v>
                </c:pt>
                <c:pt idx="4">
                  <c:v>-2109.3708675148564</c:v>
                </c:pt>
                <c:pt idx="5">
                  <c:v>-1501.0845233766813</c:v>
                </c:pt>
                <c:pt idx="6">
                  <c:v>-1406.0263043022251</c:v>
                </c:pt>
                <c:pt idx="7">
                  <c:v>3949.4780069508215</c:v>
                </c:pt>
                <c:pt idx="8">
                  <c:v>3494.0199567170675</c:v>
                </c:pt>
                <c:pt idx="9">
                  <c:v>-1591.7002986918205</c:v>
                </c:pt>
                <c:pt idx="10">
                  <c:v>3067.9750378955296</c:v>
                </c:pt>
                <c:pt idx="11">
                  <c:v>6553.8319641523603</c:v>
                </c:pt>
                <c:pt idx="12">
                  <c:v>1304.7521518710364</c:v>
                </c:pt>
                <c:pt idx="13">
                  <c:v>1716.4673115394744</c:v>
                </c:pt>
                <c:pt idx="14">
                  <c:v>2570.6493061051042</c:v>
                </c:pt>
                <c:pt idx="15">
                  <c:v>1280.8537307914603</c:v>
                </c:pt>
                <c:pt idx="16">
                  <c:v>4224.1114930543463</c:v>
                </c:pt>
                <c:pt idx="17">
                  <c:v>4390.5208683812943</c:v>
                </c:pt>
                <c:pt idx="18">
                  <c:v>1468.1026909641541</c:v>
                </c:pt>
                <c:pt idx="19">
                  <c:v>4565.4752155382366</c:v>
                </c:pt>
                <c:pt idx="20">
                  <c:v>-1297.39312966738</c:v>
                </c:pt>
                <c:pt idx="21">
                  <c:v>4030.9280903288582</c:v>
                </c:pt>
                <c:pt idx="22">
                  <c:v>2492.8585626972472</c:v>
                </c:pt>
                <c:pt idx="23">
                  <c:v>3483.6962697709778</c:v>
                </c:pt>
                <c:pt idx="24">
                  <c:v>2063.2026004108238</c:v>
                </c:pt>
                <c:pt idx="25">
                  <c:v>-2580.3084939232513</c:v>
                </c:pt>
                <c:pt idx="26">
                  <c:v>595.11349544710356</c:v>
                </c:pt>
                <c:pt idx="27">
                  <c:v>2794.2375665648024</c:v>
                </c:pt>
                <c:pt idx="28">
                  <c:v>-1451.1881443404354</c:v>
                </c:pt>
                <c:pt idx="29">
                  <c:v>660.03096227585229</c:v>
                </c:pt>
                <c:pt idx="30">
                  <c:v>-1286.7798130645533</c:v>
                </c:pt>
                <c:pt idx="31">
                  <c:v>1083.775819438114</c:v>
                </c:pt>
                <c:pt idx="32">
                  <c:v>2420.1225837270913</c:v>
                </c:pt>
                <c:pt idx="33">
                  <c:v>304.6485762594948</c:v>
                </c:pt>
                <c:pt idx="34">
                  <c:v>-1283.4057650961386</c:v>
                </c:pt>
                <c:pt idx="35">
                  <c:v>269.54739424960007</c:v>
                </c:pt>
                <c:pt idx="36">
                  <c:v>576.04822565679933</c:v>
                </c:pt>
                <c:pt idx="37">
                  <c:v>-856.92913321484411</c:v>
                </c:pt>
                <c:pt idx="38">
                  <c:v>494.51340583029832</c:v>
                </c:pt>
                <c:pt idx="39">
                  <c:v>2054.3823859146196</c:v>
                </c:pt>
                <c:pt idx="40">
                  <c:v>759.22662444630987</c:v>
                </c:pt>
                <c:pt idx="41">
                  <c:v>2420.6803554035905</c:v>
                </c:pt>
                <c:pt idx="42">
                  <c:v>5770.1169516089158</c:v>
                </c:pt>
                <c:pt idx="43">
                  <c:v>3262.6652161140555</c:v>
                </c:pt>
                <c:pt idx="44">
                  <c:v>2195.0276839099661</c:v>
                </c:pt>
                <c:pt idx="45">
                  <c:v>-140.98978689404976</c:v>
                </c:pt>
                <c:pt idx="46">
                  <c:v>2394.9038733149227</c:v>
                </c:pt>
                <c:pt idx="47">
                  <c:v>-217.91353305307166</c:v>
                </c:pt>
                <c:pt idx="48">
                  <c:v>-2105.001082192698</c:v>
                </c:pt>
                <c:pt idx="49">
                  <c:v>1517.921212707065</c:v>
                </c:pt>
                <c:pt idx="50">
                  <c:v>-961.72533253222718</c:v>
                </c:pt>
                <c:pt idx="51">
                  <c:v>2630.3043910816996</c:v>
                </c:pt>
                <c:pt idx="52">
                  <c:v>1193.3724607812637</c:v>
                </c:pt>
                <c:pt idx="53">
                  <c:v>-1881.3438580381335</c:v>
                </c:pt>
                <c:pt idx="54">
                  <c:v>4573.0419040559045</c:v>
                </c:pt>
                <c:pt idx="55">
                  <c:v>3591.5783824628179</c:v>
                </c:pt>
                <c:pt idx="56">
                  <c:v>-1493.9480038692263</c:v>
                </c:pt>
                <c:pt idx="57">
                  <c:v>-1117.6270299852094</c:v>
                </c:pt>
                <c:pt idx="58">
                  <c:v>-208.91933132333452</c:v>
                </c:pt>
                <c:pt idx="59">
                  <c:v>805.63703351987442</c:v>
                </c:pt>
                <c:pt idx="60">
                  <c:v>3558.2882937194099</c:v>
                </c:pt>
                <c:pt idx="61">
                  <c:v>-2162.7057991515503</c:v>
                </c:pt>
                <c:pt idx="62">
                  <c:v>-344.64585422305026</c:v>
                </c:pt>
                <c:pt idx="63">
                  <c:v>3044.6525813223006</c:v>
                </c:pt>
                <c:pt idx="64">
                  <c:v>3846.3034768090329</c:v>
                </c:pt>
                <c:pt idx="65">
                  <c:v>3510.2573939490176</c:v>
                </c:pt>
                <c:pt idx="66">
                  <c:v>1879.1010220927055</c:v>
                </c:pt>
                <c:pt idx="67">
                  <c:v>3188.980718748513</c:v>
                </c:pt>
                <c:pt idx="68">
                  <c:v>5.3351262545229474</c:v>
                </c:pt>
                <c:pt idx="69">
                  <c:v>3769.9002620662986</c:v>
                </c:pt>
                <c:pt idx="70">
                  <c:v>-3105.1390493744684</c:v>
                </c:pt>
                <c:pt idx="71">
                  <c:v>-1324.6464006379811</c:v>
                </c:pt>
                <c:pt idx="72">
                  <c:v>1646.324287573816</c:v>
                </c:pt>
                <c:pt idx="73">
                  <c:v>2734.4628214748145</c:v>
                </c:pt>
                <c:pt idx="74">
                  <c:v>3570.6043431371136</c:v>
                </c:pt>
                <c:pt idx="75">
                  <c:v>2430.5817753045512</c:v>
                </c:pt>
                <c:pt idx="76">
                  <c:v>-768.41325848302495</c:v>
                </c:pt>
                <c:pt idx="77">
                  <c:v>1621.6096969317932</c:v>
                </c:pt>
                <c:pt idx="78">
                  <c:v>344.21806180934527</c:v>
                </c:pt>
                <c:pt idx="79">
                  <c:v>2994.5231644614669</c:v>
                </c:pt>
                <c:pt idx="80">
                  <c:v>-475.50690600516646</c:v>
                </c:pt>
                <c:pt idx="81">
                  <c:v>1336.0414469702682</c:v>
                </c:pt>
                <c:pt idx="82">
                  <c:v>-422.59521821519047</c:v>
                </c:pt>
                <c:pt idx="83">
                  <c:v>2331.1787885017939</c:v>
                </c:pt>
                <c:pt idx="84">
                  <c:v>667.85062931854918</c:v>
                </c:pt>
                <c:pt idx="85">
                  <c:v>3570.5272226123498</c:v>
                </c:pt>
                <c:pt idx="86">
                  <c:v>2435.8804202354831</c:v>
                </c:pt>
                <c:pt idx="87">
                  <c:v>2197.2534722631899</c:v>
                </c:pt>
                <c:pt idx="88">
                  <c:v>1265.0178584485766</c:v>
                </c:pt>
                <c:pt idx="89">
                  <c:v>1770.5236658704407</c:v>
                </c:pt>
                <c:pt idx="90">
                  <c:v>-280.13385688409835</c:v>
                </c:pt>
                <c:pt idx="91">
                  <c:v>3447.3342801164608</c:v>
                </c:pt>
                <c:pt idx="92">
                  <c:v>364.98869717277285</c:v>
                </c:pt>
                <c:pt idx="93">
                  <c:v>5616.1363834799677</c:v>
                </c:pt>
                <c:pt idx="94">
                  <c:v>186.27759815424361</c:v>
                </c:pt>
                <c:pt idx="95">
                  <c:v>1712.6264551386321</c:v>
                </c:pt>
                <c:pt idx="96">
                  <c:v>4774.6759754818786</c:v>
                </c:pt>
                <c:pt idx="97">
                  <c:v>-116.19975237245126</c:v>
                </c:pt>
                <c:pt idx="98">
                  <c:v>3072.4612064510311</c:v>
                </c:pt>
                <c:pt idx="99">
                  <c:v>3262.8591605318388</c:v>
                </c:pt>
                <c:pt idx="100">
                  <c:v>4511.6341876773768</c:v>
                </c:pt>
                <c:pt idx="101">
                  <c:v>181.67846961232772</c:v>
                </c:pt>
                <c:pt idx="102">
                  <c:v>-1113.8202363409237</c:v>
                </c:pt>
                <c:pt idx="103">
                  <c:v>407.36432981700091</c:v>
                </c:pt>
                <c:pt idx="104">
                  <c:v>2799.0791210912221</c:v>
                </c:pt>
                <c:pt idx="105">
                  <c:v>3231.5747055929369</c:v>
                </c:pt>
                <c:pt idx="106">
                  <c:v>-972.07297468804427</c:v>
                </c:pt>
                <c:pt idx="107">
                  <c:v>1525.7188795823331</c:v>
                </c:pt>
                <c:pt idx="108">
                  <c:v>-1409.4703040811155</c:v>
                </c:pt>
                <c:pt idx="109">
                  <c:v>-623.98585765477128</c:v>
                </c:pt>
                <c:pt idx="110">
                  <c:v>572.17397253058789</c:v>
                </c:pt>
                <c:pt idx="111">
                  <c:v>716.88727219726206</c:v>
                </c:pt>
                <c:pt idx="112">
                  <c:v>2942.7731218446561</c:v>
                </c:pt>
                <c:pt idx="113">
                  <c:v>-609.74864103403615</c:v>
                </c:pt>
                <c:pt idx="114">
                  <c:v>-290.52043537690588</c:v>
                </c:pt>
                <c:pt idx="115">
                  <c:v>956.56336028524674</c:v>
                </c:pt>
                <c:pt idx="116">
                  <c:v>-5201.9628789084454</c:v>
                </c:pt>
                <c:pt idx="117">
                  <c:v>184.00472934766003</c:v>
                </c:pt>
                <c:pt idx="118">
                  <c:v>774.90276535173689</c:v>
                </c:pt>
                <c:pt idx="119">
                  <c:v>4299.8190517437761</c:v>
                </c:pt>
                <c:pt idx="120">
                  <c:v>-1137.2666884078426</c:v>
                </c:pt>
                <c:pt idx="121">
                  <c:v>-436.89887426161658</c:v>
                </c:pt>
                <c:pt idx="122">
                  <c:v>-483.4948435928145</c:v>
                </c:pt>
                <c:pt idx="123">
                  <c:v>4252.449299804679</c:v>
                </c:pt>
                <c:pt idx="124">
                  <c:v>2979.4366129697355</c:v>
                </c:pt>
                <c:pt idx="125">
                  <c:v>-468.62196444435631</c:v>
                </c:pt>
                <c:pt idx="126">
                  <c:v>3852.5187601059124</c:v>
                </c:pt>
                <c:pt idx="127">
                  <c:v>3078.888333541734</c:v>
                </c:pt>
                <c:pt idx="128">
                  <c:v>-870.03194137071205</c:v>
                </c:pt>
                <c:pt idx="129">
                  <c:v>3318.4726125154866</c:v>
                </c:pt>
                <c:pt idx="130">
                  <c:v>4802.3674340063717</c:v>
                </c:pt>
                <c:pt idx="131">
                  <c:v>3077.9933638609982</c:v>
                </c:pt>
                <c:pt idx="132">
                  <c:v>-462.91095800794392</c:v>
                </c:pt>
                <c:pt idx="133">
                  <c:v>-191.0355841962355</c:v>
                </c:pt>
                <c:pt idx="134">
                  <c:v>1881.514465146478</c:v>
                </c:pt>
                <c:pt idx="135">
                  <c:v>2813.7202959700026</c:v>
                </c:pt>
                <c:pt idx="136">
                  <c:v>1893.941464608567</c:v>
                </c:pt>
                <c:pt idx="137">
                  <c:v>1895.0136275124032</c:v>
                </c:pt>
                <c:pt idx="138">
                  <c:v>1441.8157049508081</c:v>
                </c:pt>
                <c:pt idx="139">
                  <c:v>4634.9138953053935</c:v>
                </c:pt>
                <c:pt idx="140">
                  <c:v>-857.74047299463109</c:v>
                </c:pt>
                <c:pt idx="141">
                  <c:v>4069.9631001141852</c:v>
                </c:pt>
                <c:pt idx="142">
                  <c:v>3027.9224509672931</c:v>
                </c:pt>
                <c:pt idx="143">
                  <c:v>183.23058263414805</c:v>
                </c:pt>
                <c:pt idx="144">
                  <c:v>964.62219081077274</c:v>
                </c:pt>
                <c:pt idx="145">
                  <c:v>1715.1587265890194</c:v>
                </c:pt>
                <c:pt idx="146">
                  <c:v>-321.21362577333093</c:v>
                </c:pt>
                <c:pt idx="147">
                  <c:v>2476.0680288688827</c:v>
                </c:pt>
                <c:pt idx="148">
                  <c:v>3968.1587731742093</c:v>
                </c:pt>
                <c:pt idx="149">
                  <c:v>1921.6251727821691</c:v>
                </c:pt>
                <c:pt idx="150">
                  <c:v>3847.7431401376853</c:v>
                </c:pt>
                <c:pt idx="151">
                  <c:v>830.95354129564657</c:v>
                </c:pt>
                <c:pt idx="152">
                  <c:v>3721.4061116748035</c:v>
                </c:pt>
                <c:pt idx="153">
                  <c:v>20.011264743074207</c:v>
                </c:pt>
                <c:pt idx="154">
                  <c:v>2206.2848432461433</c:v>
                </c:pt>
                <c:pt idx="155">
                  <c:v>4830.8746652671343</c:v>
                </c:pt>
                <c:pt idx="156">
                  <c:v>-1179.1175347159588</c:v>
                </c:pt>
                <c:pt idx="157">
                  <c:v>3279.8664459106994</c:v>
                </c:pt>
                <c:pt idx="158">
                  <c:v>2100.5897739827833</c:v>
                </c:pt>
                <c:pt idx="159">
                  <c:v>-2433.0753176393828</c:v>
                </c:pt>
                <c:pt idx="160">
                  <c:v>2822.8166458327623</c:v>
                </c:pt>
                <c:pt idx="161">
                  <c:v>-1785.0672665693501</c:v>
                </c:pt>
                <c:pt idx="162">
                  <c:v>-3.0624078374576129</c:v>
                </c:pt>
                <c:pt idx="163">
                  <c:v>-537.16903524573536</c:v>
                </c:pt>
                <c:pt idx="164">
                  <c:v>2221.3026531651813</c:v>
                </c:pt>
                <c:pt idx="165">
                  <c:v>1249.1403014308207</c:v>
                </c:pt>
                <c:pt idx="166">
                  <c:v>3672.4359119929086</c:v>
                </c:pt>
                <c:pt idx="167">
                  <c:v>4866.636186374848</c:v>
                </c:pt>
                <c:pt idx="168">
                  <c:v>3779.9149637307119</c:v>
                </c:pt>
                <c:pt idx="169">
                  <c:v>6001.4664422069027</c:v>
                </c:pt>
                <c:pt idx="170">
                  <c:v>-720.02020468212322</c:v>
                </c:pt>
                <c:pt idx="171">
                  <c:v>4868.9036777817082</c:v>
                </c:pt>
                <c:pt idx="172">
                  <c:v>-893.54903831012234</c:v>
                </c:pt>
                <c:pt idx="173">
                  <c:v>2435.0983154762034</c:v>
                </c:pt>
                <c:pt idx="174">
                  <c:v>-1312.2149653597771</c:v>
                </c:pt>
                <c:pt idx="175">
                  <c:v>3358.7821970154464</c:v>
                </c:pt>
                <c:pt idx="176">
                  <c:v>-1947.5526921482915</c:v>
                </c:pt>
                <c:pt idx="177">
                  <c:v>-882.7277874221927</c:v>
                </c:pt>
                <c:pt idx="178">
                  <c:v>2586.4814692431355</c:v>
                </c:pt>
                <c:pt idx="179">
                  <c:v>614.29650130554819</c:v>
                </c:pt>
                <c:pt idx="180">
                  <c:v>8315.8482989275035</c:v>
                </c:pt>
                <c:pt idx="181">
                  <c:v>2281.225412331898</c:v>
                </c:pt>
                <c:pt idx="182">
                  <c:v>2707.8908808491306</c:v>
                </c:pt>
                <c:pt idx="183">
                  <c:v>1083.0030579783561</c:v>
                </c:pt>
                <c:pt idx="184">
                  <c:v>-1255.6932017848203</c:v>
                </c:pt>
                <c:pt idx="185">
                  <c:v>1392.9809588006301</c:v>
                </c:pt>
                <c:pt idx="186">
                  <c:v>2322.1779350813449</c:v>
                </c:pt>
                <c:pt idx="187">
                  <c:v>404.12195719406463</c:v>
                </c:pt>
                <c:pt idx="188">
                  <c:v>3701.8638702942644</c:v>
                </c:pt>
                <c:pt idx="189">
                  <c:v>899.31400183144888</c:v>
                </c:pt>
                <c:pt idx="190">
                  <c:v>1161.6402247888382</c:v>
                </c:pt>
                <c:pt idx="191">
                  <c:v>1370.2913799421221</c:v>
                </c:pt>
                <c:pt idx="192">
                  <c:v>1546.3692336279782</c:v>
                </c:pt>
                <c:pt idx="193">
                  <c:v>-250.18625173202599</c:v>
                </c:pt>
                <c:pt idx="194">
                  <c:v>5608.4703512063052</c:v>
                </c:pt>
                <c:pt idx="195">
                  <c:v>5869.2271039166517</c:v>
                </c:pt>
                <c:pt idx="196">
                  <c:v>984.26347847127545</c:v>
                </c:pt>
                <c:pt idx="197">
                  <c:v>1878.0971534707296</c:v>
                </c:pt>
                <c:pt idx="198">
                  <c:v>3283.8173134244726</c:v>
                </c:pt>
                <c:pt idx="199">
                  <c:v>5247.2216270169583</c:v>
                </c:pt>
                <c:pt idx="200">
                  <c:v>-636.49740466740695</c:v>
                </c:pt>
                <c:pt idx="201">
                  <c:v>497.89449006338509</c:v>
                </c:pt>
                <c:pt idx="202">
                  <c:v>2324.0033101961717</c:v>
                </c:pt>
                <c:pt idx="203">
                  <c:v>-766.18948432338493</c:v>
                </c:pt>
                <c:pt idx="204">
                  <c:v>-676.0889399582793</c:v>
                </c:pt>
                <c:pt idx="205">
                  <c:v>-539.95679980510977</c:v>
                </c:pt>
                <c:pt idx="206">
                  <c:v>-1221.6671915561237</c:v>
                </c:pt>
                <c:pt idx="207">
                  <c:v>-2695.1314686928708</c:v>
                </c:pt>
                <c:pt idx="208">
                  <c:v>-2597.2649768267138</c:v>
                </c:pt>
                <c:pt idx="209">
                  <c:v>-2584.829658158962</c:v>
                </c:pt>
                <c:pt idx="210">
                  <c:v>1402.7516239514516</c:v>
                </c:pt>
                <c:pt idx="211">
                  <c:v>2412.5279641336601</c:v>
                </c:pt>
                <c:pt idx="212">
                  <c:v>1050.0019156630915</c:v>
                </c:pt>
                <c:pt idx="213">
                  <c:v>3273.1723224355701</c:v>
                </c:pt>
                <c:pt idx="214">
                  <c:v>1270.9191948723283</c:v>
                </c:pt>
                <c:pt idx="215">
                  <c:v>-2867.1839570331676</c:v>
                </c:pt>
                <c:pt idx="216">
                  <c:v>-1190.7255378872296</c:v>
                </c:pt>
                <c:pt idx="217">
                  <c:v>385.99805048058806</c:v>
                </c:pt>
                <c:pt idx="218">
                  <c:v>-949.45749036137204</c:v>
                </c:pt>
                <c:pt idx="219">
                  <c:v>84.297008826068122</c:v>
                </c:pt>
                <c:pt idx="220">
                  <c:v>-343.58330966017456</c:v>
                </c:pt>
                <c:pt idx="221">
                  <c:v>261.98494465345266</c:v>
                </c:pt>
                <c:pt idx="222">
                  <c:v>221.33785242098656</c:v>
                </c:pt>
                <c:pt idx="223">
                  <c:v>-3139.3237638323826</c:v>
                </c:pt>
                <c:pt idx="224">
                  <c:v>1881.4050007553815</c:v>
                </c:pt>
                <c:pt idx="225">
                  <c:v>101.13701124701583</c:v>
                </c:pt>
                <c:pt idx="226">
                  <c:v>206.44818112128632</c:v>
                </c:pt>
                <c:pt idx="227">
                  <c:v>3361.0736554927807</c:v>
                </c:pt>
                <c:pt idx="228">
                  <c:v>6084.5974772460731</c:v>
                </c:pt>
                <c:pt idx="229">
                  <c:v>2099.636441635651</c:v>
                </c:pt>
                <c:pt idx="230">
                  <c:v>-912.13973768064625</c:v>
                </c:pt>
                <c:pt idx="231">
                  <c:v>3423.4552580325171</c:v>
                </c:pt>
                <c:pt idx="232">
                  <c:v>1658.5211147136579</c:v>
                </c:pt>
                <c:pt idx="233">
                  <c:v>-1484.1359701624424</c:v>
                </c:pt>
                <c:pt idx="234">
                  <c:v>-1784.5749775365693</c:v>
                </c:pt>
                <c:pt idx="235">
                  <c:v>4091.1394230922651</c:v>
                </c:pt>
                <c:pt idx="236">
                  <c:v>-39.398708578156402</c:v>
                </c:pt>
                <c:pt idx="237">
                  <c:v>3541.8687892802827</c:v>
                </c:pt>
                <c:pt idx="238">
                  <c:v>1677.1206691147245</c:v>
                </c:pt>
                <c:pt idx="239">
                  <c:v>4112.0795669062518</c:v>
                </c:pt>
                <c:pt idx="240">
                  <c:v>-1884.2465772017813</c:v>
                </c:pt>
                <c:pt idx="241">
                  <c:v>-1231.5409137363531</c:v>
                </c:pt>
                <c:pt idx="242">
                  <c:v>627.52670514272722</c:v>
                </c:pt>
                <c:pt idx="243">
                  <c:v>3396.2321672234484</c:v>
                </c:pt>
                <c:pt idx="244">
                  <c:v>2787.8851525320697</c:v>
                </c:pt>
                <c:pt idx="245">
                  <c:v>4842.4918154080651</c:v>
                </c:pt>
                <c:pt idx="246">
                  <c:v>-65.825603488146953</c:v>
                </c:pt>
                <c:pt idx="247">
                  <c:v>553.11832533230336</c:v>
                </c:pt>
                <c:pt idx="248">
                  <c:v>2746.5372146562258</c:v>
                </c:pt>
                <c:pt idx="249">
                  <c:v>73.962254976718214</c:v>
                </c:pt>
                <c:pt idx="250">
                  <c:v>80.39704416571567</c:v>
                </c:pt>
                <c:pt idx="251">
                  <c:v>688.68764795946481</c:v>
                </c:pt>
                <c:pt idx="252">
                  <c:v>708.34726247525759</c:v>
                </c:pt>
                <c:pt idx="253">
                  <c:v>3478.7923736555867</c:v>
                </c:pt>
                <c:pt idx="254">
                  <c:v>-946.23343190999185</c:v>
                </c:pt>
                <c:pt idx="255">
                  <c:v>-2567.6085603996789</c:v>
                </c:pt>
                <c:pt idx="256">
                  <c:v>6075.0170080458192</c:v>
                </c:pt>
                <c:pt idx="257">
                  <c:v>481.79217601321761</c:v>
                </c:pt>
                <c:pt idx="258">
                  <c:v>1835.2683876505889</c:v>
                </c:pt>
                <c:pt idx="259">
                  <c:v>4635.5556059673991</c:v>
                </c:pt>
                <c:pt idx="260">
                  <c:v>1317.3141745385719</c:v>
                </c:pt>
                <c:pt idx="261">
                  <c:v>5144.9155314545915</c:v>
                </c:pt>
                <c:pt idx="262">
                  <c:v>2659.8750749968704</c:v>
                </c:pt>
                <c:pt idx="263">
                  <c:v>2070.345721395377</c:v>
                </c:pt>
                <c:pt idx="264">
                  <c:v>-916.39636192752914</c:v>
                </c:pt>
                <c:pt idx="265">
                  <c:v>-85.636586385538976</c:v>
                </c:pt>
                <c:pt idx="266">
                  <c:v>301.84234817522793</c:v>
                </c:pt>
                <c:pt idx="267">
                  <c:v>1834.8084490616402</c:v>
                </c:pt>
                <c:pt idx="268">
                  <c:v>-2171.2193961335042</c:v>
                </c:pt>
                <c:pt idx="269">
                  <c:v>-668.23762456705663</c:v>
                </c:pt>
                <c:pt idx="270">
                  <c:v>-2899.1287392863896</c:v>
                </c:pt>
                <c:pt idx="271">
                  <c:v>1375.4924486843929</c:v>
                </c:pt>
                <c:pt idx="272">
                  <c:v>1855.7351467271119</c:v>
                </c:pt>
                <c:pt idx="273">
                  <c:v>4018.9356691055873</c:v>
                </c:pt>
                <c:pt idx="274">
                  <c:v>-1791.6302040290602</c:v>
                </c:pt>
                <c:pt idx="275">
                  <c:v>-745.00397177093237</c:v>
                </c:pt>
                <c:pt idx="276">
                  <c:v>2159.5159775192114</c:v>
                </c:pt>
                <c:pt idx="277">
                  <c:v>1154.7463083225175</c:v>
                </c:pt>
                <c:pt idx="278">
                  <c:v>776.00674739558963</c:v>
                </c:pt>
                <c:pt idx="279">
                  <c:v>2748.6679015975806</c:v>
                </c:pt>
                <c:pt idx="280">
                  <c:v>-1827.2117342555375</c:v>
                </c:pt>
                <c:pt idx="281">
                  <c:v>-399.89839395535728</c:v>
                </c:pt>
                <c:pt idx="282">
                  <c:v>-129.03728143658464</c:v>
                </c:pt>
                <c:pt idx="283">
                  <c:v>1473.2654534011926</c:v>
                </c:pt>
                <c:pt idx="284">
                  <c:v>3427.5877710273053</c:v>
                </c:pt>
                <c:pt idx="285">
                  <c:v>1798.4024070786309</c:v>
                </c:pt>
                <c:pt idx="286">
                  <c:v>-739.70840713610141</c:v>
                </c:pt>
                <c:pt idx="287">
                  <c:v>941.42718587418676</c:v>
                </c:pt>
                <c:pt idx="288">
                  <c:v>1413.7078361522999</c:v>
                </c:pt>
                <c:pt idx="289">
                  <c:v>-216.29972979758077</c:v>
                </c:pt>
                <c:pt idx="290">
                  <c:v>-2948.204599910302</c:v>
                </c:pt>
                <c:pt idx="291">
                  <c:v>350.96670417745372</c:v>
                </c:pt>
                <c:pt idx="292">
                  <c:v>409.43359766987578</c:v>
                </c:pt>
                <c:pt idx="293">
                  <c:v>-506.21411263015762</c:v>
                </c:pt>
                <c:pt idx="294">
                  <c:v>3396.2140243321246</c:v>
                </c:pt>
                <c:pt idx="295">
                  <c:v>2909.6535773506921</c:v>
                </c:pt>
                <c:pt idx="296">
                  <c:v>2642.3047487399053</c:v>
                </c:pt>
                <c:pt idx="297">
                  <c:v>2727.7074800836745</c:v>
                </c:pt>
                <c:pt idx="298">
                  <c:v>-345.49548344335835</c:v>
                </c:pt>
                <c:pt idx="299">
                  <c:v>1220.5729867606269</c:v>
                </c:pt>
                <c:pt idx="300">
                  <c:v>2909.7136449692725</c:v>
                </c:pt>
                <c:pt idx="301">
                  <c:v>-3178.6733644083315</c:v>
                </c:pt>
                <c:pt idx="302">
                  <c:v>3541.04119562699</c:v>
                </c:pt>
                <c:pt idx="303">
                  <c:v>1175.0892817343802</c:v>
                </c:pt>
                <c:pt idx="304">
                  <c:v>1351.8179031177706</c:v>
                </c:pt>
                <c:pt idx="305">
                  <c:v>-212.3173900164893</c:v>
                </c:pt>
                <c:pt idx="306">
                  <c:v>4145.8801327486381</c:v>
                </c:pt>
                <c:pt idx="307">
                  <c:v>786.1005948255297</c:v>
                </c:pt>
                <c:pt idx="308">
                  <c:v>4454.0319354529511</c:v>
                </c:pt>
                <c:pt idx="309">
                  <c:v>2050.5905441191744</c:v>
                </c:pt>
                <c:pt idx="310">
                  <c:v>623.2018472396685</c:v>
                </c:pt>
                <c:pt idx="311">
                  <c:v>476.3801927691984</c:v>
                </c:pt>
                <c:pt idx="312">
                  <c:v>1909.4968879910575</c:v>
                </c:pt>
                <c:pt idx="313">
                  <c:v>1637.1596005289684</c:v>
                </c:pt>
                <c:pt idx="314">
                  <c:v>-832.83002549461889</c:v>
                </c:pt>
                <c:pt idx="315">
                  <c:v>4470.4485922391141</c:v>
                </c:pt>
                <c:pt idx="316">
                  <c:v>4312.0961807965641</c:v>
                </c:pt>
                <c:pt idx="317">
                  <c:v>300.90865861327438</c:v>
                </c:pt>
                <c:pt idx="318">
                  <c:v>-516.43961659725574</c:v>
                </c:pt>
                <c:pt idx="319">
                  <c:v>1448.4573979963352</c:v>
                </c:pt>
                <c:pt idx="320">
                  <c:v>5817.2044013342593</c:v>
                </c:pt>
                <c:pt idx="321">
                  <c:v>4346.817731797124</c:v>
                </c:pt>
                <c:pt idx="322">
                  <c:v>1711.0818740028481</c:v>
                </c:pt>
                <c:pt idx="323">
                  <c:v>-1939.965707239754</c:v>
                </c:pt>
                <c:pt idx="324">
                  <c:v>1731.6510682060853</c:v>
                </c:pt>
                <c:pt idx="325">
                  <c:v>2950.7013822616609</c:v>
                </c:pt>
                <c:pt idx="326">
                  <c:v>1506.6414038649291</c:v>
                </c:pt>
                <c:pt idx="327">
                  <c:v>5063.3441767890135</c:v>
                </c:pt>
                <c:pt idx="328">
                  <c:v>152.97320888002378</c:v>
                </c:pt>
                <c:pt idx="329">
                  <c:v>5886.2422809083982</c:v>
                </c:pt>
                <c:pt idx="330">
                  <c:v>563.84290928318387</c:v>
                </c:pt>
                <c:pt idx="331">
                  <c:v>1535.921498481006</c:v>
                </c:pt>
                <c:pt idx="332">
                  <c:v>1728.8585395972623</c:v>
                </c:pt>
                <c:pt idx="333">
                  <c:v>2883.9867102002672</c:v>
                </c:pt>
                <c:pt idx="334">
                  <c:v>2412.4441150310386</c:v>
                </c:pt>
                <c:pt idx="335">
                  <c:v>-726.05069935654865</c:v>
                </c:pt>
                <c:pt idx="336">
                  <c:v>4972.2753316214003</c:v>
                </c:pt>
                <c:pt idx="337">
                  <c:v>736.75733343287902</c:v>
                </c:pt>
                <c:pt idx="338">
                  <c:v>1092.1006225078063</c:v>
                </c:pt>
                <c:pt idx="339">
                  <c:v>3382.9365238253131</c:v>
                </c:pt>
                <c:pt idx="340">
                  <c:v>-1561.8813319687306</c:v>
                </c:pt>
                <c:pt idx="341">
                  <c:v>-267.93410560312896</c:v>
                </c:pt>
                <c:pt idx="342">
                  <c:v>962.58389981902928</c:v>
                </c:pt>
                <c:pt idx="343">
                  <c:v>-1276.3006433901519</c:v>
                </c:pt>
                <c:pt idx="344">
                  <c:v>2838.997359059842</c:v>
                </c:pt>
                <c:pt idx="345">
                  <c:v>-772.33243254911486</c:v>
                </c:pt>
                <c:pt idx="346">
                  <c:v>841.61693999491672</c:v>
                </c:pt>
                <c:pt idx="347">
                  <c:v>3926.2640619312751</c:v>
                </c:pt>
                <c:pt idx="348">
                  <c:v>-802.50229697521718</c:v>
                </c:pt>
                <c:pt idx="349">
                  <c:v>3966.7444725464829</c:v>
                </c:pt>
                <c:pt idx="350">
                  <c:v>4276.8268336833935</c:v>
                </c:pt>
                <c:pt idx="351">
                  <c:v>4138.2488828342666</c:v>
                </c:pt>
                <c:pt idx="352">
                  <c:v>3740.7360277754206</c:v>
                </c:pt>
                <c:pt idx="353">
                  <c:v>3545.3067073683223</c:v>
                </c:pt>
                <c:pt idx="354">
                  <c:v>894.48765049316626</c:v>
                </c:pt>
                <c:pt idx="355">
                  <c:v>243.60405111799537</c:v>
                </c:pt>
                <c:pt idx="356">
                  <c:v>3905.3067714986764</c:v>
                </c:pt>
                <c:pt idx="357">
                  <c:v>317.15125382510814</c:v>
                </c:pt>
                <c:pt idx="358">
                  <c:v>3300.6394651948631</c:v>
                </c:pt>
                <c:pt idx="359">
                  <c:v>-87.587495932386446</c:v>
                </c:pt>
                <c:pt idx="360">
                  <c:v>1418.3754924813338</c:v>
                </c:pt>
                <c:pt idx="361">
                  <c:v>-1258.624266089746</c:v>
                </c:pt>
                <c:pt idx="362">
                  <c:v>2644.7096695164983</c:v>
                </c:pt>
                <c:pt idx="363">
                  <c:v>1057.5049795375344</c:v>
                </c:pt>
                <c:pt idx="364">
                  <c:v>724.69010061766858</c:v>
                </c:pt>
                <c:pt idx="365">
                  <c:v>-267.84197021196997</c:v>
                </c:pt>
                <c:pt idx="366">
                  <c:v>1785.4993543872006</c:v>
                </c:pt>
                <c:pt idx="367">
                  <c:v>3445.7063627950911</c:v>
                </c:pt>
                <c:pt idx="368">
                  <c:v>172.08328273584993</c:v>
                </c:pt>
                <c:pt idx="369">
                  <c:v>-2265.2535825459208</c:v>
                </c:pt>
                <c:pt idx="370">
                  <c:v>4200.0950377536865</c:v>
                </c:pt>
                <c:pt idx="371">
                  <c:v>2465.3206030217825</c:v>
                </c:pt>
                <c:pt idx="372">
                  <c:v>655.66651908584208</c:v>
                </c:pt>
                <c:pt idx="373">
                  <c:v>1486.8041728040416</c:v>
                </c:pt>
                <c:pt idx="374">
                  <c:v>4737.4965614350594</c:v>
                </c:pt>
                <c:pt idx="375">
                  <c:v>4017.1029357439975</c:v>
                </c:pt>
                <c:pt idx="376">
                  <c:v>2602.1625843596958</c:v>
                </c:pt>
                <c:pt idx="377">
                  <c:v>-2377.8631347746123</c:v>
                </c:pt>
                <c:pt idx="378">
                  <c:v>-2422.0165714054438</c:v>
                </c:pt>
                <c:pt idx="379">
                  <c:v>-493.4224832390837</c:v>
                </c:pt>
                <c:pt idx="380">
                  <c:v>2688.5748573597302</c:v>
                </c:pt>
                <c:pt idx="381">
                  <c:v>-1365.956277278081</c:v>
                </c:pt>
                <c:pt idx="382">
                  <c:v>-824.50464058823854</c:v>
                </c:pt>
                <c:pt idx="383">
                  <c:v>1462.3322775363231</c:v>
                </c:pt>
                <c:pt idx="384">
                  <c:v>449.61376938026115</c:v>
                </c:pt>
                <c:pt idx="385">
                  <c:v>41.383677366338816</c:v>
                </c:pt>
                <c:pt idx="386">
                  <c:v>-3894.5974469900002</c:v>
                </c:pt>
                <c:pt idx="387">
                  <c:v>582.72871875691999</c:v>
                </c:pt>
                <c:pt idx="388">
                  <c:v>-1250.4678409623994</c:v>
                </c:pt>
                <c:pt idx="389">
                  <c:v>-259.42321844709477</c:v>
                </c:pt>
                <c:pt idx="390">
                  <c:v>1834.3561036191531</c:v>
                </c:pt>
                <c:pt idx="391">
                  <c:v>-1797.5176892500822</c:v>
                </c:pt>
                <c:pt idx="392">
                  <c:v>650.14957747906919</c:v>
                </c:pt>
                <c:pt idx="393">
                  <c:v>359.97787455959678</c:v>
                </c:pt>
                <c:pt idx="394">
                  <c:v>622.95249946416334</c:v>
                </c:pt>
                <c:pt idx="395">
                  <c:v>1079.8596187039693</c:v>
                </c:pt>
                <c:pt idx="396">
                  <c:v>1354.4518847593154</c:v>
                </c:pt>
                <c:pt idx="397">
                  <c:v>-3019.0657282334487</c:v>
                </c:pt>
                <c:pt idx="398">
                  <c:v>-2915.8131464818389</c:v>
                </c:pt>
                <c:pt idx="399">
                  <c:v>1403.1845259358925</c:v>
                </c:pt>
                <c:pt idx="400">
                  <c:v>146.6608328811335</c:v>
                </c:pt>
                <c:pt idx="401">
                  <c:v>-831.83918652889588</c:v>
                </c:pt>
                <c:pt idx="402">
                  <c:v>2134.0052378336086</c:v>
                </c:pt>
                <c:pt idx="403">
                  <c:v>503.08041098521517</c:v>
                </c:pt>
                <c:pt idx="404">
                  <c:v>-1367.2853278722241</c:v>
                </c:pt>
                <c:pt idx="405">
                  <c:v>1140.6928546793188</c:v>
                </c:pt>
                <c:pt idx="406">
                  <c:v>-1002.2435636962846</c:v>
                </c:pt>
                <c:pt idx="407">
                  <c:v>1556.8134596951395</c:v>
                </c:pt>
                <c:pt idx="408">
                  <c:v>2285.7893620993591</c:v>
                </c:pt>
                <c:pt idx="409">
                  <c:v>678.85377550194789</c:v>
                </c:pt>
                <c:pt idx="410">
                  <c:v>590.80595001924667</c:v>
                </c:pt>
                <c:pt idx="411">
                  <c:v>5173.4024132625427</c:v>
                </c:pt>
                <c:pt idx="412">
                  <c:v>1494.5379562646485</c:v>
                </c:pt>
                <c:pt idx="413">
                  <c:v>-740.28089376621756</c:v>
                </c:pt>
                <c:pt idx="414">
                  <c:v>-2086.0007544541531</c:v>
                </c:pt>
                <c:pt idx="415">
                  <c:v>1978.4664346550308</c:v>
                </c:pt>
                <c:pt idx="416">
                  <c:v>5324.0648024383108</c:v>
                </c:pt>
                <c:pt idx="417">
                  <c:v>-1781.1999811226078</c:v>
                </c:pt>
                <c:pt idx="418">
                  <c:v>2702.5195271020157</c:v>
                </c:pt>
                <c:pt idx="419">
                  <c:v>3058.959257102123</c:v>
                </c:pt>
                <c:pt idx="420">
                  <c:v>3872.6659131379365</c:v>
                </c:pt>
                <c:pt idx="421">
                  <c:v>2486.9010717232923</c:v>
                </c:pt>
                <c:pt idx="422">
                  <c:v>-674.46755420526551</c:v>
                </c:pt>
                <c:pt idx="423">
                  <c:v>26.281002721229015</c:v>
                </c:pt>
                <c:pt idx="424">
                  <c:v>3742.2795087903442</c:v>
                </c:pt>
                <c:pt idx="425">
                  <c:v>559.98949745836853</c:v>
                </c:pt>
                <c:pt idx="426">
                  <c:v>2348.843753787608</c:v>
                </c:pt>
                <c:pt idx="427">
                  <c:v>375.79739291680016</c:v>
                </c:pt>
                <c:pt idx="428">
                  <c:v>2154.2963110536994</c:v>
                </c:pt>
                <c:pt idx="429">
                  <c:v>1103.6027716023455</c:v>
                </c:pt>
                <c:pt idx="430">
                  <c:v>-2387.0184903007366</c:v>
                </c:pt>
                <c:pt idx="431">
                  <c:v>518.63981634926404</c:v>
                </c:pt>
                <c:pt idx="432">
                  <c:v>2053.5065212629825</c:v>
                </c:pt>
                <c:pt idx="433">
                  <c:v>410.6365434082345</c:v>
                </c:pt>
                <c:pt idx="434">
                  <c:v>445.6710973311292</c:v>
                </c:pt>
                <c:pt idx="435">
                  <c:v>-225.29753905045072</c:v>
                </c:pt>
                <c:pt idx="436">
                  <c:v>-697.45891482566094</c:v>
                </c:pt>
                <c:pt idx="437">
                  <c:v>-794.91527711085382</c:v>
                </c:pt>
                <c:pt idx="438">
                  <c:v>969.18433701577851</c:v>
                </c:pt>
                <c:pt idx="439">
                  <c:v>1399.3859471483547</c:v>
                </c:pt>
                <c:pt idx="440">
                  <c:v>-2201.8231024397246</c:v>
                </c:pt>
                <c:pt idx="441">
                  <c:v>489.37868799973421</c:v>
                </c:pt>
                <c:pt idx="442">
                  <c:v>3851.5423191134023</c:v>
                </c:pt>
                <c:pt idx="443">
                  <c:v>1524.0120621465749</c:v>
                </c:pt>
                <c:pt idx="444">
                  <c:v>-265.35511902743747</c:v>
                </c:pt>
                <c:pt idx="445">
                  <c:v>1322.9520598249619</c:v>
                </c:pt>
                <c:pt idx="446">
                  <c:v>-2131.6524246193385</c:v>
                </c:pt>
                <c:pt idx="447">
                  <c:v>-733.24335160986629</c:v>
                </c:pt>
                <c:pt idx="448">
                  <c:v>1043.4249917782108</c:v>
                </c:pt>
                <c:pt idx="449">
                  <c:v>-1046.8197312047942</c:v>
                </c:pt>
                <c:pt idx="450">
                  <c:v>-1434.2966691166039</c:v>
                </c:pt>
                <c:pt idx="451">
                  <c:v>-770.53417614624959</c:v>
                </c:pt>
                <c:pt idx="452">
                  <c:v>-3105.0035759909952</c:v>
                </c:pt>
                <c:pt idx="453">
                  <c:v>805.44776134683525</c:v>
                </c:pt>
                <c:pt idx="454">
                  <c:v>-1355.7690834479081</c:v>
                </c:pt>
                <c:pt idx="455">
                  <c:v>-1074.1276914156224</c:v>
                </c:pt>
                <c:pt idx="456">
                  <c:v>-366.41210395935195</c:v>
                </c:pt>
                <c:pt idx="457">
                  <c:v>69.516765544334703</c:v>
                </c:pt>
                <c:pt idx="458">
                  <c:v>-3220.4770162054228</c:v>
                </c:pt>
                <c:pt idx="459">
                  <c:v>-1885.1121446079542</c:v>
                </c:pt>
                <c:pt idx="460">
                  <c:v>1997.849684981109</c:v>
                </c:pt>
                <c:pt idx="461">
                  <c:v>3273.3267390407282</c:v>
                </c:pt>
                <c:pt idx="462">
                  <c:v>558.71748594193195</c:v>
                </c:pt>
                <c:pt idx="463">
                  <c:v>-1068.5065777009322</c:v>
                </c:pt>
                <c:pt idx="464">
                  <c:v>-169.75491009641974</c:v>
                </c:pt>
                <c:pt idx="465">
                  <c:v>1463.4014979075218</c:v>
                </c:pt>
                <c:pt idx="466">
                  <c:v>6863.9052779226304</c:v>
                </c:pt>
                <c:pt idx="467">
                  <c:v>-2070.9178684784129</c:v>
                </c:pt>
                <c:pt idx="468">
                  <c:v>649.72939879179194</c:v>
                </c:pt>
                <c:pt idx="469">
                  <c:v>1041.7089313413417</c:v>
                </c:pt>
                <c:pt idx="470">
                  <c:v>2707.4991620092587</c:v>
                </c:pt>
                <c:pt idx="471">
                  <c:v>685.24098405458244</c:v>
                </c:pt>
                <c:pt idx="472">
                  <c:v>-523.9222322313899</c:v>
                </c:pt>
                <c:pt idx="473">
                  <c:v>-1436.9996702323206</c:v>
                </c:pt>
                <c:pt idx="474">
                  <c:v>4165.0543879478264</c:v>
                </c:pt>
                <c:pt idx="475">
                  <c:v>1502.4711291600715</c:v>
                </c:pt>
                <c:pt idx="476">
                  <c:v>1869.9549577033231</c:v>
                </c:pt>
                <c:pt idx="477">
                  <c:v>5507.2431085561766</c:v>
                </c:pt>
                <c:pt idx="478">
                  <c:v>2579.7872686556866</c:v>
                </c:pt>
                <c:pt idx="479">
                  <c:v>2983.5816777697401</c:v>
                </c:pt>
                <c:pt idx="480">
                  <c:v>649.75207389739808</c:v>
                </c:pt>
                <c:pt idx="481">
                  <c:v>2649.5945735558071</c:v>
                </c:pt>
                <c:pt idx="482">
                  <c:v>-498.8714369590698</c:v>
                </c:pt>
                <c:pt idx="483">
                  <c:v>-1405.1758055786249</c:v>
                </c:pt>
                <c:pt idx="484">
                  <c:v>-96.266176014936718</c:v>
                </c:pt>
                <c:pt idx="485">
                  <c:v>2256.0758522058704</c:v>
                </c:pt>
                <c:pt idx="486">
                  <c:v>1459.3092276294983</c:v>
                </c:pt>
                <c:pt idx="487">
                  <c:v>1932.1107811817928</c:v>
                </c:pt>
                <c:pt idx="488">
                  <c:v>1603.9375038350936</c:v>
                </c:pt>
                <c:pt idx="489">
                  <c:v>1705.7762670241609</c:v>
                </c:pt>
                <c:pt idx="490">
                  <c:v>-393.1185186935345</c:v>
                </c:pt>
                <c:pt idx="491">
                  <c:v>1686.8112489608502</c:v>
                </c:pt>
                <c:pt idx="492">
                  <c:v>-1016.635350994995</c:v>
                </c:pt>
                <c:pt idx="493">
                  <c:v>4131.0756469545604</c:v>
                </c:pt>
                <c:pt idx="494">
                  <c:v>-460.28376106981614</c:v>
                </c:pt>
                <c:pt idx="495">
                  <c:v>2353.2554523838126</c:v>
                </c:pt>
                <c:pt idx="496">
                  <c:v>-2919.4560503452331</c:v>
                </c:pt>
                <c:pt idx="497">
                  <c:v>557.33119445184821</c:v>
                </c:pt>
                <c:pt idx="498">
                  <c:v>1848.392644081815</c:v>
                </c:pt>
                <c:pt idx="499">
                  <c:v>-160.10827011482706</c:v>
                </c:pt>
                <c:pt idx="500">
                  <c:v>1336.5011495302251</c:v>
                </c:pt>
                <c:pt idx="501">
                  <c:v>2635.266615952225</c:v>
                </c:pt>
                <c:pt idx="502">
                  <c:v>942.70992304693209</c:v>
                </c:pt>
                <c:pt idx="503">
                  <c:v>-1317.9971000117184</c:v>
                </c:pt>
                <c:pt idx="504">
                  <c:v>-224.02368774502338</c:v>
                </c:pt>
                <c:pt idx="505">
                  <c:v>356.62168642816232</c:v>
                </c:pt>
                <c:pt idx="506">
                  <c:v>4724.2651809680247</c:v>
                </c:pt>
                <c:pt idx="507">
                  <c:v>734.37569976871691</c:v>
                </c:pt>
                <c:pt idx="508">
                  <c:v>2831.605260094645</c:v>
                </c:pt>
                <c:pt idx="509">
                  <c:v>-774.66491583432435</c:v>
                </c:pt>
                <c:pt idx="510">
                  <c:v>-3033.7627480431956</c:v>
                </c:pt>
                <c:pt idx="511">
                  <c:v>-252.32756147878899</c:v>
                </c:pt>
                <c:pt idx="512">
                  <c:v>5335.4584525499995</c:v>
                </c:pt>
                <c:pt idx="513">
                  <c:v>4245.4096126532586</c:v>
                </c:pt>
                <c:pt idx="514">
                  <c:v>3728.9917549420779</c:v>
                </c:pt>
                <c:pt idx="515">
                  <c:v>125.21409816604591</c:v>
                </c:pt>
                <c:pt idx="516">
                  <c:v>840.06419890565212</c:v>
                </c:pt>
                <c:pt idx="517">
                  <c:v>4374.2576890796172</c:v>
                </c:pt>
                <c:pt idx="518">
                  <c:v>1834.6868992388108</c:v>
                </c:pt>
                <c:pt idx="519">
                  <c:v>1146.6525871218064</c:v>
                </c:pt>
                <c:pt idx="520">
                  <c:v>254.50978949528508</c:v>
                </c:pt>
                <c:pt idx="521">
                  <c:v>-1757.2286517610073</c:v>
                </c:pt>
                <c:pt idx="522">
                  <c:v>2324.6956944684689</c:v>
                </c:pt>
                <c:pt idx="523">
                  <c:v>2631.4562496075159</c:v>
                </c:pt>
                <c:pt idx="524">
                  <c:v>-522.82441258963536</c:v>
                </c:pt>
                <c:pt idx="525">
                  <c:v>1245.2296525751553</c:v>
                </c:pt>
                <c:pt idx="526">
                  <c:v>-166.13194900119652</c:v>
                </c:pt>
                <c:pt idx="527">
                  <c:v>3360.7418082705117</c:v>
                </c:pt>
                <c:pt idx="528">
                  <c:v>4124.089751333504</c:v>
                </c:pt>
                <c:pt idx="529">
                  <c:v>-1267.672909859185</c:v>
                </c:pt>
                <c:pt idx="530">
                  <c:v>-574.23153161569007</c:v>
                </c:pt>
                <c:pt idx="531">
                  <c:v>3857.39688730744</c:v>
                </c:pt>
                <c:pt idx="532">
                  <c:v>802.23995712298256</c:v>
                </c:pt>
                <c:pt idx="533">
                  <c:v>3878.1171447175639</c:v>
                </c:pt>
                <c:pt idx="534">
                  <c:v>3639.795425704674</c:v>
                </c:pt>
                <c:pt idx="535">
                  <c:v>6051.6781527635076</c:v>
                </c:pt>
                <c:pt idx="536">
                  <c:v>-872.87950907750746</c:v>
                </c:pt>
                <c:pt idx="537">
                  <c:v>-512.61071464051201</c:v>
                </c:pt>
                <c:pt idx="538">
                  <c:v>-499.64854577911046</c:v>
                </c:pt>
                <c:pt idx="539">
                  <c:v>4880.1996074493754</c:v>
                </c:pt>
                <c:pt idx="540">
                  <c:v>1131.7595973939115</c:v>
                </c:pt>
                <c:pt idx="541">
                  <c:v>486.62635896322536</c:v>
                </c:pt>
                <c:pt idx="542">
                  <c:v>-52.677893718137057</c:v>
                </c:pt>
                <c:pt idx="543">
                  <c:v>545.39591993448812</c:v>
                </c:pt>
                <c:pt idx="544">
                  <c:v>-3086.5105679707622</c:v>
                </c:pt>
                <c:pt idx="545">
                  <c:v>805.01108144060163</c:v>
                </c:pt>
                <c:pt idx="546">
                  <c:v>4799.0092742873749</c:v>
                </c:pt>
                <c:pt idx="547">
                  <c:v>1112.0980442968485</c:v>
                </c:pt>
                <c:pt idx="548">
                  <c:v>-1992.4578767308776</c:v>
                </c:pt>
                <c:pt idx="549">
                  <c:v>6421.787044137689</c:v>
                </c:pt>
                <c:pt idx="550">
                  <c:v>-558.20009125791421</c:v>
                </c:pt>
                <c:pt idx="551">
                  <c:v>675.2965794834181</c:v>
                </c:pt>
                <c:pt idx="552">
                  <c:v>3810.2945081675371</c:v>
                </c:pt>
                <c:pt idx="553">
                  <c:v>-2372.3051060008656</c:v>
                </c:pt>
                <c:pt idx="554">
                  <c:v>3237.1294375725502</c:v>
                </c:pt>
                <c:pt idx="555">
                  <c:v>1356.5658394184329</c:v>
                </c:pt>
                <c:pt idx="556">
                  <c:v>1480.6672513290678</c:v>
                </c:pt>
                <c:pt idx="557">
                  <c:v>3595.6662368353082</c:v>
                </c:pt>
                <c:pt idx="558">
                  <c:v>3375.5864898070768</c:v>
                </c:pt>
                <c:pt idx="559">
                  <c:v>7098.1761953124578</c:v>
                </c:pt>
                <c:pt idx="560">
                  <c:v>2868.2361852762042</c:v>
                </c:pt>
                <c:pt idx="561">
                  <c:v>3061.1252202830865</c:v>
                </c:pt>
                <c:pt idx="562">
                  <c:v>1973.3334420004066</c:v>
                </c:pt>
                <c:pt idx="563">
                  <c:v>156.28749934432017</c:v>
                </c:pt>
                <c:pt idx="564">
                  <c:v>-478.95931808754449</c:v>
                </c:pt>
                <c:pt idx="565">
                  <c:v>-1202.8517182012793</c:v>
                </c:pt>
                <c:pt idx="566">
                  <c:v>5813.6892128099862</c:v>
                </c:pt>
                <c:pt idx="567">
                  <c:v>-365.67823822046012</c:v>
                </c:pt>
                <c:pt idx="568">
                  <c:v>1370.470640326811</c:v>
                </c:pt>
                <c:pt idx="569">
                  <c:v>653.6680124819286</c:v>
                </c:pt>
                <c:pt idx="570">
                  <c:v>-262.71564702385876</c:v>
                </c:pt>
                <c:pt idx="571">
                  <c:v>4335.9452796305604</c:v>
                </c:pt>
                <c:pt idx="572">
                  <c:v>-1021.7916020589364</c:v>
                </c:pt>
                <c:pt idx="573">
                  <c:v>4067.9649097353049</c:v>
                </c:pt>
                <c:pt idx="574">
                  <c:v>335.90366671225001</c:v>
                </c:pt>
                <c:pt idx="575">
                  <c:v>378.07420326243027</c:v>
                </c:pt>
                <c:pt idx="576">
                  <c:v>139.09644008781288</c:v>
                </c:pt>
                <c:pt idx="577">
                  <c:v>951.24266986826024</c:v>
                </c:pt>
                <c:pt idx="578">
                  <c:v>4084.6869332736369</c:v>
                </c:pt>
                <c:pt idx="579">
                  <c:v>1276.048774429265</c:v>
                </c:pt>
                <c:pt idx="580">
                  <c:v>1748.8072466735466</c:v>
                </c:pt>
                <c:pt idx="581">
                  <c:v>4578.0554786558496</c:v>
                </c:pt>
                <c:pt idx="582">
                  <c:v>4983.7625914635382</c:v>
                </c:pt>
                <c:pt idx="583">
                  <c:v>2623.8907339153093</c:v>
                </c:pt>
                <c:pt idx="584">
                  <c:v>1882.707263399192</c:v>
                </c:pt>
                <c:pt idx="585">
                  <c:v>286.0258520069201</c:v>
                </c:pt>
                <c:pt idx="586">
                  <c:v>-1779.6234640652528</c:v>
                </c:pt>
                <c:pt idx="587">
                  <c:v>3737.0605820460278</c:v>
                </c:pt>
                <c:pt idx="588">
                  <c:v>-268.19793034715804</c:v>
                </c:pt>
                <c:pt idx="589">
                  <c:v>-426.73018022492306</c:v>
                </c:pt>
                <c:pt idx="590">
                  <c:v>-950.90252883083303</c:v>
                </c:pt>
                <c:pt idx="591">
                  <c:v>-1698.2895037737389</c:v>
                </c:pt>
                <c:pt idx="592">
                  <c:v>-1791.7474571564553</c:v>
                </c:pt>
                <c:pt idx="593">
                  <c:v>3391.8959151263862</c:v>
                </c:pt>
                <c:pt idx="594">
                  <c:v>1406.1613603684464</c:v>
                </c:pt>
                <c:pt idx="595">
                  <c:v>1079.5069374330124</c:v>
                </c:pt>
                <c:pt idx="596">
                  <c:v>-1472.6707903714932</c:v>
                </c:pt>
                <c:pt idx="597">
                  <c:v>761.18839097042928</c:v>
                </c:pt>
                <c:pt idx="598">
                  <c:v>3507.4618491208967</c:v>
                </c:pt>
                <c:pt idx="599">
                  <c:v>2562.375093614899</c:v>
                </c:pt>
                <c:pt idx="600">
                  <c:v>2583.7311124367707</c:v>
                </c:pt>
                <c:pt idx="601">
                  <c:v>3164.6283835629911</c:v>
                </c:pt>
                <c:pt idx="602">
                  <c:v>-118.25052227931337</c:v>
                </c:pt>
                <c:pt idx="603">
                  <c:v>2140.9500618183947</c:v>
                </c:pt>
                <c:pt idx="604">
                  <c:v>85.301173987402763</c:v>
                </c:pt>
                <c:pt idx="605">
                  <c:v>1774.9617073775562</c:v>
                </c:pt>
                <c:pt idx="606">
                  <c:v>-1636.5208488055559</c:v>
                </c:pt>
                <c:pt idx="607">
                  <c:v>-479.04214165418125</c:v>
                </c:pt>
                <c:pt idx="608">
                  <c:v>-2990.0604099730517</c:v>
                </c:pt>
                <c:pt idx="609">
                  <c:v>-382.16070144473906</c:v>
                </c:pt>
                <c:pt idx="610">
                  <c:v>-1619.5468048588582</c:v>
                </c:pt>
                <c:pt idx="611">
                  <c:v>4017.4697375365013</c:v>
                </c:pt>
                <c:pt idx="612">
                  <c:v>2412.2787398193204</c:v>
                </c:pt>
                <c:pt idx="613">
                  <c:v>3712.8393235735311</c:v>
                </c:pt>
                <c:pt idx="614">
                  <c:v>-88.95769167825074</c:v>
                </c:pt>
                <c:pt idx="615">
                  <c:v>694.22977961744618</c:v>
                </c:pt>
                <c:pt idx="616">
                  <c:v>-169.43916553347481</c:v>
                </c:pt>
                <c:pt idx="617">
                  <c:v>1011.357282622731</c:v>
                </c:pt>
                <c:pt idx="618">
                  <c:v>3413.5382281943012</c:v>
                </c:pt>
                <c:pt idx="619">
                  <c:v>1962.6763028170762</c:v>
                </c:pt>
                <c:pt idx="620">
                  <c:v>2451.0564280871513</c:v>
                </c:pt>
                <c:pt idx="621">
                  <c:v>2311.5219954727736</c:v>
                </c:pt>
                <c:pt idx="622">
                  <c:v>620.77318110757551</c:v>
                </c:pt>
                <c:pt idx="623">
                  <c:v>1078.5146686637836</c:v>
                </c:pt>
                <c:pt idx="624">
                  <c:v>3790.1052382206735</c:v>
                </c:pt>
                <c:pt idx="625">
                  <c:v>269.71404737269313</c:v>
                </c:pt>
                <c:pt idx="626">
                  <c:v>112.81586957546097</c:v>
                </c:pt>
                <c:pt idx="627">
                  <c:v>800.60464018747825</c:v>
                </c:pt>
                <c:pt idx="628">
                  <c:v>3790.0664382528721</c:v>
                </c:pt>
                <c:pt idx="629">
                  <c:v>-284.62906758226109</c:v>
                </c:pt>
                <c:pt idx="630">
                  <c:v>-544.39405070300927</c:v>
                </c:pt>
                <c:pt idx="631">
                  <c:v>4409.7446717404928</c:v>
                </c:pt>
                <c:pt idx="632">
                  <c:v>3069.409325541139</c:v>
                </c:pt>
                <c:pt idx="633">
                  <c:v>3006.5871993063083</c:v>
                </c:pt>
                <c:pt idx="634">
                  <c:v>4163.1188654496709</c:v>
                </c:pt>
                <c:pt idx="635">
                  <c:v>454.86727163446631</c:v>
                </c:pt>
                <c:pt idx="636">
                  <c:v>292.60889829712596</c:v>
                </c:pt>
                <c:pt idx="637">
                  <c:v>-643.8450259552119</c:v>
                </c:pt>
                <c:pt idx="638">
                  <c:v>2472.5679593842033</c:v>
                </c:pt>
                <c:pt idx="639">
                  <c:v>3298.3099873303236</c:v>
                </c:pt>
                <c:pt idx="640">
                  <c:v>591.08830913030124</c:v>
                </c:pt>
                <c:pt idx="641">
                  <c:v>-2809.6484224874257</c:v>
                </c:pt>
                <c:pt idx="642">
                  <c:v>2859.5029333850816</c:v>
                </c:pt>
                <c:pt idx="643">
                  <c:v>847.7133599452718</c:v>
                </c:pt>
                <c:pt idx="644">
                  <c:v>-5000.6392076674074</c:v>
                </c:pt>
                <c:pt idx="645">
                  <c:v>-927.54389501823425</c:v>
                </c:pt>
                <c:pt idx="646">
                  <c:v>282.78297402932913</c:v>
                </c:pt>
                <c:pt idx="647">
                  <c:v>-804.96086140128318</c:v>
                </c:pt>
                <c:pt idx="648">
                  <c:v>-829.82600782495319</c:v>
                </c:pt>
                <c:pt idx="649">
                  <c:v>288.83416784632118</c:v>
                </c:pt>
                <c:pt idx="650">
                  <c:v>1678.8454927917564</c:v>
                </c:pt>
                <c:pt idx="651">
                  <c:v>-1477.283772735469</c:v>
                </c:pt>
                <c:pt idx="652">
                  <c:v>426.20478286158959</c:v>
                </c:pt>
                <c:pt idx="653">
                  <c:v>2003.3892845176979</c:v>
                </c:pt>
                <c:pt idx="654">
                  <c:v>2892.6911787617983</c:v>
                </c:pt>
                <c:pt idx="655">
                  <c:v>-526.86235447517174</c:v>
                </c:pt>
                <c:pt idx="656">
                  <c:v>-1294.8336221702612</c:v>
                </c:pt>
                <c:pt idx="657">
                  <c:v>-818.74741403730513</c:v>
                </c:pt>
                <c:pt idx="658">
                  <c:v>254.53575334252037</c:v>
                </c:pt>
                <c:pt idx="659">
                  <c:v>-762.14849134578344</c:v>
                </c:pt>
                <c:pt idx="660">
                  <c:v>216.76856814977145</c:v>
                </c:pt>
                <c:pt idx="661">
                  <c:v>2744.378558816954</c:v>
                </c:pt>
                <c:pt idx="662">
                  <c:v>5121.4637417105896</c:v>
                </c:pt>
                <c:pt idx="663">
                  <c:v>3188.8720190676377</c:v>
                </c:pt>
                <c:pt idx="664">
                  <c:v>1609.5536714219015</c:v>
                </c:pt>
                <c:pt idx="665">
                  <c:v>-1814.1223203189866</c:v>
                </c:pt>
                <c:pt idx="666">
                  <c:v>-592.29697724168182</c:v>
                </c:pt>
                <c:pt idx="667">
                  <c:v>-207.35895779762905</c:v>
                </c:pt>
                <c:pt idx="668">
                  <c:v>861.51909578142113</c:v>
                </c:pt>
                <c:pt idx="669">
                  <c:v>-1686.4628453162841</c:v>
                </c:pt>
                <c:pt idx="670">
                  <c:v>-2033.4506580499929</c:v>
                </c:pt>
                <c:pt idx="671">
                  <c:v>2226.2076837148234</c:v>
                </c:pt>
                <c:pt idx="672">
                  <c:v>1495.987308708045</c:v>
                </c:pt>
                <c:pt idx="673">
                  <c:v>1094.2319684971817</c:v>
                </c:pt>
                <c:pt idx="674">
                  <c:v>3881.6390474187911</c:v>
                </c:pt>
                <c:pt idx="675">
                  <c:v>1879.2135517689958</c:v>
                </c:pt>
                <c:pt idx="676">
                  <c:v>33.079837010976007</c:v>
                </c:pt>
                <c:pt idx="677">
                  <c:v>1682.1304758360484</c:v>
                </c:pt>
                <c:pt idx="678">
                  <c:v>158.95428543170419</c:v>
                </c:pt>
                <c:pt idx="679">
                  <c:v>4124.1782013516959</c:v>
                </c:pt>
                <c:pt idx="680">
                  <c:v>2946.8765793317443</c:v>
                </c:pt>
                <c:pt idx="681">
                  <c:v>1733.4540182996088</c:v>
                </c:pt>
                <c:pt idx="682">
                  <c:v>1621.8073395085339</c:v>
                </c:pt>
                <c:pt idx="683">
                  <c:v>-1897.6567166019659</c:v>
                </c:pt>
                <c:pt idx="684">
                  <c:v>-1428.2148251342587</c:v>
                </c:pt>
                <c:pt idx="685">
                  <c:v>1956.3241301864846</c:v>
                </c:pt>
                <c:pt idx="686">
                  <c:v>3213.3711897116091</c:v>
                </c:pt>
                <c:pt idx="687">
                  <c:v>2046.9088429305475</c:v>
                </c:pt>
                <c:pt idx="688">
                  <c:v>-1958.5769759594741</c:v>
                </c:pt>
                <c:pt idx="689">
                  <c:v>200.8012758804216</c:v>
                </c:pt>
                <c:pt idx="690">
                  <c:v>2871.0630617611187</c:v>
                </c:pt>
                <c:pt idx="691">
                  <c:v>4484.3140183235028</c:v>
                </c:pt>
                <c:pt idx="692">
                  <c:v>1378.5860133190954</c:v>
                </c:pt>
                <c:pt idx="693">
                  <c:v>1737.9578048291023</c:v>
                </c:pt>
                <c:pt idx="694">
                  <c:v>205.57806328863717</c:v>
                </c:pt>
                <c:pt idx="695">
                  <c:v>2111.2771796881989</c:v>
                </c:pt>
                <c:pt idx="696">
                  <c:v>-76.368495981008891</c:v>
                </c:pt>
                <c:pt idx="697">
                  <c:v>2243.0728311242228</c:v>
                </c:pt>
                <c:pt idx="698">
                  <c:v>-280.82493240226086</c:v>
                </c:pt>
                <c:pt idx="699">
                  <c:v>-1116.1364993803345</c:v>
                </c:pt>
                <c:pt idx="700">
                  <c:v>3086.4870120102742</c:v>
                </c:pt>
                <c:pt idx="701">
                  <c:v>2006.2066384340942</c:v>
                </c:pt>
                <c:pt idx="702">
                  <c:v>155.64184011774705</c:v>
                </c:pt>
                <c:pt idx="703">
                  <c:v>2732.3013506521975</c:v>
                </c:pt>
                <c:pt idx="704">
                  <c:v>1006.8066470996318</c:v>
                </c:pt>
                <c:pt idx="705">
                  <c:v>-328.73214882119373</c:v>
                </c:pt>
                <c:pt idx="706">
                  <c:v>-2177.1433049359821</c:v>
                </c:pt>
                <c:pt idx="707">
                  <c:v>2420.886413752457</c:v>
                </c:pt>
                <c:pt idx="708">
                  <c:v>565.36610479938554</c:v>
                </c:pt>
                <c:pt idx="709">
                  <c:v>3536.9497497937537</c:v>
                </c:pt>
                <c:pt idx="710">
                  <c:v>-364.11518705812159</c:v>
                </c:pt>
                <c:pt idx="711">
                  <c:v>1534.6836566694938</c:v>
                </c:pt>
                <c:pt idx="712">
                  <c:v>3920.029947142516</c:v>
                </c:pt>
                <c:pt idx="713">
                  <c:v>135.24989825287776</c:v>
                </c:pt>
                <c:pt idx="714">
                  <c:v>599.95993120887579</c:v>
                </c:pt>
                <c:pt idx="715">
                  <c:v>17.602001269216998</c:v>
                </c:pt>
                <c:pt idx="716">
                  <c:v>1701.2866817147315</c:v>
                </c:pt>
                <c:pt idx="717">
                  <c:v>816.85519755677888</c:v>
                </c:pt>
                <c:pt idx="718">
                  <c:v>4328.6579754132508</c:v>
                </c:pt>
                <c:pt idx="719">
                  <c:v>-2908.738040407984</c:v>
                </c:pt>
                <c:pt idx="720">
                  <c:v>4109.532121732921</c:v>
                </c:pt>
                <c:pt idx="721">
                  <c:v>846.84490581585214</c:v>
                </c:pt>
                <c:pt idx="722">
                  <c:v>-445.79852267128354</c:v>
                </c:pt>
                <c:pt idx="723">
                  <c:v>1713.6922094102993</c:v>
                </c:pt>
                <c:pt idx="724">
                  <c:v>-1092.5807977906679</c:v>
                </c:pt>
                <c:pt idx="725">
                  <c:v>-1261.9807021065944</c:v>
                </c:pt>
                <c:pt idx="726">
                  <c:v>-528.63372025361241</c:v>
                </c:pt>
                <c:pt idx="727">
                  <c:v>48.757242712847983</c:v>
                </c:pt>
                <c:pt idx="728">
                  <c:v>1702.728728570999</c:v>
                </c:pt>
                <c:pt idx="729">
                  <c:v>-70.48901818549075</c:v>
                </c:pt>
                <c:pt idx="730">
                  <c:v>1221.0518047819787</c:v>
                </c:pt>
                <c:pt idx="731">
                  <c:v>3900.3290637828977</c:v>
                </c:pt>
                <c:pt idx="732">
                  <c:v>2302.0070667161372</c:v>
                </c:pt>
                <c:pt idx="733">
                  <c:v>6470.1033856687409</c:v>
                </c:pt>
                <c:pt idx="734">
                  <c:v>4271.141148962407</c:v>
                </c:pt>
                <c:pt idx="735">
                  <c:v>1971.7728368651124</c:v>
                </c:pt>
                <c:pt idx="736">
                  <c:v>3398.4429196397587</c:v>
                </c:pt>
                <c:pt idx="737">
                  <c:v>3983.2174854307441</c:v>
                </c:pt>
                <c:pt idx="738">
                  <c:v>3282.9811890037981</c:v>
                </c:pt>
                <c:pt idx="739">
                  <c:v>40.431581764797556</c:v>
                </c:pt>
                <c:pt idx="740">
                  <c:v>-176.03771225440778</c:v>
                </c:pt>
                <c:pt idx="741">
                  <c:v>2472.9212646383085</c:v>
                </c:pt>
                <c:pt idx="742">
                  <c:v>885.77679659659225</c:v>
                </c:pt>
                <c:pt idx="743">
                  <c:v>-164.04789131975031</c:v>
                </c:pt>
                <c:pt idx="744">
                  <c:v>3698.5286253619843</c:v>
                </c:pt>
                <c:pt idx="745">
                  <c:v>3314.3173169898919</c:v>
                </c:pt>
                <c:pt idx="746">
                  <c:v>2336.3302885397725</c:v>
                </c:pt>
                <c:pt idx="747">
                  <c:v>-859.22266805956042</c:v>
                </c:pt>
                <c:pt idx="748">
                  <c:v>-449.12235817653254</c:v>
                </c:pt>
                <c:pt idx="749">
                  <c:v>874.52520520490634</c:v>
                </c:pt>
                <c:pt idx="750">
                  <c:v>-314.23727058688473</c:v>
                </c:pt>
                <c:pt idx="751">
                  <c:v>-542.38108916781221</c:v>
                </c:pt>
                <c:pt idx="752">
                  <c:v>-1085.2235119656652</c:v>
                </c:pt>
                <c:pt idx="753">
                  <c:v>-1526.4198778298141</c:v>
                </c:pt>
                <c:pt idx="754">
                  <c:v>3463.3709591962888</c:v>
                </c:pt>
                <c:pt idx="755">
                  <c:v>-2634.5724746512888</c:v>
                </c:pt>
                <c:pt idx="756">
                  <c:v>2678.634600448082</c:v>
                </c:pt>
                <c:pt idx="757">
                  <c:v>3141.9089697790077</c:v>
                </c:pt>
                <c:pt idx="758">
                  <c:v>-704.00652381074178</c:v>
                </c:pt>
                <c:pt idx="759">
                  <c:v>2166.9776871547001</c:v>
                </c:pt>
                <c:pt idx="760">
                  <c:v>1797.579742846242</c:v>
                </c:pt>
                <c:pt idx="761">
                  <c:v>-1929.7238212807815</c:v>
                </c:pt>
                <c:pt idx="762">
                  <c:v>1911.687798263496</c:v>
                </c:pt>
                <c:pt idx="763">
                  <c:v>2858.3129783278082</c:v>
                </c:pt>
                <c:pt idx="764">
                  <c:v>1294.35958154123</c:v>
                </c:pt>
                <c:pt idx="765">
                  <c:v>2601.0542833613626</c:v>
                </c:pt>
                <c:pt idx="766">
                  <c:v>-922.71425587454905</c:v>
                </c:pt>
                <c:pt idx="767">
                  <c:v>552.80972590132751</c:v>
                </c:pt>
                <c:pt idx="768">
                  <c:v>-2037.1535482328936</c:v>
                </c:pt>
                <c:pt idx="769">
                  <c:v>5106.5249743407312</c:v>
                </c:pt>
                <c:pt idx="770">
                  <c:v>1307.0389742611951</c:v>
                </c:pt>
                <c:pt idx="771">
                  <c:v>1953.5295291512602</c:v>
                </c:pt>
                <c:pt idx="772">
                  <c:v>2452.0840949147687</c:v>
                </c:pt>
                <c:pt idx="773">
                  <c:v>761.6186817257103</c:v>
                </c:pt>
                <c:pt idx="774">
                  <c:v>-271.131422499976</c:v>
                </c:pt>
                <c:pt idx="775">
                  <c:v>446.05730566164493</c:v>
                </c:pt>
                <c:pt idx="776">
                  <c:v>-1665.3078511369895</c:v>
                </c:pt>
                <c:pt idx="777">
                  <c:v>493.39979588106689</c:v>
                </c:pt>
                <c:pt idx="778">
                  <c:v>1153.79448868692</c:v>
                </c:pt>
                <c:pt idx="779">
                  <c:v>355.77683367719874</c:v>
                </c:pt>
                <c:pt idx="780">
                  <c:v>2228.7832502506972</c:v>
                </c:pt>
                <c:pt idx="781">
                  <c:v>-2868.6902104920991</c:v>
                </c:pt>
                <c:pt idx="782">
                  <c:v>3569.0321321087858</c:v>
                </c:pt>
                <c:pt idx="783">
                  <c:v>-680.17185616767074</c:v>
                </c:pt>
                <c:pt idx="784">
                  <c:v>-1668.467492530106</c:v>
                </c:pt>
                <c:pt idx="785">
                  <c:v>3531.6782707322927</c:v>
                </c:pt>
                <c:pt idx="786">
                  <c:v>-755.78703555847096</c:v>
                </c:pt>
                <c:pt idx="787">
                  <c:v>1365.2202676409379</c:v>
                </c:pt>
                <c:pt idx="788">
                  <c:v>-1575.7369349270939</c:v>
                </c:pt>
                <c:pt idx="789">
                  <c:v>-1907.9848983155453</c:v>
                </c:pt>
                <c:pt idx="790">
                  <c:v>-1996.9915497212205</c:v>
                </c:pt>
                <c:pt idx="791">
                  <c:v>-181.10335553174627</c:v>
                </c:pt>
                <c:pt idx="792">
                  <c:v>1831.6859408201817</c:v>
                </c:pt>
                <c:pt idx="793">
                  <c:v>1592.7111212892714</c:v>
                </c:pt>
                <c:pt idx="794">
                  <c:v>-832.27166660997045</c:v>
                </c:pt>
                <c:pt idx="795">
                  <c:v>996.20216126338073</c:v>
                </c:pt>
                <c:pt idx="796">
                  <c:v>5741.0444482074126</c:v>
                </c:pt>
                <c:pt idx="797">
                  <c:v>1622.2278452523587</c:v>
                </c:pt>
                <c:pt idx="798">
                  <c:v>2076.1390150229572</c:v>
                </c:pt>
                <c:pt idx="799">
                  <c:v>-80.5565955111324</c:v>
                </c:pt>
                <c:pt idx="800">
                  <c:v>3102.9407057800399</c:v>
                </c:pt>
                <c:pt idx="801">
                  <c:v>3536.8879795170978</c:v>
                </c:pt>
                <c:pt idx="802">
                  <c:v>3487.6785970548181</c:v>
                </c:pt>
                <c:pt idx="803">
                  <c:v>2076.4125238446004</c:v>
                </c:pt>
                <c:pt idx="804">
                  <c:v>2643.7790408217261</c:v>
                </c:pt>
                <c:pt idx="805">
                  <c:v>2546.8426334765954</c:v>
                </c:pt>
                <c:pt idx="806">
                  <c:v>2705.5253182647475</c:v>
                </c:pt>
                <c:pt idx="807">
                  <c:v>-1299.0928218691943</c:v>
                </c:pt>
                <c:pt idx="808">
                  <c:v>5936.9514847373857</c:v>
                </c:pt>
                <c:pt idx="809">
                  <c:v>-4230.2486071086432</c:v>
                </c:pt>
                <c:pt idx="810">
                  <c:v>3725.6555578795032</c:v>
                </c:pt>
                <c:pt idx="811">
                  <c:v>1207.521196124424</c:v>
                </c:pt>
                <c:pt idx="812">
                  <c:v>109.65321159545601</c:v>
                </c:pt>
                <c:pt idx="813">
                  <c:v>2336.0739780786553</c:v>
                </c:pt>
                <c:pt idx="814">
                  <c:v>4243.4895574199409</c:v>
                </c:pt>
                <c:pt idx="815">
                  <c:v>5846.3649606442468</c:v>
                </c:pt>
                <c:pt idx="816">
                  <c:v>3919.2692590629767</c:v>
                </c:pt>
                <c:pt idx="817">
                  <c:v>-460.47899970165417</c:v>
                </c:pt>
                <c:pt idx="818">
                  <c:v>2778.1958012150963</c:v>
                </c:pt>
                <c:pt idx="819">
                  <c:v>1390.7206595174821</c:v>
                </c:pt>
                <c:pt idx="820">
                  <c:v>2942.7590666644373</c:v>
                </c:pt>
                <c:pt idx="821">
                  <c:v>1532.2644974179411</c:v>
                </c:pt>
                <c:pt idx="822">
                  <c:v>2108.4506570927779</c:v>
                </c:pt>
                <c:pt idx="823">
                  <c:v>3803.217733737848</c:v>
                </c:pt>
                <c:pt idx="824">
                  <c:v>3033.3028359446253</c:v>
                </c:pt>
                <c:pt idx="825">
                  <c:v>1287.4345492695138</c:v>
                </c:pt>
                <c:pt idx="826">
                  <c:v>2665.5032184320717</c:v>
                </c:pt>
                <c:pt idx="827">
                  <c:v>1401.9459041007631</c:v>
                </c:pt>
                <c:pt idx="828">
                  <c:v>3456.7360305110087</c:v>
                </c:pt>
                <c:pt idx="829">
                  <c:v>1357.0147624333858</c:v>
                </c:pt>
                <c:pt idx="830">
                  <c:v>-1285.1959152925883</c:v>
                </c:pt>
                <c:pt idx="831">
                  <c:v>3116.6677738640283</c:v>
                </c:pt>
                <c:pt idx="832">
                  <c:v>-2015.981997715503</c:v>
                </c:pt>
                <c:pt idx="833">
                  <c:v>3215.5885714870628</c:v>
                </c:pt>
                <c:pt idx="834">
                  <c:v>2216.6953784023663</c:v>
                </c:pt>
                <c:pt idx="835">
                  <c:v>4182.8204440439185</c:v>
                </c:pt>
                <c:pt idx="836">
                  <c:v>168.99290971288065</c:v>
                </c:pt>
                <c:pt idx="837">
                  <c:v>1561.0213798116019</c:v>
                </c:pt>
                <c:pt idx="838">
                  <c:v>268.41217327063714</c:v>
                </c:pt>
                <c:pt idx="839">
                  <c:v>-3543.3782078111572</c:v>
                </c:pt>
                <c:pt idx="840">
                  <c:v>2151.9167320702227</c:v>
                </c:pt>
                <c:pt idx="841">
                  <c:v>1525.9090277138866</c:v>
                </c:pt>
                <c:pt idx="842">
                  <c:v>955.62634401587638</c:v>
                </c:pt>
                <c:pt idx="843">
                  <c:v>245.14104495293941</c:v>
                </c:pt>
                <c:pt idx="844">
                  <c:v>910.43459616955715</c:v>
                </c:pt>
                <c:pt idx="845">
                  <c:v>2604.3022205668767</c:v>
                </c:pt>
                <c:pt idx="846">
                  <c:v>-327.92009696501555</c:v>
                </c:pt>
                <c:pt idx="847">
                  <c:v>2400.8754542174838</c:v>
                </c:pt>
                <c:pt idx="848">
                  <c:v>61.260242795162412</c:v>
                </c:pt>
                <c:pt idx="849">
                  <c:v>-59.593811391348027</c:v>
                </c:pt>
                <c:pt idx="850">
                  <c:v>358.66994230156706</c:v>
                </c:pt>
                <c:pt idx="851">
                  <c:v>1362.4934001822521</c:v>
                </c:pt>
                <c:pt idx="852">
                  <c:v>3715.9520713200936</c:v>
                </c:pt>
                <c:pt idx="853">
                  <c:v>3289.0880871110103</c:v>
                </c:pt>
                <c:pt idx="854">
                  <c:v>-1601.0762962988229</c:v>
                </c:pt>
                <c:pt idx="855">
                  <c:v>1836.1225300024107</c:v>
                </c:pt>
                <c:pt idx="856">
                  <c:v>2485.1776475113711</c:v>
                </c:pt>
                <c:pt idx="857">
                  <c:v>3214.4380625474605</c:v>
                </c:pt>
                <c:pt idx="858">
                  <c:v>-734.87317569997504</c:v>
                </c:pt>
                <c:pt idx="859">
                  <c:v>-1279.042478310168</c:v>
                </c:pt>
                <c:pt idx="860">
                  <c:v>-1070.6583772824324</c:v>
                </c:pt>
                <c:pt idx="861">
                  <c:v>4308.4264575886573</c:v>
                </c:pt>
                <c:pt idx="862">
                  <c:v>407.6566705356563</c:v>
                </c:pt>
                <c:pt idx="863">
                  <c:v>-876.38465878695661</c:v>
                </c:pt>
                <c:pt idx="864">
                  <c:v>766.73987631104046</c:v>
                </c:pt>
                <c:pt idx="865">
                  <c:v>929.45533660746514</c:v>
                </c:pt>
                <c:pt idx="866">
                  <c:v>2241.8674952480142</c:v>
                </c:pt>
                <c:pt idx="867">
                  <c:v>579.79612814541906</c:v>
                </c:pt>
                <c:pt idx="868">
                  <c:v>3033.6980290787815</c:v>
                </c:pt>
                <c:pt idx="869">
                  <c:v>2275.0857364033345</c:v>
                </c:pt>
                <c:pt idx="870">
                  <c:v>1837.8713547390007</c:v>
                </c:pt>
                <c:pt idx="871">
                  <c:v>-1801.753278545707</c:v>
                </c:pt>
                <c:pt idx="872">
                  <c:v>-2395.1213958784701</c:v>
                </c:pt>
                <c:pt idx="873">
                  <c:v>2428.1325430733832</c:v>
                </c:pt>
                <c:pt idx="874">
                  <c:v>1533.3200166813567</c:v>
                </c:pt>
                <c:pt idx="875">
                  <c:v>-52.476521436368785</c:v>
                </c:pt>
                <c:pt idx="876">
                  <c:v>-1460.9809282728456</c:v>
                </c:pt>
                <c:pt idx="877">
                  <c:v>3625.5501399312307</c:v>
                </c:pt>
                <c:pt idx="878">
                  <c:v>2357.7332884063308</c:v>
                </c:pt>
                <c:pt idx="879">
                  <c:v>-2187.2896059190434</c:v>
                </c:pt>
                <c:pt idx="880">
                  <c:v>2965.561386042149</c:v>
                </c:pt>
                <c:pt idx="881">
                  <c:v>-853.16772239087913</c:v>
                </c:pt>
                <c:pt idx="882">
                  <c:v>4618.4231487521211</c:v>
                </c:pt>
                <c:pt idx="883">
                  <c:v>1146.365181907302</c:v>
                </c:pt>
                <c:pt idx="884">
                  <c:v>-1597.2990779629163</c:v>
                </c:pt>
                <c:pt idx="885">
                  <c:v>1037.8495151446696</c:v>
                </c:pt>
                <c:pt idx="886">
                  <c:v>1162.0704303513958</c:v>
                </c:pt>
                <c:pt idx="887">
                  <c:v>-117.33885349377215</c:v>
                </c:pt>
                <c:pt idx="888">
                  <c:v>2062.1616330792294</c:v>
                </c:pt>
                <c:pt idx="889">
                  <c:v>2351.6734285819493</c:v>
                </c:pt>
                <c:pt idx="890">
                  <c:v>-1505.4848028899814</c:v>
                </c:pt>
                <c:pt idx="891">
                  <c:v>-2684.5499824412755</c:v>
                </c:pt>
                <c:pt idx="892">
                  <c:v>170.34066398509822</c:v>
                </c:pt>
                <c:pt idx="893">
                  <c:v>4306.5946074210478</c:v>
                </c:pt>
                <c:pt idx="894">
                  <c:v>5278.6962329531834</c:v>
                </c:pt>
                <c:pt idx="895">
                  <c:v>4844.0134472520685</c:v>
                </c:pt>
                <c:pt idx="896">
                  <c:v>-832.63823979594054</c:v>
                </c:pt>
                <c:pt idx="897">
                  <c:v>347.95941571676576</c:v>
                </c:pt>
                <c:pt idx="898">
                  <c:v>142.5897372530344</c:v>
                </c:pt>
                <c:pt idx="899">
                  <c:v>1232.4041839193051</c:v>
                </c:pt>
                <c:pt idx="900">
                  <c:v>-913.23938382692631</c:v>
                </c:pt>
                <c:pt idx="901">
                  <c:v>-131.20961054830877</c:v>
                </c:pt>
                <c:pt idx="902">
                  <c:v>2568.0631370543961</c:v>
                </c:pt>
                <c:pt idx="903">
                  <c:v>5223.4931957966191</c:v>
                </c:pt>
                <c:pt idx="904">
                  <c:v>500.3826000388126</c:v>
                </c:pt>
                <c:pt idx="905">
                  <c:v>187.71080578661986</c:v>
                </c:pt>
                <c:pt idx="906">
                  <c:v>-156.18240346062521</c:v>
                </c:pt>
                <c:pt idx="907">
                  <c:v>2901.6188008095796</c:v>
                </c:pt>
                <c:pt idx="908">
                  <c:v>-1940.661628222213</c:v>
                </c:pt>
                <c:pt idx="909">
                  <c:v>1334.0041334876441</c:v>
                </c:pt>
                <c:pt idx="910">
                  <c:v>2469.3831780325891</c:v>
                </c:pt>
                <c:pt idx="911">
                  <c:v>3873.3400249174683</c:v>
                </c:pt>
                <c:pt idx="912">
                  <c:v>4046.8677297092599</c:v>
                </c:pt>
                <c:pt idx="913">
                  <c:v>5986.8651392994188</c:v>
                </c:pt>
                <c:pt idx="914">
                  <c:v>-331.19820086780419</c:v>
                </c:pt>
                <c:pt idx="915">
                  <c:v>-1008.0812509550733</c:v>
                </c:pt>
                <c:pt idx="916">
                  <c:v>999.27693901411294</c:v>
                </c:pt>
                <c:pt idx="917">
                  <c:v>-105.03938171380287</c:v>
                </c:pt>
                <c:pt idx="918">
                  <c:v>515.76052197343233</c:v>
                </c:pt>
                <c:pt idx="919">
                  <c:v>4470.1560385585053</c:v>
                </c:pt>
                <c:pt idx="920">
                  <c:v>1735.1488579678171</c:v>
                </c:pt>
                <c:pt idx="921">
                  <c:v>5197.7754737435234</c:v>
                </c:pt>
                <c:pt idx="922">
                  <c:v>3349.4685615204771</c:v>
                </c:pt>
                <c:pt idx="923">
                  <c:v>1950.7612494088808</c:v>
                </c:pt>
                <c:pt idx="924">
                  <c:v>-89.93845644591056</c:v>
                </c:pt>
                <c:pt idx="925">
                  <c:v>4427.7889392886473</c:v>
                </c:pt>
                <c:pt idx="926">
                  <c:v>1685.6279837431111</c:v>
                </c:pt>
                <c:pt idx="927">
                  <c:v>-486.64716106251944</c:v>
                </c:pt>
                <c:pt idx="928">
                  <c:v>-605.53349318572691</c:v>
                </c:pt>
                <c:pt idx="929">
                  <c:v>-1426.1394572245063</c:v>
                </c:pt>
                <c:pt idx="930">
                  <c:v>2872.6326264372292</c:v>
                </c:pt>
                <c:pt idx="931">
                  <c:v>119.2795590318583</c:v>
                </c:pt>
                <c:pt idx="932">
                  <c:v>3225.756223910189</c:v>
                </c:pt>
                <c:pt idx="933">
                  <c:v>4049.3254814384245</c:v>
                </c:pt>
                <c:pt idx="934">
                  <c:v>2939.7043434306534</c:v>
                </c:pt>
                <c:pt idx="935">
                  <c:v>1127.529605271764</c:v>
                </c:pt>
                <c:pt idx="936">
                  <c:v>-957.91930374284675</c:v>
                </c:pt>
                <c:pt idx="937">
                  <c:v>-597.76453161302743</c:v>
                </c:pt>
                <c:pt idx="938">
                  <c:v>1950.0442366855932</c:v>
                </c:pt>
                <c:pt idx="939">
                  <c:v>4275.6159839798829</c:v>
                </c:pt>
                <c:pt idx="940">
                  <c:v>488.62445667373686</c:v>
                </c:pt>
                <c:pt idx="941">
                  <c:v>1762.595114029451</c:v>
                </c:pt>
                <c:pt idx="942">
                  <c:v>-2262.0591070697519</c:v>
                </c:pt>
                <c:pt idx="943">
                  <c:v>-1141.7151234431185</c:v>
                </c:pt>
                <c:pt idx="944">
                  <c:v>1028.6622420453659</c:v>
                </c:pt>
                <c:pt idx="945">
                  <c:v>-3376.311884792819</c:v>
                </c:pt>
                <c:pt idx="946">
                  <c:v>2647.0535210221942</c:v>
                </c:pt>
                <c:pt idx="947">
                  <c:v>-1019.0821190824563</c:v>
                </c:pt>
                <c:pt idx="948">
                  <c:v>3402.937506880513</c:v>
                </c:pt>
                <c:pt idx="949">
                  <c:v>-315.91556031010441</c:v>
                </c:pt>
                <c:pt idx="950">
                  <c:v>3346.5352600989945</c:v>
                </c:pt>
                <c:pt idx="951">
                  <c:v>3184.5957072316851</c:v>
                </c:pt>
                <c:pt idx="952">
                  <c:v>-1009.1882889034878</c:v>
                </c:pt>
                <c:pt idx="953">
                  <c:v>2254.8865110486922</c:v>
                </c:pt>
                <c:pt idx="954">
                  <c:v>1885.2879949559838</c:v>
                </c:pt>
                <c:pt idx="955">
                  <c:v>2827.4592414962817</c:v>
                </c:pt>
                <c:pt idx="956">
                  <c:v>1001.7297864051015</c:v>
                </c:pt>
                <c:pt idx="957">
                  <c:v>-2471.2299745147648</c:v>
                </c:pt>
                <c:pt idx="958">
                  <c:v>-457.13526879581332</c:v>
                </c:pt>
                <c:pt idx="959">
                  <c:v>345.66617445869269</c:v>
                </c:pt>
                <c:pt idx="960">
                  <c:v>750.67315811856133</c:v>
                </c:pt>
                <c:pt idx="961">
                  <c:v>1783.1822947046476</c:v>
                </c:pt>
                <c:pt idx="962">
                  <c:v>-2307.3504791403566</c:v>
                </c:pt>
                <c:pt idx="963">
                  <c:v>-862.61626465787049</c:v>
                </c:pt>
                <c:pt idx="964">
                  <c:v>-2272.6545435028929</c:v>
                </c:pt>
                <c:pt idx="965">
                  <c:v>1264.8301951644626</c:v>
                </c:pt>
                <c:pt idx="966">
                  <c:v>2903.2520458516747</c:v>
                </c:pt>
                <c:pt idx="967">
                  <c:v>1823.217078978053</c:v>
                </c:pt>
                <c:pt idx="968">
                  <c:v>743.99339748680723</c:v>
                </c:pt>
                <c:pt idx="969">
                  <c:v>2384.9959591399438</c:v>
                </c:pt>
                <c:pt idx="970">
                  <c:v>-2728.3033366180898</c:v>
                </c:pt>
                <c:pt idx="971">
                  <c:v>3279.9935861191643</c:v>
                </c:pt>
                <c:pt idx="972">
                  <c:v>2539.0823547877926</c:v>
                </c:pt>
                <c:pt idx="973">
                  <c:v>-3112.3926537975194</c:v>
                </c:pt>
                <c:pt idx="974">
                  <c:v>-1561.8183884551891</c:v>
                </c:pt>
                <c:pt idx="975">
                  <c:v>3160.895634382623</c:v>
                </c:pt>
                <c:pt idx="976">
                  <c:v>436.48138608466616</c:v>
                </c:pt>
                <c:pt idx="977">
                  <c:v>3179.3885880114603</c:v>
                </c:pt>
                <c:pt idx="978">
                  <c:v>-4442.771628383387</c:v>
                </c:pt>
                <c:pt idx="979">
                  <c:v>-235.00365162814342</c:v>
                </c:pt>
                <c:pt idx="980">
                  <c:v>3065.7006705258927</c:v>
                </c:pt>
                <c:pt idx="981">
                  <c:v>2065.353421400283</c:v>
                </c:pt>
                <c:pt idx="982">
                  <c:v>854.84936443873994</c:v>
                </c:pt>
                <c:pt idx="983">
                  <c:v>2225.8334471943544</c:v>
                </c:pt>
                <c:pt idx="984">
                  <c:v>-2109.7891023954835</c:v>
                </c:pt>
                <c:pt idx="985">
                  <c:v>1571.9375306461716</c:v>
                </c:pt>
                <c:pt idx="986">
                  <c:v>3731.6156263859002</c:v>
                </c:pt>
                <c:pt idx="987">
                  <c:v>-90.821990169193668</c:v>
                </c:pt>
                <c:pt idx="988">
                  <c:v>5302.0979988949975</c:v>
                </c:pt>
                <c:pt idx="989">
                  <c:v>846.19247418388022</c:v>
                </c:pt>
                <c:pt idx="990">
                  <c:v>-3177.419186393432</c:v>
                </c:pt>
                <c:pt idx="991">
                  <c:v>4606.2948128851976</c:v>
                </c:pt>
                <c:pt idx="992">
                  <c:v>1984.8464218483659</c:v>
                </c:pt>
                <c:pt idx="993">
                  <c:v>4520.7919391719843</c:v>
                </c:pt>
                <c:pt idx="994">
                  <c:v>-507.69578168374755</c:v>
                </c:pt>
                <c:pt idx="995">
                  <c:v>2655.3243181616062</c:v>
                </c:pt>
                <c:pt idx="996">
                  <c:v>1377.5948172101034</c:v>
                </c:pt>
                <c:pt idx="997">
                  <c:v>2642.0018169417344</c:v>
                </c:pt>
                <c:pt idx="998">
                  <c:v>973.54239410639457</c:v>
                </c:pt>
                <c:pt idx="999">
                  <c:v>-1601.7928177014328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4A-4718-9E40-639532ED6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106000"/>
        <c:axId val="1475430224"/>
      </c:scatterChart>
      <c:valAx>
        <c:axId val="1588106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Incremental</a:t>
                </a:r>
                <a:r>
                  <a:rPr lang="en-GB" baseline="0"/>
                  <a:t> QALY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430224"/>
        <c:crosses val="autoZero"/>
        <c:crossBetween val="midCat"/>
      </c:valAx>
      <c:valAx>
        <c:axId val="147543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Incremental Costs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106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87270341207349"/>
          <c:y val="2.5428331875182269E-2"/>
          <c:w val="0.84068285214348204"/>
          <c:h val="0.75547098279381741"/>
        </c:manualLayout>
      </c:layout>
      <c:lineChart>
        <c:grouping val="standard"/>
        <c:varyColors val="0"/>
        <c:ser>
          <c:idx val="0"/>
          <c:order val="0"/>
          <c:tx>
            <c:strRef>
              <c:f>PSA!$X$15</c:f>
              <c:strCache>
                <c:ptCount val="1"/>
                <c:pt idx="0">
                  <c:v>Drug A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PSA!$W$16:$W$116</c:f>
              <c:numCache>
                <c:formatCode>#,##0</c:formatCode>
                <c:ptCount val="101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  <c:pt idx="60">
                  <c:v>61000</c:v>
                </c:pt>
                <c:pt idx="61">
                  <c:v>62000</c:v>
                </c:pt>
                <c:pt idx="62">
                  <c:v>63000</c:v>
                </c:pt>
                <c:pt idx="63">
                  <c:v>64000</c:v>
                </c:pt>
                <c:pt idx="64">
                  <c:v>65000</c:v>
                </c:pt>
                <c:pt idx="65">
                  <c:v>66000</c:v>
                </c:pt>
                <c:pt idx="66">
                  <c:v>67000</c:v>
                </c:pt>
                <c:pt idx="67">
                  <c:v>68000</c:v>
                </c:pt>
                <c:pt idx="68">
                  <c:v>69000</c:v>
                </c:pt>
                <c:pt idx="69">
                  <c:v>70000</c:v>
                </c:pt>
                <c:pt idx="70">
                  <c:v>71000</c:v>
                </c:pt>
                <c:pt idx="71">
                  <c:v>72000</c:v>
                </c:pt>
                <c:pt idx="72">
                  <c:v>73000</c:v>
                </c:pt>
                <c:pt idx="73">
                  <c:v>74000</c:v>
                </c:pt>
                <c:pt idx="74">
                  <c:v>75000</c:v>
                </c:pt>
                <c:pt idx="75">
                  <c:v>76000</c:v>
                </c:pt>
                <c:pt idx="76">
                  <c:v>77000</c:v>
                </c:pt>
                <c:pt idx="77">
                  <c:v>78000</c:v>
                </c:pt>
                <c:pt idx="78">
                  <c:v>79000</c:v>
                </c:pt>
                <c:pt idx="79">
                  <c:v>80000</c:v>
                </c:pt>
                <c:pt idx="80">
                  <c:v>81000</c:v>
                </c:pt>
                <c:pt idx="81">
                  <c:v>82000</c:v>
                </c:pt>
                <c:pt idx="82">
                  <c:v>83000</c:v>
                </c:pt>
                <c:pt idx="83">
                  <c:v>84000</c:v>
                </c:pt>
                <c:pt idx="84">
                  <c:v>85000</c:v>
                </c:pt>
                <c:pt idx="85">
                  <c:v>86000</c:v>
                </c:pt>
                <c:pt idx="86">
                  <c:v>87000</c:v>
                </c:pt>
                <c:pt idx="87">
                  <c:v>88000</c:v>
                </c:pt>
                <c:pt idx="88">
                  <c:v>89000</c:v>
                </c:pt>
                <c:pt idx="89">
                  <c:v>90000</c:v>
                </c:pt>
                <c:pt idx="90">
                  <c:v>91000</c:v>
                </c:pt>
                <c:pt idx="91">
                  <c:v>92000</c:v>
                </c:pt>
                <c:pt idx="92">
                  <c:v>93000</c:v>
                </c:pt>
                <c:pt idx="93">
                  <c:v>94000</c:v>
                </c:pt>
                <c:pt idx="94">
                  <c:v>95000</c:v>
                </c:pt>
                <c:pt idx="95">
                  <c:v>96000</c:v>
                </c:pt>
                <c:pt idx="96">
                  <c:v>97000</c:v>
                </c:pt>
                <c:pt idx="97">
                  <c:v>98000</c:v>
                </c:pt>
                <c:pt idx="98">
                  <c:v>99000</c:v>
                </c:pt>
                <c:pt idx="99">
                  <c:v>100000</c:v>
                </c:pt>
                <c:pt idx="100">
                  <c:v>101000</c:v>
                </c:pt>
              </c:numCache>
            </c:numRef>
          </c:cat>
          <c:val>
            <c:numRef>
              <c:f>PSA!$X$16:$X$116</c:f>
              <c:numCache>
                <c:formatCode>0.00%</c:formatCode>
                <c:ptCount val="101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39-4545-9EA0-8B6DBBF75D66}"/>
            </c:ext>
          </c:extLst>
        </c:ser>
        <c:ser>
          <c:idx val="1"/>
          <c:order val="1"/>
          <c:tx>
            <c:strRef>
              <c:f>PSA!$Y$15</c:f>
              <c:strCache>
                <c:ptCount val="1"/>
                <c:pt idx="0">
                  <c:v>Drug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PSA!$Y$16:$Y$116</c:f>
              <c:numCache>
                <c:formatCode>0.00%</c:formatCode>
                <c:ptCount val="101"/>
                <c:pt idx="0">
                  <c:v>1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39-4545-9EA0-8B6DBBF75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4359040"/>
        <c:axId val="1794356640"/>
      </c:lineChart>
      <c:catAx>
        <c:axId val="1794359040"/>
        <c:scaling>
          <c:orientation val="minMax"/>
        </c:scaling>
        <c:delete val="0"/>
        <c:axPos val="b"/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356640"/>
        <c:crosses val="autoZero"/>
        <c:auto val="1"/>
        <c:lblAlgn val="ctr"/>
        <c:lblOffset val="100"/>
        <c:noMultiLvlLbl val="0"/>
      </c:catAx>
      <c:valAx>
        <c:axId val="17943566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35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28343</xdr:colOff>
      <xdr:row>2</xdr:row>
      <xdr:rowOff>38030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F161204-24F2-7062-C97E-C90741D809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57143" cy="5619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352926</xdr:colOff>
      <xdr:row>13</xdr:row>
      <xdr:rowOff>177465</xdr:rowOff>
    </xdr:from>
    <xdr:to>
      <xdr:col>16</xdr:col>
      <xdr:colOff>116972</xdr:colOff>
      <xdr:row>20</xdr:row>
      <xdr:rowOff>16709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DD47410C-E70A-4AE7-8AA5-7A8BFF13CB81}"/>
            </a:ext>
          </a:extLst>
        </xdr:cNvPr>
        <xdr:cNvSpPr/>
      </xdr:nvSpPr>
      <xdr:spPr>
        <a:xfrm>
          <a:off x="7680492" y="2466807"/>
          <a:ext cx="2337467" cy="1125955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600"/>
            <a:t>Post-progression</a:t>
          </a:r>
        </a:p>
      </xdr:txBody>
    </xdr:sp>
    <xdr:clientData/>
  </xdr:twoCellAnchor>
  <xdr:twoCellAnchor>
    <xdr:from>
      <xdr:col>7</xdr:col>
      <xdr:colOff>321510</xdr:colOff>
      <xdr:row>14</xdr:row>
      <xdr:rowOff>4010</xdr:rowOff>
    </xdr:from>
    <xdr:to>
      <xdr:col>10</xdr:col>
      <xdr:colOff>478254</xdr:colOff>
      <xdr:row>20</xdr:row>
      <xdr:rowOff>27070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E3B9090D-93CD-4F46-9A31-2F5D707F1DA5}"/>
            </a:ext>
          </a:extLst>
        </xdr:cNvPr>
        <xdr:cNvSpPr/>
      </xdr:nvSpPr>
      <xdr:spPr>
        <a:xfrm>
          <a:off x="4181642" y="2477168"/>
          <a:ext cx="2337467" cy="1125955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600"/>
            <a:t>Pre-progression</a:t>
          </a:r>
        </a:p>
      </xdr:txBody>
    </xdr:sp>
    <xdr:clientData/>
  </xdr:twoCellAnchor>
  <xdr:twoCellAnchor>
    <xdr:from>
      <xdr:col>10</xdr:col>
      <xdr:colOff>478254</xdr:colOff>
      <xdr:row>17</xdr:row>
      <xdr:rowOff>5180</xdr:rowOff>
    </xdr:from>
    <xdr:to>
      <xdr:col>12</xdr:col>
      <xdr:colOff>352926</xdr:colOff>
      <xdr:row>17</xdr:row>
      <xdr:rowOff>15541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8A9520DC-327F-6FDE-54CF-BA931A44711A}"/>
            </a:ext>
          </a:extLst>
        </xdr:cNvPr>
        <xdr:cNvCxnSpPr>
          <a:stCxn id="6" idx="6"/>
          <a:endCxn id="5" idx="2"/>
        </xdr:cNvCxnSpPr>
      </xdr:nvCxnSpPr>
      <xdr:spPr>
        <a:xfrm flipV="1">
          <a:off x="6519109" y="3029785"/>
          <a:ext cx="1161383" cy="1036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418013</xdr:colOff>
      <xdr:row>14</xdr:row>
      <xdr:rowOff>158541</xdr:rowOff>
    </xdr:from>
    <xdr:to>
      <xdr:col>16</xdr:col>
      <xdr:colOff>116972</xdr:colOff>
      <xdr:row>17</xdr:row>
      <xdr:rowOff>5180</xdr:rowOff>
    </xdr:to>
    <xdr:cxnSp macro="">
      <xdr:nvCxnSpPr>
        <xdr:cNvPr id="10" name="Connector: Curved 9">
          <a:extLst>
            <a:ext uri="{FF2B5EF4-FFF2-40B4-BE49-F238E27FC236}">
              <a16:creationId xmlns:a16="http://schemas.microsoft.com/office/drawing/2014/main" id="{7E6ED791-3B13-A34F-7C64-20582BE36D8F}"/>
            </a:ext>
          </a:extLst>
        </xdr:cNvPr>
        <xdr:cNvCxnSpPr>
          <a:stCxn id="5" idx="7"/>
          <a:endCxn id="5" idx="6"/>
        </xdr:cNvCxnSpPr>
      </xdr:nvCxnSpPr>
      <xdr:spPr>
        <a:xfrm rot="16200000" flipH="1">
          <a:off x="9647759" y="2659585"/>
          <a:ext cx="398086" cy="342314"/>
        </a:xfrm>
        <a:prstGeom prst="curvedConnector4">
          <a:avLst>
            <a:gd name="adj1" fmla="val -98846"/>
            <a:gd name="adj2" fmla="val 166781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135940</xdr:colOff>
      <xdr:row>14</xdr:row>
      <xdr:rowOff>168902</xdr:rowOff>
    </xdr:from>
    <xdr:to>
      <xdr:col>10</xdr:col>
      <xdr:colOff>478254</xdr:colOff>
      <xdr:row>17</xdr:row>
      <xdr:rowOff>15541</xdr:rowOff>
    </xdr:to>
    <xdr:cxnSp macro="">
      <xdr:nvCxnSpPr>
        <xdr:cNvPr id="12" name="Connector: Curved 11">
          <a:extLst>
            <a:ext uri="{FF2B5EF4-FFF2-40B4-BE49-F238E27FC236}">
              <a16:creationId xmlns:a16="http://schemas.microsoft.com/office/drawing/2014/main" id="{4AFBA929-D8A4-E577-2208-4BCF7AAD81FE}"/>
            </a:ext>
          </a:extLst>
        </xdr:cNvPr>
        <xdr:cNvCxnSpPr>
          <a:stCxn id="6" idx="7"/>
          <a:endCxn id="6" idx="6"/>
        </xdr:cNvCxnSpPr>
      </xdr:nvCxnSpPr>
      <xdr:spPr>
        <a:xfrm rot="16200000" flipH="1">
          <a:off x="6148909" y="2669946"/>
          <a:ext cx="398086" cy="342314"/>
        </a:xfrm>
        <a:prstGeom prst="curvedConnector4">
          <a:avLst>
            <a:gd name="adj1" fmla="val -98846"/>
            <a:gd name="adj2" fmla="val 166781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14807</xdr:colOff>
      <xdr:row>2</xdr:row>
      <xdr:rowOff>35523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39AE5B6-2786-2CFC-BBD5-E06D8552E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57143" cy="5619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28343</xdr:colOff>
      <xdr:row>2</xdr:row>
      <xdr:rowOff>38030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E903E69-56E8-5043-27B0-4264C0842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57143" cy="56190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3</xdr:col>
      <xdr:colOff>432954</xdr:colOff>
      <xdr:row>2</xdr:row>
      <xdr:rowOff>77933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1EE584-3B75-CC41-A1D7-C9B75EEC0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645227" cy="4589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28343</xdr:colOff>
      <xdr:row>2</xdr:row>
      <xdr:rowOff>38030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04401B-9A82-6CF0-4EC5-7E66A9212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57143" cy="561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114068</xdr:colOff>
      <xdr:row>2</xdr:row>
      <xdr:rowOff>38030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4EC3102-2F88-6C58-9B9A-A62B68DE3C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57143" cy="561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15643</xdr:colOff>
      <xdr:row>2</xdr:row>
      <xdr:rowOff>32738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976F48B-B1A4-5899-C8D5-792A24351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57143" cy="561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381000</xdr:colOff>
      <xdr:row>12</xdr:row>
      <xdr:rowOff>47625</xdr:rowOff>
    </xdr:from>
    <xdr:to>
      <xdr:col>9</xdr:col>
      <xdr:colOff>676275</xdr:colOff>
      <xdr:row>30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7EEC6B-34D2-2383-D5E0-4E06CAD9A6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800100</xdr:colOff>
      <xdr:row>7</xdr:row>
      <xdr:rowOff>171450</xdr:rowOff>
    </xdr:from>
    <xdr:to>
      <xdr:col>9</xdr:col>
      <xdr:colOff>990600</xdr:colOff>
      <xdr:row>9</xdr:row>
      <xdr:rowOff>133350</xdr:rowOff>
    </xdr:to>
    <xdr:sp macro="[0]!run_DS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EA9A71B-6FB4-CBF5-A0D6-8D0900162069}"/>
            </a:ext>
          </a:extLst>
        </xdr:cNvPr>
        <xdr:cNvSpPr/>
      </xdr:nvSpPr>
      <xdr:spPr>
        <a:xfrm>
          <a:off x="7810500" y="1381125"/>
          <a:ext cx="1714500" cy="342900"/>
        </a:xfrm>
        <a:prstGeom prst="roundRect">
          <a:avLst/>
        </a:prstGeom>
        <a:solidFill>
          <a:srgbClr val="C0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200"/>
            <a:t>Run DSA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28343</xdr:colOff>
      <xdr:row>2</xdr:row>
      <xdr:rowOff>38030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6503E2A-3277-41E1-9C22-B79C87824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1857143" cy="561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520468</xdr:colOff>
      <xdr:row>2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D6CCE7C-339B-4E8E-AAE6-44340B5C4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44443" cy="581025"/>
        </a:xfrm>
        <a:prstGeom prst="rect">
          <a:avLst/>
        </a:prstGeom>
      </xdr:spPr>
    </xdr:pic>
    <xdr:clientData/>
  </xdr:twoCellAnchor>
  <xdr:twoCellAnchor>
    <xdr:from>
      <xdr:col>4</xdr:col>
      <xdr:colOff>428625</xdr:colOff>
      <xdr:row>17</xdr:row>
      <xdr:rowOff>95251</xdr:rowOff>
    </xdr:from>
    <xdr:to>
      <xdr:col>9</xdr:col>
      <xdr:colOff>0</xdr:colOff>
      <xdr:row>42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48773C8-7E7F-F644-A1B1-D236FC63BD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1228725</xdr:colOff>
      <xdr:row>10</xdr:row>
      <xdr:rowOff>142875</xdr:rowOff>
    </xdr:from>
    <xdr:to>
      <xdr:col>8</xdr:col>
      <xdr:colOff>1514475</xdr:colOff>
      <xdr:row>11</xdr:row>
      <xdr:rowOff>161925</xdr:rowOff>
    </xdr:to>
    <xdr:sp macro="[0]!run_PS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1EA4C17-1C83-A619-FFAF-A26F773076E8}"/>
            </a:ext>
          </a:extLst>
        </xdr:cNvPr>
        <xdr:cNvSpPr/>
      </xdr:nvSpPr>
      <xdr:spPr>
        <a:xfrm>
          <a:off x="7724775" y="1924050"/>
          <a:ext cx="1704975" cy="219075"/>
        </a:xfrm>
        <a:prstGeom prst="roundRect">
          <a:avLst/>
        </a:prstGeom>
        <a:solidFill>
          <a:srgbClr val="C00000"/>
        </a:solidFill>
        <a:ln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solidFill>
                <a:schemeClr val="bg1"/>
              </a:solidFill>
            </a:rPr>
            <a:t>Run PSA</a:t>
          </a:r>
        </a:p>
      </xdr:txBody>
    </xdr:sp>
    <xdr:clientData/>
  </xdr:twoCellAnchor>
  <xdr:twoCellAnchor>
    <xdr:from>
      <xdr:col>4</xdr:col>
      <xdr:colOff>371475</xdr:colOff>
      <xdr:row>43</xdr:row>
      <xdr:rowOff>176212</xdr:rowOff>
    </xdr:from>
    <xdr:to>
      <xdr:col>9</xdr:col>
      <xdr:colOff>114300</xdr:colOff>
      <xdr:row>62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41186D0-A836-1205-F492-43F7D342D9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CE5C4-79E6-477F-A80B-A0A0FCE02DDA}">
  <sheetPr codeName="Sheet1">
    <tabColor rgb="FFFF9900"/>
  </sheetPr>
  <dimension ref="B1:MD78"/>
  <sheetViews>
    <sheetView showGridLines="0" topLeftCell="B1" workbookViewId="0">
      <selection activeCell="J29" sqref="J29"/>
    </sheetView>
  </sheetViews>
  <sheetFormatPr defaultRowHeight="15" x14ac:dyDescent="0.25"/>
  <cols>
    <col min="1" max="1" width="0" hidden="1" customWidth="1"/>
    <col min="2" max="342" width="9.140625" style="2"/>
  </cols>
  <sheetData>
    <row r="1" spans="4:27" s="1" customFormat="1" x14ac:dyDescent="0.25"/>
    <row r="2" spans="4:27" s="1" customFormat="1" ht="26.25" x14ac:dyDescent="0.4">
      <c r="I2" s="13" t="s">
        <v>0</v>
      </c>
    </row>
    <row r="3" spans="4:27" s="1" customFormat="1" x14ac:dyDescent="0.25"/>
    <row r="4" spans="4:27" s="11" customFormat="1" ht="4.5" customHeight="1" x14ac:dyDescent="0.25"/>
    <row r="5" spans="4:27" s="12" customFormat="1" ht="4.5" customHeight="1" x14ac:dyDescent="0.25"/>
    <row r="8" spans="4:27" x14ac:dyDescent="0.25">
      <c r="D8" s="4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8"/>
    </row>
    <row r="9" spans="4:27" x14ac:dyDescent="0.25">
      <c r="D9" s="3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9"/>
    </row>
    <row r="10" spans="4:27" x14ac:dyDescent="0.25">
      <c r="D10" s="3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9"/>
    </row>
    <row r="11" spans="4:27" x14ac:dyDescent="0.25">
      <c r="D11" s="3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9"/>
    </row>
    <row r="12" spans="4:27" x14ac:dyDescent="0.25">
      <c r="D12" s="3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9"/>
    </row>
    <row r="13" spans="4:27" x14ac:dyDescent="0.25">
      <c r="D13" s="3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9"/>
    </row>
    <row r="14" spans="4:27" x14ac:dyDescent="0.25">
      <c r="D14" s="3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9"/>
    </row>
    <row r="15" spans="4:27" x14ac:dyDescent="0.25"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9"/>
    </row>
    <row r="16" spans="4:27" x14ac:dyDescent="0.25"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9"/>
    </row>
    <row r="17" spans="4:27" x14ac:dyDescent="0.25"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9"/>
    </row>
    <row r="18" spans="4:27" x14ac:dyDescent="0.25"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9"/>
    </row>
    <row r="19" spans="4:27" x14ac:dyDescent="0.25"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9"/>
    </row>
    <row r="20" spans="4:27" x14ac:dyDescent="0.25"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9"/>
    </row>
    <row r="21" spans="4:27" x14ac:dyDescent="0.25"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9"/>
    </row>
    <row r="22" spans="4:27" x14ac:dyDescent="0.25"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9"/>
    </row>
    <row r="23" spans="4:27" x14ac:dyDescent="0.25"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9"/>
    </row>
    <row r="24" spans="4:27" x14ac:dyDescent="0.25"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9"/>
    </row>
    <row r="25" spans="4:27" x14ac:dyDescent="0.25">
      <c r="D25" s="3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9"/>
    </row>
    <row r="26" spans="4:27" x14ac:dyDescent="0.25">
      <c r="D26" s="3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9"/>
    </row>
    <row r="27" spans="4:27" x14ac:dyDescent="0.25">
      <c r="D27" s="3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9"/>
    </row>
    <row r="28" spans="4:27" x14ac:dyDescent="0.25">
      <c r="D28" s="3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9"/>
    </row>
    <row r="29" spans="4:27" x14ac:dyDescent="0.25">
      <c r="D29" s="3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9"/>
    </row>
    <row r="30" spans="4:27" x14ac:dyDescent="0.25">
      <c r="D30" s="3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9"/>
    </row>
    <row r="31" spans="4:27" x14ac:dyDescent="0.25">
      <c r="D31" s="3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9"/>
    </row>
    <row r="32" spans="4:27" x14ac:dyDescent="0.25"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9"/>
    </row>
    <row r="33" spans="4:27" x14ac:dyDescent="0.25"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9"/>
    </row>
    <row r="34" spans="4:27" x14ac:dyDescent="0.25"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9"/>
    </row>
    <row r="35" spans="4:27" x14ac:dyDescent="0.25"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9"/>
    </row>
    <row r="36" spans="4:27" x14ac:dyDescent="0.25"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9"/>
    </row>
    <row r="37" spans="4:27" x14ac:dyDescent="0.25"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9"/>
    </row>
    <row r="38" spans="4:27" x14ac:dyDescent="0.25"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9"/>
    </row>
    <row r="39" spans="4:27" x14ac:dyDescent="0.25">
      <c r="D39" s="3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9"/>
    </row>
    <row r="40" spans="4:27" x14ac:dyDescent="0.25"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9"/>
    </row>
    <row r="41" spans="4:27" x14ac:dyDescent="0.25">
      <c r="D41" s="3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9"/>
    </row>
    <row r="42" spans="4:27" x14ac:dyDescent="0.25">
      <c r="D42" s="3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9"/>
    </row>
    <row r="43" spans="4:27" x14ac:dyDescent="0.25">
      <c r="D43" s="3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9"/>
    </row>
    <row r="44" spans="4:27" x14ac:dyDescent="0.25">
      <c r="D44" s="3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9"/>
    </row>
    <row r="45" spans="4:27" x14ac:dyDescent="0.25">
      <c r="D45" s="3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9"/>
    </row>
    <row r="46" spans="4:27" x14ac:dyDescent="0.25">
      <c r="D46" s="3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9"/>
    </row>
    <row r="47" spans="4:27" x14ac:dyDescent="0.25">
      <c r="D47" s="3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9"/>
    </row>
    <row r="48" spans="4:27" x14ac:dyDescent="0.25">
      <c r="D48" s="3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9"/>
    </row>
    <row r="49" spans="4:27" x14ac:dyDescent="0.25">
      <c r="D49" s="3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9"/>
    </row>
    <row r="50" spans="4:27" x14ac:dyDescent="0.25">
      <c r="D50" s="3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9"/>
    </row>
    <row r="51" spans="4:27" x14ac:dyDescent="0.25"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9"/>
    </row>
    <row r="52" spans="4:27" x14ac:dyDescent="0.25"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9"/>
    </row>
    <row r="53" spans="4:27" x14ac:dyDescent="0.25"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9"/>
    </row>
    <row r="54" spans="4:27" x14ac:dyDescent="0.25"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9"/>
    </row>
    <row r="55" spans="4:27" x14ac:dyDescent="0.25">
      <c r="D55" s="3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9"/>
    </row>
    <row r="56" spans="4:27" x14ac:dyDescent="0.25">
      <c r="D56" s="3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9"/>
    </row>
    <row r="57" spans="4:27" x14ac:dyDescent="0.25">
      <c r="D57" s="3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9"/>
    </row>
    <row r="58" spans="4:27" x14ac:dyDescent="0.25">
      <c r="D58" s="3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9"/>
    </row>
    <row r="59" spans="4:27" x14ac:dyDescent="0.25">
      <c r="D59" s="3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9"/>
    </row>
    <row r="60" spans="4:27" x14ac:dyDescent="0.25">
      <c r="D60" s="3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9"/>
    </row>
    <row r="61" spans="4:27" x14ac:dyDescent="0.25">
      <c r="D61" s="3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9"/>
    </row>
    <row r="62" spans="4:27" x14ac:dyDescent="0.25">
      <c r="D62" s="3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9"/>
    </row>
    <row r="63" spans="4:27" x14ac:dyDescent="0.25">
      <c r="D63" s="3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9"/>
    </row>
    <row r="64" spans="4:27" x14ac:dyDescent="0.25"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9"/>
    </row>
    <row r="65" spans="4:27" x14ac:dyDescent="0.25"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9"/>
    </row>
    <row r="66" spans="4:27" x14ac:dyDescent="0.25">
      <c r="D66" s="3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9"/>
    </row>
    <row r="67" spans="4:27" x14ac:dyDescent="0.25">
      <c r="D67" s="3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9"/>
    </row>
    <row r="68" spans="4:27" x14ac:dyDescent="0.25">
      <c r="D68" s="3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9"/>
    </row>
    <row r="69" spans="4:27" x14ac:dyDescent="0.25">
      <c r="D69" s="3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9"/>
    </row>
    <row r="70" spans="4:27" x14ac:dyDescent="0.25">
      <c r="D70" s="3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9"/>
    </row>
    <row r="71" spans="4:27" x14ac:dyDescent="0.25">
      <c r="D71" s="3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9"/>
    </row>
    <row r="72" spans="4:27" x14ac:dyDescent="0.25">
      <c r="D72" s="3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9"/>
    </row>
    <row r="73" spans="4:27" x14ac:dyDescent="0.25">
      <c r="D73" s="3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9"/>
    </row>
    <row r="74" spans="4:27" x14ac:dyDescent="0.25">
      <c r="D74" s="3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9"/>
    </row>
    <row r="75" spans="4:27" x14ac:dyDescent="0.25">
      <c r="D75" s="3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9"/>
    </row>
    <row r="76" spans="4:27" x14ac:dyDescent="0.25"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9"/>
    </row>
    <row r="77" spans="4:27" x14ac:dyDescent="0.25"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9"/>
    </row>
    <row r="78" spans="4:27" x14ac:dyDescent="0.25">
      <c r="D78" s="6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1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F069B-81A1-4042-A1CD-8A068CEF8A54}">
  <sheetPr codeName="Sheet2">
    <tabColor rgb="FFFF9900"/>
  </sheetPr>
  <dimension ref="B1:MD78"/>
  <sheetViews>
    <sheetView showGridLines="0" topLeftCell="B3" zoomScaleNormal="100" workbookViewId="0">
      <selection activeCell="L35" sqref="L35"/>
    </sheetView>
  </sheetViews>
  <sheetFormatPr defaultRowHeight="15" x14ac:dyDescent="0.25"/>
  <cols>
    <col min="1" max="1" width="0" hidden="1" customWidth="1"/>
    <col min="2" max="6" width="9.140625" style="2"/>
    <col min="7" max="7" width="9.140625" style="2" customWidth="1"/>
    <col min="8" max="8" width="12.85546875" style="2" customWidth="1"/>
    <col min="9" max="342" width="9.140625" style="2"/>
  </cols>
  <sheetData>
    <row r="1" spans="4:27" s="1" customFormat="1" x14ac:dyDescent="0.25"/>
    <row r="2" spans="4:27" s="1" customFormat="1" ht="26.25" x14ac:dyDescent="0.4">
      <c r="I2" s="13" t="s">
        <v>0</v>
      </c>
    </row>
    <row r="3" spans="4:27" s="1" customFormat="1" x14ac:dyDescent="0.25"/>
    <row r="4" spans="4:27" s="11" customFormat="1" ht="4.5" customHeight="1" x14ac:dyDescent="0.25"/>
    <row r="5" spans="4:27" s="12" customFormat="1" ht="4.5" customHeight="1" x14ac:dyDescent="0.25"/>
    <row r="8" spans="4:27" x14ac:dyDescent="0.25">
      <c r="D8" s="4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8"/>
    </row>
    <row r="9" spans="4:27" x14ac:dyDescent="0.25">
      <c r="D9" s="3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9"/>
    </row>
    <row r="10" spans="4:27" x14ac:dyDescent="0.25">
      <c r="D10" s="3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9"/>
    </row>
    <row r="11" spans="4:27" x14ac:dyDescent="0.25">
      <c r="D11" s="3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9"/>
    </row>
    <row r="12" spans="4:27" x14ac:dyDescent="0.25">
      <c r="D12" s="3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9"/>
    </row>
    <row r="13" spans="4:27" x14ac:dyDescent="0.25">
      <c r="D13" s="3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9"/>
    </row>
    <row r="14" spans="4:27" x14ac:dyDescent="0.25">
      <c r="D14" s="3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9"/>
    </row>
    <row r="15" spans="4:27" x14ac:dyDescent="0.25"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9"/>
    </row>
    <row r="16" spans="4:27" x14ac:dyDescent="0.25"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9"/>
    </row>
    <row r="17" spans="4:27" x14ac:dyDescent="0.25"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9"/>
    </row>
    <row r="18" spans="4:27" x14ac:dyDescent="0.25"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9"/>
    </row>
    <row r="19" spans="4:27" x14ac:dyDescent="0.25"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9"/>
    </row>
    <row r="20" spans="4:27" x14ac:dyDescent="0.25"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9"/>
    </row>
    <row r="21" spans="4:27" x14ac:dyDescent="0.25"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9"/>
    </row>
    <row r="22" spans="4:27" x14ac:dyDescent="0.25"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9"/>
    </row>
    <row r="23" spans="4:27" x14ac:dyDescent="0.25"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9"/>
    </row>
    <row r="24" spans="4:27" x14ac:dyDescent="0.25"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9"/>
    </row>
    <row r="25" spans="4:27" x14ac:dyDescent="0.25">
      <c r="D25" s="3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9"/>
    </row>
    <row r="26" spans="4:27" x14ac:dyDescent="0.25">
      <c r="D26" s="3"/>
      <c r="E26" s="1"/>
      <c r="F26" s="1"/>
      <c r="G26" s="1"/>
      <c r="H26" s="14" t="s">
        <v>1</v>
      </c>
      <c r="I26" s="1" t="s">
        <v>62</v>
      </c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9"/>
    </row>
    <row r="27" spans="4:27" x14ac:dyDescent="0.25">
      <c r="D27" s="3"/>
      <c r="E27" s="1"/>
      <c r="F27" s="1"/>
      <c r="G27" s="1"/>
      <c r="H27" s="1"/>
      <c r="I27" s="1" t="s">
        <v>63</v>
      </c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9"/>
    </row>
    <row r="28" spans="4:27" x14ac:dyDescent="0.25">
      <c r="D28" s="3"/>
      <c r="E28" s="1"/>
      <c r="F28" s="1"/>
      <c r="G28" s="1"/>
      <c r="H28" s="1"/>
      <c r="I28" s="1" t="s">
        <v>64</v>
      </c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9"/>
    </row>
    <row r="29" spans="4:27" x14ac:dyDescent="0.25">
      <c r="D29" s="3"/>
      <c r="E29" s="1"/>
      <c r="F29" s="1"/>
      <c r="G29" s="1"/>
      <c r="H29" s="1"/>
      <c r="I29" s="1" t="s">
        <v>75</v>
      </c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9"/>
    </row>
    <row r="30" spans="4:27" x14ac:dyDescent="0.25">
      <c r="D30" s="3"/>
      <c r="E30" s="1"/>
      <c r="F30" s="1"/>
      <c r="G30" s="1"/>
      <c r="H30" s="1"/>
      <c r="I30" s="1" t="s">
        <v>113</v>
      </c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9"/>
    </row>
    <row r="31" spans="4:27" x14ac:dyDescent="0.25">
      <c r="D31" s="3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9"/>
    </row>
    <row r="32" spans="4:27" x14ac:dyDescent="0.25"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9"/>
    </row>
    <row r="33" spans="4:27" x14ac:dyDescent="0.25">
      <c r="D33" s="3"/>
      <c r="E33" s="1"/>
      <c r="F33" s="1"/>
      <c r="G33" s="1"/>
      <c r="H33" s="15" t="s">
        <v>2</v>
      </c>
      <c r="I33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9"/>
    </row>
    <row r="34" spans="4:27" x14ac:dyDescent="0.25">
      <c r="D34" s="3"/>
      <c r="E34" s="1"/>
      <c r="F34" s="1"/>
      <c r="G34" s="1"/>
      <c r="H34" s="16"/>
      <c r="I34" t="s">
        <v>3</v>
      </c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9"/>
    </row>
    <row r="35" spans="4:27" x14ac:dyDescent="0.25">
      <c r="D35" s="3"/>
      <c r="E35" s="1"/>
      <c r="F35" s="1"/>
      <c r="G35" s="1"/>
      <c r="H35" s="17"/>
      <c r="I35" t="s">
        <v>4</v>
      </c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9"/>
    </row>
    <row r="36" spans="4:27" x14ac:dyDescent="0.25">
      <c r="D36" s="3"/>
      <c r="E36" s="1"/>
      <c r="F36" s="1"/>
      <c r="G36" s="1"/>
      <c r="H36" s="18"/>
      <c r="I36" t="s">
        <v>5</v>
      </c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9"/>
    </row>
    <row r="37" spans="4:27" x14ac:dyDescent="0.25">
      <c r="D37" s="3"/>
      <c r="E37" s="1"/>
      <c r="F37" s="1"/>
      <c r="G37" s="1"/>
      <c r="I37" t="s">
        <v>6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9"/>
    </row>
    <row r="38" spans="4:27" x14ac:dyDescent="0.25">
      <c r="D38" s="3"/>
      <c r="E38" s="1"/>
      <c r="F38" s="1"/>
      <c r="G38" s="1"/>
      <c r="H38" s="19"/>
      <c r="I38" t="s">
        <v>7</v>
      </c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9"/>
    </row>
    <row r="39" spans="4:27" x14ac:dyDescent="0.25">
      <c r="D39" s="3"/>
      <c r="E39" s="1"/>
      <c r="F39" s="1"/>
      <c r="G39" s="1"/>
      <c r="H39"/>
      <c r="I39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9"/>
    </row>
    <row r="40" spans="4:27" x14ac:dyDescent="0.25">
      <c r="D40" s="3"/>
      <c r="E40" s="1"/>
      <c r="F40" s="1"/>
      <c r="G40" s="1"/>
      <c r="H40" s="15" t="s">
        <v>8</v>
      </c>
      <c r="I40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9"/>
    </row>
    <row r="41" spans="4:27" x14ac:dyDescent="0.25">
      <c r="D41" s="3"/>
      <c r="E41" s="1"/>
      <c r="F41" s="1"/>
      <c r="G41" s="1"/>
      <c r="H41" s="16"/>
      <c r="I41" t="s">
        <v>9</v>
      </c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9"/>
    </row>
    <row r="42" spans="4:27" x14ac:dyDescent="0.25">
      <c r="D42" s="3"/>
      <c r="E42" s="1"/>
      <c r="F42" s="1"/>
      <c r="G42" s="1"/>
      <c r="H42" s="17"/>
      <c r="I42" t="s">
        <v>10</v>
      </c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9"/>
    </row>
    <row r="43" spans="4:27" x14ac:dyDescent="0.25">
      <c r="D43" s="3"/>
      <c r="E43" s="1"/>
      <c r="F43" s="1"/>
      <c r="G43" s="1"/>
      <c r="H43" s="18"/>
      <c r="I43" t="s">
        <v>11</v>
      </c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9"/>
    </row>
    <row r="44" spans="4:27" x14ac:dyDescent="0.25">
      <c r="D44" s="3"/>
      <c r="E44" s="1"/>
      <c r="F44" s="1"/>
      <c r="G44" s="1"/>
      <c r="H44" s="19"/>
      <c r="I44" t="s">
        <v>7</v>
      </c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9"/>
    </row>
    <row r="45" spans="4:27" x14ac:dyDescent="0.25">
      <c r="D45" s="3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9"/>
    </row>
    <row r="46" spans="4:27" x14ac:dyDescent="0.25">
      <c r="D46" s="3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9"/>
    </row>
    <row r="47" spans="4:27" x14ac:dyDescent="0.25">
      <c r="D47" s="3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9"/>
    </row>
    <row r="48" spans="4:27" x14ac:dyDescent="0.25">
      <c r="D48" s="3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9"/>
    </row>
    <row r="49" spans="4:27" x14ac:dyDescent="0.25">
      <c r="D49" s="3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9"/>
    </row>
    <row r="50" spans="4:27" x14ac:dyDescent="0.25">
      <c r="D50" s="3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9"/>
    </row>
    <row r="51" spans="4:27" x14ac:dyDescent="0.25"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9"/>
    </row>
    <row r="52" spans="4:27" x14ac:dyDescent="0.25"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9"/>
    </row>
    <row r="53" spans="4:27" x14ac:dyDescent="0.25"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9"/>
    </row>
    <row r="54" spans="4:27" x14ac:dyDescent="0.25"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9"/>
    </row>
    <row r="55" spans="4:27" x14ac:dyDescent="0.25">
      <c r="D55" s="3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9"/>
    </row>
    <row r="56" spans="4:27" x14ac:dyDescent="0.25">
      <c r="D56" s="3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9"/>
    </row>
    <row r="57" spans="4:27" x14ac:dyDescent="0.25">
      <c r="D57" s="3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9"/>
    </row>
    <row r="58" spans="4:27" x14ac:dyDescent="0.25">
      <c r="D58" s="3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9"/>
    </row>
    <row r="59" spans="4:27" x14ac:dyDescent="0.25">
      <c r="D59" s="3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9"/>
    </row>
    <row r="60" spans="4:27" x14ac:dyDescent="0.25">
      <c r="D60" s="3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9"/>
    </row>
    <row r="61" spans="4:27" x14ac:dyDescent="0.25">
      <c r="D61" s="3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9"/>
    </row>
    <row r="62" spans="4:27" x14ac:dyDescent="0.25">
      <c r="D62" s="3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9"/>
    </row>
    <row r="63" spans="4:27" x14ac:dyDescent="0.25">
      <c r="D63" s="3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9"/>
    </row>
    <row r="64" spans="4:27" x14ac:dyDescent="0.25"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9"/>
    </row>
    <row r="65" spans="4:27" x14ac:dyDescent="0.25"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9"/>
    </row>
    <row r="66" spans="4:27" x14ac:dyDescent="0.25">
      <c r="D66" s="3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9"/>
    </row>
    <row r="67" spans="4:27" x14ac:dyDescent="0.25">
      <c r="D67" s="3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9"/>
    </row>
    <row r="68" spans="4:27" x14ac:dyDescent="0.25">
      <c r="D68" s="3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9"/>
    </row>
    <row r="69" spans="4:27" x14ac:dyDescent="0.25">
      <c r="D69" s="3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9"/>
    </row>
    <row r="70" spans="4:27" x14ac:dyDescent="0.25">
      <c r="D70" s="3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9"/>
    </row>
    <row r="71" spans="4:27" x14ac:dyDescent="0.25">
      <c r="D71" s="3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9"/>
    </row>
    <row r="72" spans="4:27" x14ac:dyDescent="0.25">
      <c r="D72" s="3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9"/>
    </row>
    <row r="73" spans="4:27" x14ac:dyDescent="0.25">
      <c r="D73" s="3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9"/>
    </row>
    <row r="74" spans="4:27" x14ac:dyDescent="0.25">
      <c r="D74" s="3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9"/>
    </row>
    <row r="75" spans="4:27" x14ac:dyDescent="0.25">
      <c r="D75" s="3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9"/>
    </row>
    <row r="76" spans="4:27" x14ac:dyDescent="0.25"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9"/>
    </row>
    <row r="77" spans="4:27" x14ac:dyDescent="0.25"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9"/>
    </row>
    <row r="78" spans="4:27" x14ac:dyDescent="0.25">
      <c r="D78" s="6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10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FB3DD-3881-45FF-81FD-104AE2D8977F}">
  <sheetPr codeName="Sheet3">
    <tabColor rgb="FFCC9900"/>
  </sheetPr>
  <dimension ref="B1:MD80"/>
  <sheetViews>
    <sheetView showGridLines="0" topLeftCell="B1" workbookViewId="0">
      <selection activeCell="N14" sqref="N14"/>
    </sheetView>
  </sheetViews>
  <sheetFormatPr defaultRowHeight="15" x14ac:dyDescent="0.25"/>
  <cols>
    <col min="1" max="1" width="0" hidden="1" customWidth="1"/>
    <col min="2" max="4" width="9.140625" style="2"/>
    <col min="5" max="5" width="33.85546875" style="2" customWidth="1"/>
    <col min="6" max="7" width="9.140625" style="39"/>
    <col min="8" max="13" width="9.140625" style="2"/>
    <col min="14" max="14" width="10.140625" style="2" bestFit="1" customWidth="1"/>
    <col min="15" max="342" width="9.140625" style="2"/>
  </cols>
  <sheetData>
    <row r="1" spans="4:27" s="1" customFormat="1" x14ac:dyDescent="0.25">
      <c r="F1" s="25"/>
      <c r="G1" s="25"/>
    </row>
    <row r="2" spans="4:27" s="1" customFormat="1" ht="26.25" x14ac:dyDescent="0.4">
      <c r="F2" s="25"/>
      <c r="G2" s="25"/>
      <c r="I2" s="13" t="s">
        <v>0</v>
      </c>
    </row>
    <row r="3" spans="4:27" s="1" customFormat="1" x14ac:dyDescent="0.25">
      <c r="F3" s="25"/>
      <c r="G3" s="25"/>
    </row>
    <row r="4" spans="4:27" s="11" customFormat="1" ht="4.5" customHeight="1" x14ac:dyDescent="0.25">
      <c r="F4" s="35"/>
      <c r="G4" s="35"/>
    </row>
    <row r="5" spans="4:27" s="12" customFormat="1" ht="4.5" customHeight="1" x14ac:dyDescent="0.25">
      <c r="F5" s="36"/>
      <c r="G5" s="36"/>
    </row>
    <row r="8" spans="4:27" x14ac:dyDescent="0.25">
      <c r="D8" s="4"/>
      <c r="E8" s="5"/>
      <c r="F8" s="37"/>
      <c r="G8" s="37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8"/>
    </row>
    <row r="9" spans="4:27" ht="19.5" customHeight="1" x14ac:dyDescent="0.25">
      <c r="D9" s="3"/>
      <c r="E9" s="15" t="s">
        <v>52</v>
      </c>
      <c r="F9" s="25"/>
      <c r="G9" s="25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9"/>
    </row>
    <row r="10" spans="4:27" ht="19.5" customHeight="1" x14ac:dyDescent="0.25">
      <c r="D10" s="3"/>
      <c r="E10" s="15"/>
      <c r="F10" s="25"/>
      <c r="G10" s="25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9"/>
    </row>
    <row r="11" spans="4:27" x14ac:dyDescent="0.25">
      <c r="D11" s="3"/>
      <c r="E11" s="52" t="s">
        <v>53</v>
      </c>
      <c r="F11" s="53"/>
      <c r="G11" s="55"/>
      <c r="H11" s="52"/>
      <c r="I11" s="52"/>
      <c r="J11" s="52"/>
      <c r="K11" s="52"/>
      <c r="L11" s="52"/>
      <c r="M11" s="54"/>
      <c r="N11" s="38">
        <v>10</v>
      </c>
      <c r="O11" s="40" t="s">
        <v>54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9"/>
    </row>
    <row r="12" spans="4:27" x14ac:dyDescent="0.25">
      <c r="D12" s="3"/>
      <c r="E12" s="56" t="s">
        <v>55</v>
      </c>
      <c r="F12" s="57"/>
      <c r="G12" s="58"/>
      <c r="H12" s="56"/>
      <c r="I12" s="56"/>
      <c r="J12" s="56"/>
      <c r="K12" s="56"/>
      <c r="L12" s="56"/>
      <c r="M12" s="59"/>
      <c r="N12" s="38">
        <v>1</v>
      </c>
      <c r="O12" s="40" t="s">
        <v>56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9"/>
    </row>
    <row r="13" spans="4:27" x14ac:dyDescent="0.25">
      <c r="D13" s="3"/>
      <c r="E13" s="56" t="s">
        <v>90</v>
      </c>
      <c r="F13" s="57"/>
      <c r="G13" s="58"/>
      <c r="H13" s="56"/>
      <c r="I13" s="56"/>
      <c r="J13" s="56"/>
      <c r="K13" s="56"/>
      <c r="L13" s="56"/>
      <c r="M13" s="59"/>
      <c r="N13" s="87">
        <v>20000</v>
      </c>
      <c r="O13" s="40" t="s">
        <v>91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9"/>
    </row>
    <row r="14" spans="4:27" x14ac:dyDescent="0.25">
      <c r="D14" s="3"/>
      <c r="E14" s="56" t="s">
        <v>57</v>
      </c>
      <c r="F14" s="57"/>
      <c r="G14" s="57"/>
      <c r="H14" s="56"/>
      <c r="I14" s="56"/>
      <c r="J14" s="56"/>
      <c r="K14" s="56"/>
      <c r="L14" s="56"/>
      <c r="M14" s="59"/>
      <c r="N14" s="38">
        <v>0.03</v>
      </c>
      <c r="O14" s="25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9"/>
    </row>
    <row r="15" spans="4:27" x14ac:dyDescent="0.25">
      <c r="D15" s="3"/>
      <c r="E15" s="56" t="s">
        <v>58</v>
      </c>
      <c r="F15" s="57"/>
      <c r="G15" s="57"/>
      <c r="H15" s="56"/>
      <c r="I15" s="56"/>
      <c r="J15" s="56"/>
      <c r="K15" s="56"/>
      <c r="L15" s="56"/>
      <c r="M15" s="59"/>
      <c r="N15" s="38">
        <v>0.03</v>
      </c>
      <c r="O15" s="25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9"/>
    </row>
    <row r="16" spans="4:27" x14ac:dyDescent="0.25">
      <c r="D16" s="3"/>
      <c r="E16" s="1"/>
      <c r="F16" s="25"/>
      <c r="G16" s="25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9"/>
    </row>
    <row r="17" spans="4:27" x14ac:dyDescent="0.25">
      <c r="D17" s="3"/>
      <c r="E17" s="1"/>
      <c r="F17" s="25"/>
      <c r="G17" s="25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9"/>
    </row>
    <row r="18" spans="4:27" x14ac:dyDescent="0.25">
      <c r="D18" s="3"/>
      <c r="E18" s="1"/>
      <c r="F18" s="25"/>
      <c r="G18" s="25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9"/>
    </row>
    <row r="19" spans="4:27" x14ac:dyDescent="0.25">
      <c r="D19" s="3"/>
      <c r="E19" s="1"/>
      <c r="F19" s="25"/>
      <c r="G19" s="25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9"/>
    </row>
    <row r="20" spans="4:27" x14ac:dyDescent="0.25">
      <c r="D20" s="3"/>
      <c r="E20" s="1"/>
      <c r="F20" s="25"/>
      <c r="G20" s="25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9"/>
    </row>
    <row r="21" spans="4:27" x14ac:dyDescent="0.25">
      <c r="D21" s="3"/>
      <c r="E21" s="1"/>
      <c r="F21" s="25"/>
      <c r="G21" s="25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9"/>
    </row>
    <row r="22" spans="4:27" x14ac:dyDescent="0.25">
      <c r="D22" s="3"/>
      <c r="E22" s="1"/>
      <c r="F22" s="25"/>
      <c r="G22" s="25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9"/>
    </row>
    <row r="23" spans="4:27" x14ac:dyDescent="0.25">
      <c r="D23" s="3"/>
      <c r="E23" s="1"/>
      <c r="F23" s="25"/>
      <c r="G23" s="25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9"/>
    </row>
    <row r="24" spans="4:27" x14ac:dyDescent="0.25">
      <c r="D24" s="3"/>
      <c r="E24" s="1"/>
      <c r="F24" s="25"/>
      <c r="G24" s="25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9"/>
    </row>
    <row r="25" spans="4:27" x14ac:dyDescent="0.25">
      <c r="D25" s="3"/>
      <c r="E25" s="1"/>
      <c r="F25" s="25"/>
      <c r="G25" s="25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9"/>
    </row>
    <row r="26" spans="4:27" x14ac:dyDescent="0.25">
      <c r="D26" s="3"/>
      <c r="E26" s="1"/>
      <c r="F26" s="25"/>
      <c r="G26" s="25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9"/>
    </row>
    <row r="27" spans="4:27" x14ac:dyDescent="0.25">
      <c r="D27" s="3"/>
      <c r="E27" s="1"/>
      <c r="F27" s="25"/>
      <c r="G27" s="25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9"/>
    </row>
    <row r="28" spans="4:27" x14ac:dyDescent="0.25">
      <c r="D28" s="3"/>
      <c r="E28" s="1"/>
      <c r="F28" s="25"/>
      <c r="G28" s="25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9"/>
    </row>
    <row r="29" spans="4:27" x14ac:dyDescent="0.25">
      <c r="D29" s="3"/>
      <c r="E29" s="1"/>
      <c r="F29" s="25"/>
      <c r="G29" s="25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9"/>
    </row>
    <row r="30" spans="4:27" x14ac:dyDescent="0.25">
      <c r="D30" s="3"/>
      <c r="E30" s="1"/>
      <c r="F30" s="25"/>
      <c r="G30" s="25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9"/>
    </row>
    <row r="31" spans="4:27" x14ac:dyDescent="0.25">
      <c r="D31" s="3"/>
      <c r="E31" s="1"/>
      <c r="F31" s="25"/>
      <c r="G31" s="25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9"/>
    </row>
    <row r="32" spans="4:27" x14ac:dyDescent="0.25">
      <c r="D32" s="3"/>
      <c r="E32" s="1"/>
      <c r="F32" s="25"/>
      <c r="G32" s="25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9"/>
    </row>
    <row r="33" spans="4:27" x14ac:dyDescent="0.25">
      <c r="D33" s="3"/>
      <c r="E33" s="1"/>
      <c r="F33" s="25"/>
      <c r="G33" s="25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9"/>
    </row>
    <row r="34" spans="4:27" x14ac:dyDescent="0.25">
      <c r="D34" s="3"/>
      <c r="E34" s="1"/>
      <c r="F34" s="25"/>
      <c r="G34" s="25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9"/>
    </row>
    <row r="35" spans="4:27" x14ac:dyDescent="0.25">
      <c r="D35" s="3"/>
      <c r="E35" s="1"/>
      <c r="F35" s="25"/>
      <c r="G35" s="25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9"/>
    </row>
    <row r="36" spans="4:27" x14ac:dyDescent="0.25">
      <c r="D36" s="3"/>
      <c r="E36" s="1"/>
      <c r="F36" s="25"/>
      <c r="G36" s="25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9"/>
    </row>
    <row r="37" spans="4:27" x14ac:dyDescent="0.25">
      <c r="D37" s="3"/>
      <c r="E37" s="1"/>
      <c r="F37" s="25"/>
      <c r="G37" s="25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9"/>
    </row>
    <row r="38" spans="4:27" x14ac:dyDescent="0.25">
      <c r="D38" s="3"/>
      <c r="E38" s="1"/>
      <c r="F38" s="25"/>
      <c r="G38" s="25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9"/>
    </row>
    <row r="39" spans="4:27" x14ac:dyDescent="0.25">
      <c r="D39" s="3"/>
      <c r="E39" s="1"/>
      <c r="F39" s="25"/>
      <c r="G39" s="25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9"/>
    </row>
    <row r="40" spans="4:27" x14ac:dyDescent="0.25">
      <c r="D40" s="3"/>
      <c r="E40" s="1"/>
      <c r="F40" s="25"/>
      <c r="G40" s="25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9"/>
    </row>
    <row r="41" spans="4:27" x14ac:dyDescent="0.25">
      <c r="D41" s="3"/>
      <c r="E41" s="1"/>
      <c r="F41" s="25"/>
      <c r="G41" s="25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9"/>
    </row>
    <row r="42" spans="4:27" x14ac:dyDescent="0.25">
      <c r="D42" s="3"/>
      <c r="E42" s="1"/>
      <c r="F42" s="25"/>
      <c r="G42" s="25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9"/>
    </row>
    <row r="43" spans="4:27" x14ac:dyDescent="0.25">
      <c r="D43" s="3"/>
      <c r="E43" s="1"/>
      <c r="F43" s="25"/>
      <c r="G43" s="25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9"/>
    </row>
    <row r="44" spans="4:27" x14ac:dyDescent="0.25">
      <c r="D44" s="3"/>
      <c r="E44" s="1"/>
      <c r="F44" s="25"/>
      <c r="G44" s="25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9"/>
    </row>
    <row r="45" spans="4:27" x14ac:dyDescent="0.25">
      <c r="D45" s="3"/>
      <c r="E45" s="1"/>
      <c r="F45" s="25"/>
      <c r="G45" s="25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9"/>
    </row>
    <row r="46" spans="4:27" x14ac:dyDescent="0.25">
      <c r="D46" s="3"/>
      <c r="E46" s="1"/>
      <c r="F46" s="25"/>
      <c r="G46" s="25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9"/>
    </row>
    <row r="47" spans="4:27" x14ac:dyDescent="0.25">
      <c r="D47" s="3"/>
      <c r="E47" s="1"/>
      <c r="F47" s="25"/>
      <c r="G47" s="25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9"/>
    </row>
    <row r="48" spans="4:27" x14ac:dyDescent="0.25">
      <c r="D48" s="3"/>
      <c r="E48" s="1"/>
      <c r="F48" s="25"/>
      <c r="G48" s="25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9"/>
    </row>
    <row r="49" spans="4:27" x14ac:dyDescent="0.25">
      <c r="D49" s="3"/>
      <c r="E49" s="1"/>
      <c r="F49" s="25"/>
      <c r="G49" s="25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9"/>
    </row>
    <row r="50" spans="4:27" x14ac:dyDescent="0.25">
      <c r="D50" s="3"/>
      <c r="E50" s="1"/>
      <c r="F50" s="25"/>
      <c r="G50" s="25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9"/>
    </row>
    <row r="51" spans="4:27" x14ac:dyDescent="0.25">
      <c r="D51" s="3"/>
      <c r="E51" s="1"/>
      <c r="F51" s="25"/>
      <c r="G51" s="25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9"/>
    </row>
    <row r="52" spans="4:27" x14ac:dyDescent="0.25">
      <c r="D52" s="3"/>
      <c r="E52" s="1"/>
      <c r="F52" s="25"/>
      <c r="G52" s="25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9"/>
    </row>
    <row r="53" spans="4:27" x14ac:dyDescent="0.25">
      <c r="D53" s="3"/>
      <c r="E53" s="1"/>
      <c r="F53" s="25"/>
      <c r="G53" s="25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9"/>
    </row>
    <row r="54" spans="4:27" x14ac:dyDescent="0.25">
      <c r="D54" s="3"/>
      <c r="E54" s="1"/>
      <c r="F54" s="25"/>
      <c r="G54" s="25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9"/>
    </row>
    <row r="55" spans="4:27" x14ac:dyDescent="0.25">
      <c r="D55" s="3"/>
      <c r="E55" s="1"/>
      <c r="F55" s="25"/>
      <c r="G55" s="25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9"/>
    </row>
    <row r="56" spans="4:27" x14ac:dyDescent="0.25">
      <c r="D56" s="3"/>
      <c r="E56" s="1"/>
      <c r="F56" s="25"/>
      <c r="G56" s="25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9"/>
    </row>
    <row r="57" spans="4:27" x14ac:dyDescent="0.25">
      <c r="D57" s="3"/>
      <c r="E57" s="1"/>
      <c r="F57" s="25"/>
      <c r="G57" s="25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9"/>
    </row>
    <row r="58" spans="4:27" x14ac:dyDescent="0.25">
      <c r="D58" s="3"/>
      <c r="E58" s="1"/>
      <c r="F58" s="25"/>
      <c r="G58" s="25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9"/>
    </row>
    <row r="59" spans="4:27" x14ac:dyDescent="0.25">
      <c r="D59" s="3"/>
      <c r="E59" s="1"/>
      <c r="F59" s="25"/>
      <c r="G59" s="25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9"/>
    </row>
    <row r="60" spans="4:27" x14ac:dyDescent="0.25">
      <c r="D60" s="3"/>
      <c r="E60" s="1"/>
      <c r="F60" s="25"/>
      <c r="G60" s="25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9"/>
    </row>
    <row r="61" spans="4:27" x14ac:dyDescent="0.25">
      <c r="D61" s="3"/>
      <c r="E61" s="1"/>
      <c r="F61" s="25"/>
      <c r="G61" s="25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9"/>
    </row>
    <row r="62" spans="4:27" x14ac:dyDescent="0.25">
      <c r="D62" s="3"/>
      <c r="E62" s="1"/>
      <c r="F62" s="25"/>
      <c r="G62" s="25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9"/>
    </row>
    <row r="63" spans="4:27" x14ac:dyDescent="0.25">
      <c r="D63" s="3"/>
      <c r="E63" s="1"/>
      <c r="F63" s="25"/>
      <c r="G63" s="25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9"/>
    </row>
    <row r="64" spans="4:27" x14ac:dyDescent="0.25">
      <c r="D64" s="3"/>
      <c r="E64" s="1"/>
      <c r="F64" s="25"/>
      <c r="G64" s="25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9"/>
    </row>
    <row r="65" spans="4:27" x14ac:dyDescent="0.25">
      <c r="D65" s="3"/>
      <c r="E65" s="1"/>
      <c r="F65" s="25"/>
      <c r="G65" s="25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9"/>
    </row>
    <row r="66" spans="4:27" x14ac:dyDescent="0.25">
      <c r="D66" s="3"/>
      <c r="E66" s="1"/>
      <c r="F66" s="25"/>
      <c r="G66" s="25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9"/>
    </row>
    <row r="67" spans="4:27" x14ac:dyDescent="0.25">
      <c r="D67" s="3"/>
      <c r="E67" s="1"/>
      <c r="F67" s="25"/>
      <c r="G67" s="25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9"/>
    </row>
    <row r="68" spans="4:27" x14ac:dyDescent="0.25">
      <c r="D68" s="3"/>
      <c r="E68" s="1"/>
      <c r="F68" s="25"/>
      <c r="G68" s="25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9"/>
    </row>
    <row r="69" spans="4:27" x14ac:dyDescent="0.25">
      <c r="D69" s="3"/>
      <c r="E69" s="1"/>
      <c r="F69" s="25"/>
      <c r="G69" s="25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9"/>
    </row>
    <row r="70" spans="4:27" x14ac:dyDescent="0.25">
      <c r="D70" s="3"/>
      <c r="E70" s="1"/>
      <c r="F70" s="25"/>
      <c r="G70" s="25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9"/>
    </row>
    <row r="71" spans="4:27" x14ac:dyDescent="0.25">
      <c r="D71" s="3"/>
      <c r="E71" s="1"/>
      <c r="F71" s="25"/>
      <c r="G71" s="25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9"/>
    </row>
    <row r="72" spans="4:27" x14ac:dyDescent="0.25">
      <c r="D72" s="3"/>
      <c r="E72" s="1"/>
      <c r="F72" s="25"/>
      <c r="G72" s="25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9"/>
    </row>
    <row r="73" spans="4:27" x14ac:dyDescent="0.25">
      <c r="D73" s="3"/>
      <c r="E73" s="1"/>
      <c r="F73" s="25"/>
      <c r="G73" s="25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9"/>
    </row>
    <row r="74" spans="4:27" x14ac:dyDescent="0.25">
      <c r="D74" s="3"/>
      <c r="E74" s="1"/>
      <c r="F74" s="25"/>
      <c r="G74" s="25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9"/>
    </row>
    <row r="75" spans="4:27" x14ac:dyDescent="0.25">
      <c r="D75" s="3"/>
      <c r="E75" s="1"/>
      <c r="F75" s="25"/>
      <c r="G75" s="25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9"/>
    </row>
    <row r="76" spans="4:27" x14ac:dyDescent="0.25">
      <c r="D76" s="3"/>
      <c r="E76" s="1"/>
      <c r="F76" s="25"/>
      <c r="G76" s="25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9"/>
    </row>
    <row r="77" spans="4:27" x14ac:dyDescent="0.25">
      <c r="D77" s="3"/>
      <c r="E77" s="1"/>
      <c r="F77" s="25"/>
      <c r="G77" s="25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9"/>
    </row>
    <row r="78" spans="4:27" x14ac:dyDescent="0.25">
      <c r="D78" s="3"/>
      <c r="E78" s="1"/>
      <c r="F78" s="25"/>
      <c r="G78" s="25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9"/>
    </row>
    <row r="79" spans="4:27" x14ac:dyDescent="0.25">
      <c r="D79" s="3"/>
      <c r="E79" s="1"/>
      <c r="F79" s="25"/>
      <c r="G79" s="25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9"/>
    </row>
    <row r="80" spans="4:27" x14ac:dyDescent="0.25">
      <c r="D80" s="6"/>
      <c r="E80" s="7"/>
      <c r="F80" s="26"/>
      <c r="G80" s="26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10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F7BF0-92FA-4706-BCC4-6B9F1938C95C}">
  <sheetPr codeName="Sheet4">
    <tabColor rgb="FFCC9900"/>
  </sheetPr>
  <dimension ref="B1:MD84"/>
  <sheetViews>
    <sheetView showGridLines="0" tabSelected="1" topLeftCell="E1" zoomScale="110" zoomScaleNormal="110" workbookViewId="0">
      <selection activeCell="Q16" sqref="Q16"/>
    </sheetView>
  </sheetViews>
  <sheetFormatPr defaultRowHeight="15" x14ac:dyDescent="0.25"/>
  <cols>
    <col min="1" max="1" width="0" hidden="1" customWidth="1"/>
    <col min="2" max="4" width="9.140625" style="2"/>
    <col min="5" max="5" width="66.140625" style="2" customWidth="1"/>
    <col min="6" max="6" width="15.5703125" style="34" customWidth="1"/>
    <col min="7" max="7" width="9.140625" style="34"/>
    <col min="8" max="8" width="14.7109375" style="34" customWidth="1"/>
    <col min="9" max="9" width="16" style="34" bestFit="1" customWidth="1"/>
    <col min="10" max="10" width="16" style="34" customWidth="1"/>
    <col min="11" max="11" width="14.5703125" style="34" customWidth="1"/>
    <col min="12" max="12" width="13.140625" style="34" customWidth="1"/>
    <col min="13" max="16" width="9.140625" style="34"/>
    <col min="17" max="17" width="9.85546875" style="34" customWidth="1"/>
    <col min="18" max="18" width="12.7109375" style="34" customWidth="1"/>
    <col min="19" max="19" width="19.42578125" style="2" customWidth="1"/>
    <col min="20" max="342" width="9.140625" style="2"/>
  </cols>
  <sheetData>
    <row r="1" spans="4:27" s="1" customFormat="1" x14ac:dyDescent="0.25"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</row>
    <row r="2" spans="4:27" s="1" customFormat="1" x14ac:dyDescent="0.25"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</row>
    <row r="3" spans="4:27" s="1" customFormat="1" x14ac:dyDescent="0.25"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</row>
    <row r="4" spans="4:27" s="11" customFormat="1" ht="4.5" customHeight="1" x14ac:dyDescent="0.25"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4:27" s="12" customFormat="1" ht="4.5" customHeight="1" x14ac:dyDescent="0.25"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</row>
    <row r="8" spans="4:27" x14ac:dyDescent="0.25">
      <c r="D8" s="4"/>
      <c r="E8" s="5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5"/>
      <c r="T8" s="5"/>
      <c r="U8" s="5"/>
      <c r="V8" s="5"/>
      <c r="W8" s="5"/>
      <c r="X8" s="5"/>
      <c r="Y8" s="5"/>
      <c r="Z8" s="5"/>
      <c r="AA8" s="8"/>
    </row>
    <row r="9" spans="4:27" x14ac:dyDescent="0.25">
      <c r="D9" s="3"/>
      <c r="E9" s="1" t="s">
        <v>19</v>
      </c>
      <c r="F9" s="27"/>
      <c r="G9" s="27"/>
      <c r="H9" s="27"/>
      <c r="I9" s="27"/>
      <c r="J9" s="27"/>
      <c r="K9" s="27"/>
      <c r="L9" s="31" t="s">
        <v>21</v>
      </c>
      <c r="M9" s="90">
        <v>0.1</v>
      </c>
      <c r="N9" s="27"/>
      <c r="O9" s="27"/>
      <c r="P9" s="27"/>
      <c r="Q9" s="27"/>
      <c r="R9" s="27"/>
      <c r="S9" s="1"/>
      <c r="T9" s="1"/>
      <c r="U9" s="1"/>
      <c r="V9" s="1"/>
      <c r="W9" s="1"/>
      <c r="X9" s="1"/>
      <c r="Y9" s="1"/>
      <c r="Z9" s="1"/>
      <c r="AA9" s="9"/>
    </row>
    <row r="10" spans="4:27" x14ac:dyDescent="0.25">
      <c r="D10" s="3"/>
      <c r="E10" s="1" t="s">
        <v>20</v>
      </c>
      <c r="F10" s="27"/>
      <c r="G10" s="27"/>
      <c r="H10" s="27"/>
      <c r="I10" s="27"/>
      <c r="J10" s="27"/>
      <c r="K10" s="27"/>
      <c r="L10" s="31" t="s">
        <v>22</v>
      </c>
      <c r="M10" s="90">
        <v>2.5000000000000001E-2</v>
      </c>
      <c r="N10" s="27"/>
      <c r="O10" s="27"/>
      <c r="P10" s="27"/>
      <c r="Q10" s="27"/>
      <c r="R10" s="27"/>
      <c r="S10" s="1"/>
      <c r="T10" s="1"/>
      <c r="U10" s="1"/>
      <c r="V10" s="1"/>
      <c r="W10" s="1"/>
      <c r="X10" s="1"/>
      <c r="Y10" s="1"/>
      <c r="Z10" s="1"/>
      <c r="AA10" s="9"/>
    </row>
    <row r="11" spans="4:27" x14ac:dyDescent="0.25">
      <c r="D11" s="3"/>
      <c r="E11" s="1"/>
      <c r="F11" s="27"/>
      <c r="G11" s="27"/>
      <c r="H11" s="79" t="s">
        <v>107</v>
      </c>
      <c r="I11" s="94">
        <f>COUNTA(I14:I45)</f>
        <v>14</v>
      </c>
      <c r="J11" s="27"/>
      <c r="K11" s="27"/>
      <c r="L11" s="31" t="s">
        <v>23</v>
      </c>
      <c r="M11" s="90">
        <v>0.97499999999999998</v>
      </c>
      <c r="N11" s="27"/>
      <c r="O11" s="27"/>
      <c r="P11" s="27"/>
      <c r="Q11" s="27"/>
      <c r="R11" s="27"/>
      <c r="S11" s="1"/>
      <c r="T11" s="1"/>
      <c r="U11" s="1"/>
      <c r="V11" s="1"/>
      <c r="W11" s="1"/>
      <c r="X11" s="1"/>
      <c r="Y11" s="1"/>
      <c r="Z11" s="1"/>
      <c r="AA11" s="9"/>
    </row>
    <row r="12" spans="4:27" x14ac:dyDescent="0.25">
      <c r="D12" s="3"/>
      <c r="E12" s="1"/>
      <c r="F12" s="27"/>
      <c r="G12" s="27"/>
      <c r="H12" s="79" t="s">
        <v>108</v>
      </c>
      <c r="I12" s="94">
        <f>COUNTIF(I14:I45, "Yes")</f>
        <v>8</v>
      </c>
      <c r="J12" s="27"/>
      <c r="K12" s="27"/>
      <c r="L12" s="27"/>
      <c r="M12" s="27"/>
      <c r="N12" s="27"/>
      <c r="O12" s="27"/>
      <c r="P12" s="27"/>
      <c r="Q12" s="27"/>
      <c r="R12" s="27"/>
      <c r="S12" s="1"/>
      <c r="T12" s="1"/>
      <c r="U12" s="1"/>
      <c r="V12" s="1"/>
      <c r="W12" s="1"/>
      <c r="X12" s="1"/>
      <c r="Y12" s="1"/>
      <c r="Z12" s="1"/>
      <c r="AA12" s="9"/>
    </row>
    <row r="13" spans="4:27" x14ac:dyDescent="0.25">
      <c r="D13" s="3"/>
      <c r="E13" s="20" t="s">
        <v>12</v>
      </c>
      <c r="F13" s="32" t="s">
        <v>13</v>
      </c>
      <c r="G13" s="24" t="s">
        <v>14</v>
      </c>
      <c r="H13" s="24" t="s">
        <v>15</v>
      </c>
      <c r="I13" s="24" t="s">
        <v>24</v>
      </c>
      <c r="J13" s="24" t="s">
        <v>114</v>
      </c>
      <c r="K13" s="24" t="s">
        <v>17</v>
      </c>
      <c r="L13" s="24" t="s">
        <v>29</v>
      </c>
      <c r="M13" s="24" t="s">
        <v>30</v>
      </c>
      <c r="N13" s="24" t="s">
        <v>31</v>
      </c>
      <c r="O13" s="24" t="s">
        <v>28</v>
      </c>
      <c r="P13" s="24" t="s">
        <v>115</v>
      </c>
      <c r="Q13" s="24" t="s">
        <v>32</v>
      </c>
      <c r="R13" s="24" t="s">
        <v>33</v>
      </c>
      <c r="S13" s="1"/>
      <c r="T13" s="1"/>
      <c r="U13" s="1"/>
      <c r="V13" s="1"/>
      <c r="W13" s="1"/>
      <c r="X13" s="1"/>
      <c r="Y13" s="1"/>
      <c r="Z13" s="1"/>
      <c r="AA13" s="9"/>
    </row>
    <row r="14" spans="4:27" x14ac:dyDescent="0.25">
      <c r="D14" s="3"/>
      <c r="E14" s="1"/>
      <c r="F14" s="27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1"/>
      <c r="T14" s="1"/>
      <c r="U14" s="1"/>
      <c r="V14" s="1"/>
      <c r="W14" s="1"/>
      <c r="X14" s="1"/>
      <c r="Y14" s="1"/>
      <c r="Z14" s="1"/>
      <c r="AA14" s="9"/>
    </row>
    <row r="15" spans="4:27" x14ac:dyDescent="0.25">
      <c r="D15" s="3"/>
      <c r="E15" s="20" t="s">
        <v>18</v>
      </c>
      <c r="F15" s="33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1"/>
      <c r="T15" s="1"/>
      <c r="U15" s="1"/>
      <c r="V15" s="1"/>
      <c r="W15" s="1"/>
      <c r="X15" s="1"/>
      <c r="Y15" s="1"/>
      <c r="Z15" s="1"/>
      <c r="AA15" s="9"/>
    </row>
    <row r="16" spans="4:27" x14ac:dyDescent="0.25">
      <c r="D16" s="3"/>
      <c r="E16" s="1" t="s">
        <v>65</v>
      </c>
      <c r="F16" s="27" t="s">
        <v>35</v>
      </c>
      <c r="G16" s="88">
        <v>0.8</v>
      </c>
      <c r="H16" s="25">
        <f t="shared" ref="H16:H21" si="0">G16*p_se</f>
        <v>8.0000000000000016E-2</v>
      </c>
      <c r="I16" s="95" t="s">
        <v>26</v>
      </c>
      <c r="J16" s="95" t="s">
        <v>26</v>
      </c>
      <c r="K16" s="25" t="s">
        <v>16</v>
      </c>
      <c r="L16" s="93">
        <f>IFERROR((G16*(G16*(1-G16)/(H16^2)-1)), "")</f>
        <v>19.199999999999989</v>
      </c>
      <c r="M16" s="93">
        <f>IFERROR(L16*(1-G16)/G16, "")</f>
        <v>4.7999999999999954</v>
      </c>
      <c r="N16" s="93">
        <f>BETAINV(p_lower,L16,M16)</f>
        <v>0.62233530230303113</v>
      </c>
      <c r="O16" s="93">
        <f>BETAINV(p_upper,L16,M16)</f>
        <v>0.93064121649528175</v>
      </c>
      <c r="P16" s="93">
        <f ca="1">IFERROR(BETAINV(RAND(),L16,M16),G16)</f>
        <v>0.79045423397478687</v>
      </c>
      <c r="Q16" s="25">
        <v>4</v>
      </c>
      <c r="R16" s="93">
        <f ca="1">CHOOSE(Q16,G16,N16,O16,P16)</f>
        <v>0.79045423397478687</v>
      </c>
      <c r="S16" s="129" t="s">
        <v>112</v>
      </c>
      <c r="T16" s="1"/>
      <c r="U16" s="1"/>
      <c r="V16" s="1"/>
      <c r="W16" s="1"/>
      <c r="X16" s="1"/>
      <c r="Y16" s="1"/>
      <c r="Z16" s="1"/>
      <c r="AA16" s="9"/>
    </row>
    <row r="17" spans="4:27" x14ac:dyDescent="0.25">
      <c r="D17" s="3"/>
      <c r="E17" s="1" t="s">
        <v>66</v>
      </c>
      <c r="F17" s="27" t="s">
        <v>36</v>
      </c>
      <c r="G17" s="88">
        <v>0.2</v>
      </c>
      <c r="H17" s="25">
        <f t="shared" si="0"/>
        <v>2.0000000000000004E-2</v>
      </c>
      <c r="I17" s="95" t="s">
        <v>27</v>
      </c>
      <c r="J17" s="95" t="s">
        <v>27</v>
      </c>
      <c r="K17" s="25" t="s">
        <v>16</v>
      </c>
      <c r="L17" s="93">
        <f>IFERROR((G17*(G17*(1-G17)/(H17^2)-1)), "")</f>
        <v>79.799999999999983</v>
      </c>
      <c r="M17" s="93">
        <f>IFERROR(L17*(1-G17)/G17, "")</f>
        <v>319.19999999999993</v>
      </c>
      <c r="N17" s="93">
        <f>BETAINV(p_lower,L17,M17)</f>
        <v>0.16226469167269494</v>
      </c>
      <c r="O17" s="93">
        <f>BETAINV(p_upper,L17,M17)</f>
        <v>0.24058312537264848</v>
      </c>
      <c r="P17" s="93">
        <f ca="1">IFERROR(BETAINV(RAND(),L17,M17),G17)</f>
        <v>0.20820974379688961</v>
      </c>
      <c r="Q17" s="25">
        <v>1</v>
      </c>
      <c r="R17" s="93">
        <f t="shared" ref="R17:R20" si="1">CHOOSE(Q17,G17,N17,O17,P17)</f>
        <v>0.2</v>
      </c>
      <c r="S17" s="129"/>
      <c r="T17" s="1"/>
      <c r="U17" s="1"/>
      <c r="V17" s="1"/>
      <c r="W17" s="1"/>
      <c r="X17" s="1"/>
      <c r="Y17" s="1"/>
      <c r="Z17" s="1"/>
      <c r="AA17" s="9"/>
    </row>
    <row r="18" spans="4:27" x14ac:dyDescent="0.25">
      <c r="D18" s="3"/>
      <c r="E18" s="1" t="s">
        <v>67</v>
      </c>
      <c r="F18" s="27" t="s">
        <v>37</v>
      </c>
      <c r="G18" s="88">
        <v>1</v>
      </c>
      <c r="H18" s="25">
        <f t="shared" si="0"/>
        <v>0.1</v>
      </c>
      <c r="I18" s="95" t="s">
        <v>27</v>
      </c>
      <c r="J18" s="95" t="s">
        <v>27</v>
      </c>
      <c r="K18" s="25" t="s">
        <v>16</v>
      </c>
      <c r="L18" s="91"/>
      <c r="M18" s="91"/>
      <c r="N18" s="91"/>
      <c r="O18" s="91"/>
      <c r="P18" s="91"/>
      <c r="Q18" s="25">
        <v>1</v>
      </c>
      <c r="R18" s="93">
        <f t="shared" si="1"/>
        <v>1</v>
      </c>
      <c r="S18" s="129"/>
      <c r="T18" s="1"/>
      <c r="U18" s="1"/>
      <c r="V18" s="1"/>
      <c r="W18" s="1"/>
      <c r="X18" s="1"/>
      <c r="Y18" s="1"/>
      <c r="Z18" s="1"/>
      <c r="AA18" s="9"/>
    </row>
    <row r="19" spans="4:27" x14ac:dyDescent="0.25">
      <c r="D19" s="3"/>
      <c r="E19" s="1" t="s">
        <v>68</v>
      </c>
      <c r="F19" s="27" t="s">
        <v>38</v>
      </c>
      <c r="G19" s="88">
        <v>0.7</v>
      </c>
      <c r="H19" s="25">
        <f t="shared" si="0"/>
        <v>6.9999999999999993E-2</v>
      </c>
      <c r="I19" s="95" t="s">
        <v>26</v>
      </c>
      <c r="J19" s="95" t="s">
        <v>26</v>
      </c>
      <c r="K19" s="25" t="s">
        <v>16</v>
      </c>
      <c r="L19" s="93">
        <f>IFERROR((G19*(G19*(1-G19)/(H19^2)-1)), "")</f>
        <v>29.300000000000004</v>
      </c>
      <c r="M19" s="93">
        <f>IFERROR(L19*(1-G19)/G19, "")</f>
        <v>12.557142857142862</v>
      </c>
      <c r="N19" s="93">
        <f>BETAINV(p_lower,L19,M19)</f>
        <v>0.55468963712076724</v>
      </c>
      <c r="O19" s="93">
        <f>BETAINV(p_upper,L19,M19)</f>
        <v>0.8272171487325426</v>
      </c>
      <c r="P19" s="93">
        <f ca="1">IFERROR(BETAINV(RAND(),L19,M19),G19)</f>
        <v>0.61130297027254099</v>
      </c>
      <c r="Q19" s="25">
        <v>4</v>
      </c>
      <c r="R19" s="93">
        <f t="shared" ca="1" si="1"/>
        <v>0.61130297027254099</v>
      </c>
      <c r="S19" s="129"/>
      <c r="T19" s="1"/>
      <c r="U19" s="1"/>
      <c r="V19" s="1"/>
      <c r="W19" s="1"/>
      <c r="X19" s="1"/>
      <c r="Y19" s="1"/>
      <c r="Z19" s="1"/>
      <c r="AA19" s="9"/>
    </row>
    <row r="20" spans="4:27" x14ac:dyDescent="0.25">
      <c r="D20" s="3"/>
      <c r="E20" s="1" t="s">
        <v>69</v>
      </c>
      <c r="F20" s="27" t="s">
        <v>39</v>
      </c>
      <c r="G20" s="88">
        <v>0.3</v>
      </c>
      <c r="H20" s="25">
        <f t="shared" si="0"/>
        <v>0.03</v>
      </c>
      <c r="I20" s="95" t="s">
        <v>27</v>
      </c>
      <c r="J20" s="95" t="s">
        <v>27</v>
      </c>
      <c r="K20" s="25" t="s">
        <v>16</v>
      </c>
      <c r="L20" s="93">
        <f>IFERROR((G20*(G20*(1-G20)/(H20^2)-1)), "")</f>
        <v>69.7</v>
      </c>
      <c r="M20" s="93">
        <f>IFERROR(L20*(1-G20)/G20, "")</f>
        <v>162.63333333333333</v>
      </c>
      <c r="N20" s="93">
        <f>BETAINV(p_lower,L20,M20)</f>
        <v>0.24290228065410446</v>
      </c>
      <c r="O20" s="93">
        <f>BETAINV(p_upper,L20,M20)</f>
        <v>0.36035906979520327</v>
      </c>
      <c r="P20" s="93">
        <f ca="1">IFERROR(BETAINV(RAND(),L20,M20),G20)</f>
        <v>0.30114016848785308</v>
      </c>
      <c r="Q20" s="25">
        <v>1</v>
      </c>
      <c r="R20" s="93">
        <f t="shared" si="1"/>
        <v>0.3</v>
      </c>
      <c r="S20" s="129"/>
      <c r="T20" s="1"/>
      <c r="U20" s="1"/>
      <c r="V20" s="1"/>
      <c r="W20" s="1"/>
      <c r="X20" s="1"/>
      <c r="Y20" s="1"/>
      <c r="Z20" s="1"/>
      <c r="AA20" s="9"/>
    </row>
    <row r="21" spans="4:27" x14ac:dyDescent="0.25">
      <c r="D21" s="3"/>
      <c r="E21" s="1" t="s">
        <v>70</v>
      </c>
      <c r="F21" s="27" t="s">
        <v>40</v>
      </c>
      <c r="G21" s="88">
        <v>1</v>
      </c>
      <c r="H21" s="25">
        <f t="shared" si="0"/>
        <v>0.1</v>
      </c>
      <c r="I21" s="95" t="s">
        <v>27</v>
      </c>
      <c r="J21" s="95" t="s">
        <v>27</v>
      </c>
      <c r="K21" s="25" t="s">
        <v>16</v>
      </c>
      <c r="L21" s="91"/>
      <c r="M21" s="91"/>
      <c r="N21" s="91"/>
      <c r="O21" s="91"/>
      <c r="P21" s="91"/>
      <c r="Q21" s="25">
        <v>1</v>
      </c>
      <c r="R21" s="93">
        <f>CHOOSE(Q21,G21,N21,O21,P21)</f>
        <v>1</v>
      </c>
      <c r="S21" s="129"/>
      <c r="T21" s="1"/>
      <c r="U21" s="1"/>
      <c r="V21" s="1"/>
      <c r="W21" s="1"/>
      <c r="X21" s="1"/>
      <c r="Y21" s="1"/>
      <c r="Z21" s="1"/>
      <c r="AA21" s="9"/>
    </row>
    <row r="22" spans="4:27" x14ac:dyDescent="0.25">
      <c r="D22" s="3"/>
      <c r="E22" s="20" t="s">
        <v>34</v>
      </c>
      <c r="F22" s="33"/>
      <c r="G22" s="26"/>
      <c r="H22" s="26"/>
      <c r="I22" s="89" t="s">
        <v>27</v>
      </c>
      <c r="J22" s="89" t="s">
        <v>27</v>
      </c>
      <c r="K22" s="26"/>
      <c r="L22" s="92"/>
      <c r="M22" s="92"/>
      <c r="N22" s="92"/>
      <c r="O22" s="92"/>
      <c r="P22" s="92"/>
      <c r="Q22" s="26"/>
      <c r="R22" s="92"/>
      <c r="S22" s="1"/>
      <c r="T22" s="1"/>
      <c r="U22" s="1"/>
      <c r="V22" s="1"/>
      <c r="W22" s="1"/>
      <c r="X22" s="1"/>
      <c r="Y22" s="1"/>
      <c r="Z22" s="1"/>
      <c r="AA22" s="9"/>
    </row>
    <row r="23" spans="4:27" x14ac:dyDescent="0.25">
      <c r="D23" s="3"/>
      <c r="E23" s="1" t="s">
        <v>71</v>
      </c>
      <c r="F23" s="27" t="s">
        <v>46</v>
      </c>
      <c r="G23" s="88">
        <v>200</v>
      </c>
      <c r="H23" s="25">
        <f>G23*p_se</f>
        <v>20</v>
      </c>
      <c r="I23" s="95" t="s">
        <v>26</v>
      </c>
      <c r="J23" s="95" t="s">
        <v>26</v>
      </c>
      <c r="K23" s="25" t="s">
        <v>45</v>
      </c>
      <c r="L23" s="93">
        <f>G23/M23</f>
        <v>100</v>
      </c>
      <c r="M23" s="93">
        <f>H23^2/G23</f>
        <v>2</v>
      </c>
      <c r="N23" s="93">
        <f>GAMMAINV(p_lower,L23,M23)</f>
        <v>162.72798250184627</v>
      </c>
      <c r="O23" s="93">
        <f>GAMMAINV(p_upper,L23,M23)</f>
        <v>241.0578955063109</v>
      </c>
      <c r="P23" s="93">
        <f ca="1">IFERROR(GAMMAINV(RAND(),L23,M23),G23)</f>
        <v>173.23493756632985</v>
      </c>
      <c r="Q23" s="25">
        <v>4</v>
      </c>
      <c r="R23" s="93">
        <f ca="1">CHOOSE(Q23,G23,N23,O23,P23)</f>
        <v>173.23493756632985</v>
      </c>
      <c r="S23" s="1"/>
      <c r="T23" s="1"/>
      <c r="U23" s="1"/>
      <c r="V23" s="1"/>
      <c r="W23" s="1"/>
      <c r="X23" s="1"/>
      <c r="Y23" s="1"/>
      <c r="Z23" s="1"/>
      <c r="AA23" s="9"/>
    </row>
    <row r="24" spans="4:27" x14ac:dyDescent="0.25">
      <c r="D24" s="3"/>
      <c r="E24" s="1" t="s">
        <v>72</v>
      </c>
      <c r="F24" s="27" t="s">
        <v>47</v>
      </c>
      <c r="G24" s="88">
        <v>800</v>
      </c>
      <c r="H24" s="25">
        <f>G24*p_se</f>
        <v>80</v>
      </c>
      <c r="I24" s="95" t="s">
        <v>26</v>
      </c>
      <c r="J24" s="95" t="s">
        <v>26</v>
      </c>
      <c r="K24" s="25" t="s">
        <v>45</v>
      </c>
      <c r="L24" s="93">
        <f>G24/M24</f>
        <v>100</v>
      </c>
      <c r="M24" s="93">
        <f>H24^2/G24</f>
        <v>8</v>
      </c>
      <c r="N24" s="93">
        <f>GAMMAINV(p_lower,L24,M24)</f>
        <v>650.91193000738508</v>
      </c>
      <c r="O24" s="93">
        <f>GAMMAINV(p_upper,L24,M24)</f>
        <v>964.2315820252436</v>
      </c>
      <c r="P24" s="93">
        <f t="shared" ref="P24:P26" ca="1" si="2">IFERROR(GAMMAINV(RAND(),L24,M24),G24)</f>
        <v>739.74159271858559</v>
      </c>
      <c r="Q24" s="25">
        <v>4</v>
      </c>
      <c r="R24" s="93">
        <f t="shared" ref="R24:R26" ca="1" si="3">CHOOSE(Q24,G24,N24,O24,P24)</f>
        <v>739.74159271858559</v>
      </c>
      <c r="S24" s="1"/>
      <c r="T24" s="1"/>
      <c r="U24" s="1"/>
      <c r="V24" s="1"/>
      <c r="W24" s="1"/>
      <c r="X24" s="1"/>
      <c r="Y24" s="1"/>
      <c r="Z24" s="1"/>
      <c r="AA24" s="9"/>
    </row>
    <row r="25" spans="4:27" x14ac:dyDescent="0.25">
      <c r="D25" s="3"/>
      <c r="E25" s="1" t="s">
        <v>41</v>
      </c>
      <c r="F25" s="27" t="s">
        <v>43</v>
      </c>
      <c r="G25" s="88">
        <v>600</v>
      </c>
      <c r="H25" s="25">
        <f>G25*p_se</f>
        <v>60</v>
      </c>
      <c r="I25" s="95" t="s">
        <v>26</v>
      </c>
      <c r="J25" s="95" t="s">
        <v>26</v>
      </c>
      <c r="K25" s="25" t="s">
        <v>45</v>
      </c>
      <c r="L25" s="93">
        <f>G25/M25</f>
        <v>100</v>
      </c>
      <c r="M25" s="93">
        <f>H25^2/G25</f>
        <v>6</v>
      </c>
      <c r="N25" s="93">
        <f>GAMMAINV(p_lower,L25,M25)</f>
        <v>488.18394750553881</v>
      </c>
      <c r="O25" s="93">
        <f>GAMMAINV(p_upper,L25,M25)</f>
        <v>723.17368651893275</v>
      </c>
      <c r="P25" s="93">
        <f t="shared" ca="1" si="2"/>
        <v>514.54769943284964</v>
      </c>
      <c r="Q25" s="25">
        <v>4</v>
      </c>
      <c r="R25" s="93">
        <f t="shared" ca="1" si="3"/>
        <v>514.54769943284964</v>
      </c>
      <c r="S25" s="1"/>
      <c r="T25" s="1"/>
      <c r="U25" s="1"/>
      <c r="V25" s="1"/>
      <c r="W25" s="1"/>
      <c r="X25" s="1"/>
      <c r="Y25" s="1"/>
      <c r="Z25" s="1"/>
      <c r="AA25" s="9"/>
    </row>
    <row r="26" spans="4:27" x14ac:dyDescent="0.25">
      <c r="D26" s="3"/>
      <c r="E26" s="1" t="s">
        <v>42</v>
      </c>
      <c r="F26" s="27" t="s">
        <v>44</v>
      </c>
      <c r="G26" s="88">
        <v>250</v>
      </c>
      <c r="H26" s="25">
        <f>G26*p_se</f>
        <v>25</v>
      </c>
      <c r="I26" s="95" t="s">
        <v>26</v>
      </c>
      <c r="J26" s="95" t="s">
        <v>26</v>
      </c>
      <c r="K26" s="25" t="s">
        <v>45</v>
      </c>
      <c r="L26" s="93">
        <f>G26/M26</f>
        <v>100</v>
      </c>
      <c r="M26" s="93">
        <f>H26^2/G26</f>
        <v>2.5</v>
      </c>
      <c r="N26" s="93">
        <f>GAMMAINV(p_lower,L26,M26)</f>
        <v>203.40997812730785</v>
      </c>
      <c r="O26" s="93">
        <f>GAMMAINV(p_upper,L26,M26)</f>
        <v>301.32236938288861</v>
      </c>
      <c r="P26" s="93">
        <f t="shared" ca="1" si="2"/>
        <v>293.3631339490056</v>
      </c>
      <c r="Q26" s="25">
        <v>4</v>
      </c>
      <c r="R26" s="93">
        <f t="shared" ca="1" si="3"/>
        <v>293.3631339490056</v>
      </c>
      <c r="S26" s="1"/>
      <c r="T26" s="1"/>
      <c r="U26" s="1"/>
      <c r="V26" s="1"/>
      <c r="W26" s="1"/>
      <c r="X26" s="1"/>
      <c r="Y26" s="1"/>
      <c r="Z26" s="1"/>
      <c r="AA26" s="9"/>
    </row>
    <row r="27" spans="4:27" x14ac:dyDescent="0.25">
      <c r="D27" s="3"/>
      <c r="E27" s="20" t="s">
        <v>48</v>
      </c>
      <c r="F27" s="33"/>
      <c r="G27" s="26"/>
      <c r="H27" s="26"/>
      <c r="I27" s="89" t="s">
        <v>27</v>
      </c>
      <c r="J27" s="89" t="s">
        <v>27</v>
      </c>
      <c r="K27" s="26"/>
      <c r="L27" s="92"/>
      <c r="M27" s="92"/>
      <c r="N27" s="92"/>
      <c r="O27" s="92"/>
      <c r="P27" s="92"/>
      <c r="Q27" s="26"/>
      <c r="R27" s="92"/>
      <c r="S27" s="1"/>
      <c r="T27" s="1"/>
      <c r="U27" s="1"/>
      <c r="V27" s="1"/>
      <c r="W27" s="1"/>
      <c r="X27" s="1"/>
      <c r="Y27" s="1"/>
      <c r="Z27" s="1"/>
      <c r="AA27" s="9"/>
    </row>
    <row r="28" spans="4:27" x14ac:dyDescent="0.25">
      <c r="D28" s="3"/>
      <c r="E28" s="1" t="s">
        <v>73</v>
      </c>
      <c r="F28" s="27" t="s">
        <v>49</v>
      </c>
      <c r="G28" s="88">
        <v>0.98</v>
      </c>
      <c r="H28" s="25">
        <f>G28*p_se</f>
        <v>9.8000000000000004E-2</v>
      </c>
      <c r="I28" s="95" t="s">
        <v>26</v>
      </c>
      <c r="J28" s="95" t="s">
        <v>26</v>
      </c>
      <c r="K28" s="25" t="s">
        <v>16</v>
      </c>
      <c r="L28" s="93">
        <f>IFERROR((G28*(G28*(1-G28)/(H28^2)-1)), "")</f>
        <v>1.0200000000000014</v>
      </c>
      <c r="M28" s="93">
        <f>IFERROR(L28*(1-G28)/G28, "")</f>
        <v>2.0816326530612293E-2</v>
      </c>
      <c r="N28" s="93">
        <f>BETAINV(p_lower,L28,M28)</f>
        <v>0.7112144755253601</v>
      </c>
      <c r="O28" s="93">
        <f>BETAINV(p_upper,L28,M28)</f>
        <v>1</v>
      </c>
      <c r="P28" s="93">
        <f ca="1">IFERROR(BETAINV(RAND(),L28,M28),G28)</f>
        <v>1</v>
      </c>
      <c r="Q28" s="25">
        <v>4</v>
      </c>
      <c r="R28" s="93">
        <f ca="1">CHOOSE(Q28,G28,N28,O28,P28)</f>
        <v>1</v>
      </c>
      <c r="S28" s="1"/>
      <c r="T28" s="1"/>
      <c r="U28" s="1"/>
      <c r="V28" s="1"/>
      <c r="W28" s="1"/>
      <c r="X28" s="1"/>
      <c r="Y28" s="1"/>
      <c r="Z28" s="1"/>
      <c r="AA28" s="9"/>
    </row>
    <row r="29" spans="4:27" x14ac:dyDescent="0.25">
      <c r="D29" s="3"/>
      <c r="E29" s="1" t="s">
        <v>74</v>
      </c>
      <c r="F29" s="27" t="s">
        <v>50</v>
      </c>
      <c r="G29" s="88">
        <v>0.56000000000000005</v>
      </c>
      <c r="H29" s="25">
        <f>G29*p_se</f>
        <v>5.6000000000000008E-2</v>
      </c>
      <c r="I29" s="95" t="s">
        <v>26</v>
      </c>
      <c r="J29" s="95" t="s">
        <v>26</v>
      </c>
      <c r="K29" s="25" t="s">
        <v>16</v>
      </c>
      <c r="L29" s="93">
        <f>IFERROR((G29*(G29*(1-G29)/(H29^2)-1)), "")</f>
        <v>43.439999999999991</v>
      </c>
      <c r="M29" s="93">
        <f>IFERROR(L29*(1-G29)/G29, "")</f>
        <v>34.131428571428557</v>
      </c>
      <c r="N29" s="93">
        <f>BETAINV(p_lower,L29,M29)</f>
        <v>0.44908935959673879</v>
      </c>
      <c r="O29" s="93">
        <f>BETAINV(p_upper,L29,M29)</f>
        <v>0.66797858638814511</v>
      </c>
      <c r="P29" s="93">
        <f ca="1">IFERROR(BETAINV(RAND(),L29,M29),G29)</f>
        <v>0.66189498034222105</v>
      </c>
      <c r="Q29" s="25">
        <v>4</v>
      </c>
      <c r="R29" s="93">
        <f ca="1">CHOOSE(Q29,G29,N29,O29,P29)</f>
        <v>0.66189498034222105</v>
      </c>
      <c r="S29" s="1"/>
      <c r="T29" s="1"/>
      <c r="U29" s="1"/>
      <c r="V29" s="1"/>
      <c r="W29" s="1"/>
      <c r="X29" s="1"/>
      <c r="Y29" s="1"/>
      <c r="Z29" s="1"/>
      <c r="AA29" s="9"/>
    </row>
    <row r="30" spans="4:27" x14ac:dyDescent="0.25">
      <c r="D30" s="3"/>
      <c r="E30" s="1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1"/>
      <c r="T30" s="1"/>
      <c r="U30" s="1"/>
      <c r="V30" s="1"/>
      <c r="W30" s="1"/>
      <c r="X30" s="1"/>
      <c r="Y30" s="1"/>
      <c r="Z30" s="1"/>
      <c r="AA30" s="9"/>
    </row>
    <row r="31" spans="4:27" x14ac:dyDescent="0.25">
      <c r="D31" s="3"/>
      <c r="E31" s="1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1" t="s">
        <v>116</v>
      </c>
      <c r="T31" s="1"/>
      <c r="U31" s="1"/>
      <c r="V31" s="1"/>
      <c r="W31" s="1"/>
      <c r="X31" s="1"/>
      <c r="Y31" s="1"/>
      <c r="Z31" s="1"/>
      <c r="AA31" s="9"/>
    </row>
    <row r="32" spans="4:27" x14ac:dyDescent="0.25">
      <c r="D32" s="3"/>
      <c r="E32" s="1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1"/>
      <c r="T32" s="1"/>
      <c r="U32" s="1"/>
      <c r="V32" s="1"/>
      <c r="W32" s="1"/>
      <c r="X32" s="1"/>
      <c r="Y32" s="1"/>
      <c r="Z32" s="1"/>
      <c r="AA32" s="9"/>
    </row>
    <row r="33" spans="4:27" x14ac:dyDescent="0.25">
      <c r="D33" s="3"/>
      <c r="E33" s="1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1"/>
      <c r="T33" s="1"/>
      <c r="U33" s="1"/>
      <c r="V33" s="1"/>
      <c r="W33" s="1"/>
      <c r="X33" s="1"/>
      <c r="Y33" s="1"/>
      <c r="Z33" s="1"/>
      <c r="AA33" s="9"/>
    </row>
    <row r="34" spans="4:27" x14ac:dyDescent="0.25">
      <c r="D34" s="3"/>
      <c r="E34" s="1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1"/>
      <c r="T34" s="1"/>
      <c r="U34" s="1"/>
      <c r="V34" s="1"/>
      <c r="W34" s="1"/>
      <c r="X34" s="1"/>
      <c r="Y34" s="1"/>
      <c r="Z34" s="1"/>
      <c r="AA34" s="9"/>
    </row>
    <row r="35" spans="4:27" x14ac:dyDescent="0.25">
      <c r="D35" s="3"/>
      <c r="E35" s="1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1"/>
      <c r="T35" s="1"/>
      <c r="U35" s="1"/>
      <c r="V35" s="1"/>
      <c r="W35" s="1"/>
      <c r="X35" s="1"/>
      <c r="Y35" s="1"/>
      <c r="Z35" s="1"/>
      <c r="AA35" s="9"/>
    </row>
    <row r="36" spans="4:27" x14ac:dyDescent="0.25">
      <c r="D36" s="3"/>
      <c r="E36" s="1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1"/>
      <c r="T36" s="1"/>
      <c r="U36" s="1"/>
      <c r="V36" s="1"/>
      <c r="W36" s="1"/>
      <c r="X36" s="1"/>
      <c r="Y36" s="1"/>
      <c r="Z36" s="1"/>
      <c r="AA36" s="9"/>
    </row>
    <row r="37" spans="4:27" x14ac:dyDescent="0.25">
      <c r="D37" s="3"/>
      <c r="E37" s="1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1"/>
      <c r="T37" s="1"/>
      <c r="U37" s="1"/>
      <c r="V37" s="1"/>
      <c r="W37" s="1"/>
      <c r="X37" s="1"/>
      <c r="Y37" s="1"/>
      <c r="Z37" s="1"/>
      <c r="AA37" s="9"/>
    </row>
    <row r="38" spans="4:27" x14ac:dyDescent="0.25">
      <c r="D38" s="3"/>
      <c r="E38" s="1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1"/>
      <c r="T38" s="1"/>
      <c r="U38" s="1"/>
      <c r="V38" s="1"/>
      <c r="W38" s="1"/>
      <c r="X38" s="1"/>
      <c r="Y38" s="1"/>
      <c r="Z38" s="1"/>
      <c r="AA38" s="9"/>
    </row>
    <row r="39" spans="4:27" x14ac:dyDescent="0.25">
      <c r="D39" s="3"/>
      <c r="E39" s="1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1"/>
      <c r="T39" s="1"/>
      <c r="U39" s="1"/>
      <c r="V39" s="1"/>
      <c r="W39" s="1"/>
      <c r="X39" s="1"/>
      <c r="Y39" s="1"/>
      <c r="Z39" s="1"/>
      <c r="AA39" s="9"/>
    </row>
    <row r="40" spans="4:27" x14ac:dyDescent="0.25">
      <c r="D40" s="3"/>
      <c r="E40" s="1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1"/>
      <c r="T40" s="1"/>
      <c r="U40" s="1"/>
      <c r="V40" s="1"/>
      <c r="W40" s="1"/>
      <c r="X40" s="1"/>
      <c r="Y40" s="1"/>
      <c r="Z40" s="1"/>
      <c r="AA40" s="9"/>
    </row>
    <row r="41" spans="4:27" x14ac:dyDescent="0.25">
      <c r="D41" s="3"/>
      <c r="E41" s="1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1"/>
      <c r="T41" s="1"/>
      <c r="U41" s="1"/>
      <c r="V41" s="1"/>
      <c r="W41" s="1"/>
      <c r="X41" s="1"/>
      <c r="Y41" s="1"/>
      <c r="Z41" s="1"/>
      <c r="AA41" s="9"/>
    </row>
    <row r="42" spans="4:27" x14ac:dyDescent="0.25">
      <c r="D42" s="3"/>
      <c r="E42" s="1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1"/>
      <c r="T42" s="1"/>
      <c r="U42" s="1"/>
      <c r="V42" s="1"/>
      <c r="W42" s="1"/>
      <c r="X42" s="1"/>
      <c r="Y42" s="1"/>
      <c r="Z42" s="1"/>
      <c r="AA42" s="9"/>
    </row>
    <row r="43" spans="4:27" x14ac:dyDescent="0.25">
      <c r="D43" s="3"/>
      <c r="E43" s="1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1"/>
      <c r="T43" s="1"/>
      <c r="U43" s="1"/>
      <c r="V43" s="1"/>
      <c r="W43" s="1"/>
      <c r="X43" s="1"/>
      <c r="Y43" s="1"/>
      <c r="Z43" s="1"/>
      <c r="AA43" s="9"/>
    </row>
    <row r="44" spans="4:27" x14ac:dyDescent="0.25">
      <c r="D44" s="3"/>
      <c r="E44" s="1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1"/>
      <c r="T44" s="1"/>
      <c r="U44" s="1"/>
      <c r="V44" s="1"/>
      <c r="W44" s="1"/>
      <c r="X44" s="1"/>
      <c r="Y44" s="1"/>
      <c r="Z44" s="1"/>
      <c r="AA44" s="9"/>
    </row>
    <row r="45" spans="4:27" x14ac:dyDescent="0.25">
      <c r="D45" s="3"/>
      <c r="E45" s="1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1"/>
      <c r="T45" s="1"/>
      <c r="U45" s="1"/>
      <c r="V45" s="1"/>
      <c r="W45" s="1"/>
      <c r="X45" s="1"/>
      <c r="Y45" s="1"/>
      <c r="Z45" s="1"/>
      <c r="AA45" s="9"/>
    </row>
    <row r="46" spans="4:27" x14ac:dyDescent="0.25">
      <c r="D46" s="3"/>
      <c r="E46" s="1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1"/>
      <c r="T46" s="1"/>
      <c r="U46" s="1"/>
      <c r="V46" s="1"/>
      <c r="W46" s="1"/>
      <c r="X46" s="1"/>
      <c r="Y46" s="1"/>
      <c r="Z46" s="1"/>
      <c r="AA46" s="9"/>
    </row>
    <row r="47" spans="4:27" x14ac:dyDescent="0.25">
      <c r="D47" s="3"/>
      <c r="E47" s="1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1"/>
      <c r="T47" s="1"/>
      <c r="U47" s="1"/>
      <c r="V47" s="1"/>
      <c r="W47" s="1"/>
      <c r="X47" s="1"/>
      <c r="Y47" s="1"/>
      <c r="Z47" s="1"/>
      <c r="AA47" s="9"/>
    </row>
    <row r="48" spans="4:27" x14ac:dyDescent="0.25">
      <c r="D48" s="3"/>
      <c r="E48" s="1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1"/>
      <c r="T48" s="1"/>
      <c r="U48" s="1"/>
      <c r="V48" s="1"/>
      <c r="W48" s="1"/>
      <c r="X48" s="1"/>
      <c r="Y48" s="1"/>
      <c r="Z48" s="1"/>
      <c r="AA48" s="9"/>
    </row>
    <row r="49" spans="4:27" x14ac:dyDescent="0.25">
      <c r="D49" s="3"/>
      <c r="E49" s="1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1"/>
      <c r="T49" s="1"/>
      <c r="U49" s="1"/>
      <c r="V49" s="1"/>
      <c r="W49" s="1"/>
      <c r="X49" s="1"/>
      <c r="Y49" s="1"/>
      <c r="Z49" s="1"/>
      <c r="AA49" s="9"/>
    </row>
    <row r="50" spans="4:27" x14ac:dyDescent="0.25">
      <c r="D50" s="3"/>
      <c r="E50" s="1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1"/>
      <c r="T50" s="1"/>
      <c r="U50" s="1"/>
      <c r="V50" s="1"/>
      <c r="W50" s="1"/>
      <c r="X50" s="1"/>
      <c r="Y50" s="1"/>
      <c r="Z50" s="1"/>
      <c r="AA50" s="9"/>
    </row>
    <row r="51" spans="4:27" x14ac:dyDescent="0.25">
      <c r="D51" s="3"/>
      <c r="E51" s="1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1"/>
      <c r="T51" s="1"/>
      <c r="U51" s="1"/>
      <c r="V51" s="1"/>
      <c r="W51" s="1"/>
      <c r="X51" s="1"/>
      <c r="Y51" s="1"/>
      <c r="Z51" s="1"/>
      <c r="AA51" s="9"/>
    </row>
    <row r="52" spans="4:27" x14ac:dyDescent="0.25">
      <c r="D52" s="3"/>
      <c r="E52" s="1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1"/>
      <c r="T52" s="1"/>
      <c r="U52" s="1"/>
      <c r="V52" s="1"/>
      <c r="W52" s="1"/>
      <c r="X52" s="1"/>
      <c r="Y52" s="1"/>
      <c r="Z52" s="1"/>
      <c r="AA52" s="9"/>
    </row>
    <row r="53" spans="4:27" x14ac:dyDescent="0.25">
      <c r="D53" s="3"/>
      <c r="E53" s="1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1"/>
      <c r="T53" s="1"/>
      <c r="U53" s="1"/>
      <c r="V53" s="1"/>
      <c r="W53" s="1"/>
      <c r="X53" s="1"/>
      <c r="Y53" s="1"/>
      <c r="Z53" s="1"/>
      <c r="AA53" s="9"/>
    </row>
    <row r="54" spans="4:27" x14ac:dyDescent="0.25">
      <c r="D54" s="3"/>
      <c r="E54" s="1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1"/>
      <c r="T54" s="1"/>
      <c r="U54" s="1"/>
      <c r="V54" s="1"/>
      <c r="W54" s="1"/>
      <c r="X54" s="1"/>
      <c r="Y54" s="1"/>
      <c r="Z54" s="1"/>
      <c r="AA54" s="9"/>
    </row>
    <row r="55" spans="4:27" x14ac:dyDescent="0.25">
      <c r="D55" s="3"/>
      <c r="E55" s="1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1"/>
      <c r="T55" s="1"/>
      <c r="U55" s="1"/>
      <c r="V55" s="1"/>
      <c r="W55" s="1"/>
      <c r="X55" s="1"/>
      <c r="Y55" s="1"/>
      <c r="Z55" s="1"/>
      <c r="AA55" s="9"/>
    </row>
    <row r="56" spans="4:27" x14ac:dyDescent="0.25">
      <c r="D56" s="3"/>
      <c r="E56" s="1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1"/>
      <c r="T56" s="1"/>
      <c r="U56" s="1"/>
      <c r="V56" s="1"/>
      <c r="W56" s="1"/>
      <c r="X56" s="1"/>
      <c r="Y56" s="1"/>
      <c r="Z56" s="1"/>
      <c r="AA56" s="9"/>
    </row>
    <row r="57" spans="4:27" x14ac:dyDescent="0.25">
      <c r="D57" s="3"/>
      <c r="E57" s="1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1"/>
      <c r="T57" s="1"/>
      <c r="U57" s="1"/>
      <c r="V57" s="1"/>
      <c r="W57" s="1"/>
      <c r="X57" s="1"/>
      <c r="Y57" s="1"/>
      <c r="Z57" s="1"/>
      <c r="AA57" s="9"/>
    </row>
    <row r="58" spans="4:27" x14ac:dyDescent="0.25">
      <c r="D58" s="3"/>
      <c r="E58" s="1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1"/>
      <c r="T58" s="1"/>
      <c r="U58" s="1"/>
      <c r="V58" s="1"/>
      <c r="W58" s="1"/>
      <c r="X58" s="1"/>
      <c r="Y58" s="1"/>
      <c r="Z58" s="1"/>
      <c r="AA58" s="9"/>
    </row>
    <row r="59" spans="4:27" x14ac:dyDescent="0.25">
      <c r="D59" s="3"/>
      <c r="E59" s="1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1"/>
      <c r="T59" s="1"/>
      <c r="U59" s="1"/>
      <c r="V59" s="1"/>
      <c r="W59" s="1"/>
      <c r="X59" s="1"/>
      <c r="Y59" s="1"/>
      <c r="Z59" s="1"/>
      <c r="AA59" s="9"/>
    </row>
    <row r="60" spans="4:27" x14ac:dyDescent="0.25">
      <c r="D60" s="3"/>
      <c r="E60" s="1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1"/>
      <c r="T60" s="1"/>
      <c r="U60" s="1"/>
      <c r="V60" s="1"/>
      <c r="W60" s="1"/>
      <c r="X60" s="1"/>
      <c r="Y60" s="1"/>
      <c r="Z60" s="1"/>
      <c r="AA60" s="9"/>
    </row>
    <row r="61" spans="4:27" x14ac:dyDescent="0.25">
      <c r="D61" s="3"/>
      <c r="E61" s="1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1"/>
      <c r="T61" s="1"/>
      <c r="U61" s="1"/>
      <c r="V61" s="1"/>
      <c r="W61" s="1"/>
      <c r="X61" s="1"/>
      <c r="Y61" s="1"/>
      <c r="Z61" s="1"/>
      <c r="AA61" s="9"/>
    </row>
    <row r="62" spans="4:27" x14ac:dyDescent="0.25">
      <c r="D62" s="3"/>
      <c r="E62" s="1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1"/>
      <c r="T62" s="1"/>
      <c r="U62" s="1"/>
      <c r="V62" s="1"/>
      <c r="W62" s="1"/>
      <c r="X62" s="1"/>
      <c r="Y62" s="1"/>
      <c r="Z62" s="1"/>
      <c r="AA62" s="9"/>
    </row>
    <row r="63" spans="4:27" x14ac:dyDescent="0.25">
      <c r="D63" s="3"/>
      <c r="E63" s="1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1"/>
      <c r="T63" s="1"/>
      <c r="U63" s="1"/>
      <c r="V63" s="1"/>
      <c r="W63" s="1"/>
      <c r="X63" s="1"/>
      <c r="Y63" s="1"/>
      <c r="Z63" s="1"/>
      <c r="AA63" s="9"/>
    </row>
    <row r="64" spans="4:27" x14ac:dyDescent="0.25">
      <c r="D64" s="3"/>
      <c r="E64" s="1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1"/>
      <c r="T64" s="1"/>
      <c r="U64" s="1"/>
      <c r="V64" s="1"/>
      <c r="W64" s="1"/>
      <c r="X64" s="1"/>
      <c r="Y64" s="1"/>
      <c r="Z64" s="1"/>
      <c r="AA64" s="9"/>
    </row>
    <row r="65" spans="4:27" x14ac:dyDescent="0.25">
      <c r="D65" s="3"/>
      <c r="E65" s="1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1"/>
      <c r="T65" s="1"/>
      <c r="U65" s="1"/>
      <c r="V65" s="1"/>
      <c r="W65" s="1"/>
      <c r="X65" s="1"/>
      <c r="Y65" s="1"/>
      <c r="Z65" s="1"/>
      <c r="AA65" s="9"/>
    </row>
    <row r="66" spans="4:27" x14ac:dyDescent="0.25">
      <c r="D66" s="3"/>
      <c r="E66" s="1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1"/>
      <c r="T66" s="1"/>
      <c r="U66" s="1"/>
      <c r="V66" s="1"/>
      <c r="W66" s="1"/>
      <c r="X66" s="1"/>
      <c r="Y66" s="1"/>
      <c r="Z66" s="1"/>
      <c r="AA66" s="9"/>
    </row>
    <row r="67" spans="4:27" x14ac:dyDescent="0.25">
      <c r="D67" s="3"/>
      <c r="E67" s="1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1"/>
      <c r="T67" s="1"/>
      <c r="U67" s="1"/>
      <c r="V67" s="1"/>
      <c r="W67" s="1"/>
      <c r="X67" s="1"/>
      <c r="Y67" s="1"/>
      <c r="Z67" s="1"/>
      <c r="AA67" s="9"/>
    </row>
    <row r="68" spans="4:27" x14ac:dyDescent="0.25">
      <c r="D68" s="3"/>
      <c r="E68" s="1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1"/>
      <c r="T68" s="1"/>
      <c r="U68" s="1"/>
      <c r="V68" s="1"/>
      <c r="W68" s="1"/>
      <c r="X68" s="1"/>
      <c r="Y68" s="1"/>
      <c r="Z68" s="1"/>
      <c r="AA68" s="9"/>
    </row>
    <row r="69" spans="4:27" x14ac:dyDescent="0.25">
      <c r="D69" s="3"/>
      <c r="E69" s="1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1"/>
      <c r="T69" s="1"/>
      <c r="U69" s="1"/>
      <c r="V69" s="1"/>
      <c r="W69" s="1"/>
      <c r="X69" s="1"/>
      <c r="Y69" s="1"/>
      <c r="Z69" s="1"/>
      <c r="AA69" s="9"/>
    </row>
    <row r="70" spans="4:27" x14ac:dyDescent="0.25">
      <c r="D70" s="3"/>
      <c r="E70" s="1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1"/>
      <c r="T70" s="1"/>
      <c r="U70" s="1"/>
      <c r="V70" s="1"/>
      <c r="W70" s="1"/>
      <c r="X70" s="1"/>
      <c r="Y70" s="1"/>
      <c r="Z70" s="1"/>
      <c r="AA70" s="9"/>
    </row>
    <row r="71" spans="4:27" x14ac:dyDescent="0.25">
      <c r="D71" s="3"/>
      <c r="E71" s="1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1"/>
      <c r="T71" s="1"/>
      <c r="U71" s="1"/>
      <c r="V71" s="1"/>
      <c r="W71" s="1"/>
      <c r="X71" s="1"/>
      <c r="Y71" s="1"/>
      <c r="Z71" s="1"/>
      <c r="AA71" s="9"/>
    </row>
    <row r="72" spans="4:27" x14ac:dyDescent="0.25">
      <c r="D72" s="3"/>
      <c r="E72" s="1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1"/>
      <c r="T72" s="1"/>
      <c r="U72" s="1"/>
      <c r="V72" s="1"/>
      <c r="W72" s="1"/>
      <c r="X72" s="1"/>
      <c r="Y72" s="1"/>
      <c r="Z72" s="1"/>
      <c r="AA72" s="9"/>
    </row>
    <row r="73" spans="4:27" x14ac:dyDescent="0.25">
      <c r="D73" s="3"/>
      <c r="E73" s="1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1"/>
      <c r="T73" s="1"/>
      <c r="U73" s="1"/>
      <c r="V73" s="1"/>
      <c r="W73" s="1"/>
      <c r="X73" s="1"/>
      <c r="Y73" s="1"/>
      <c r="Z73" s="1"/>
      <c r="AA73" s="9"/>
    </row>
    <row r="74" spans="4:27" x14ac:dyDescent="0.25">
      <c r="D74" s="3"/>
      <c r="E74" s="1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1"/>
      <c r="T74" s="1"/>
      <c r="U74" s="1"/>
      <c r="V74" s="1"/>
      <c r="W74" s="1"/>
      <c r="X74" s="1"/>
      <c r="Y74" s="1"/>
      <c r="Z74" s="1"/>
      <c r="AA74" s="9"/>
    </row>
    <row r="75" spans="4:27" x14ac:dyDescent="0.25">
      <c r="D75" s="3"/>
      <c r="E75" s="1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1"/>
      <c r="T75" s="1"/>
      <c r="U75" s="1"/>
      <c r="V75" s="1"/>
      <c r="W75" s="1"/>
      <c r="X75" s="1"/>
      <c r="Y75" s="1"/>
      <c r="Z75" s="1"/>
      <c r="AA75" s="9"/>
    </row>
    <row r="76" spans="4:27" x14ac:dyDescent="0.25">
      <c r="D76" s="3"/>
      <c r="E76" s="1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1"/>
      <c r="T76" s="1"/>
      <c r="U76" s="1"/>
      <c r="V76" s="1"/>
      <c r="W76" s="1"/>
      <c r="X76" s="1"/>
      <c r="Y76" s="1"/>
      <c r="Z76" s="1"/>
      <c r="AA76" s="9"/>
    </row>
    <row r="77" spans="4:27" x14ac:dyDescent="0.25">
      <c r="D77" s="3"/>
      <c r="E77" s="1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1"/>
      <c r="T77" s="1"/>
      <c r="U77" s="1"/>
      <c r="V77" s="1"/>
      <c r="W77" s="1"/>
      <c r="X77" s="1"/>
      <c r="Y77" s="1"/>
      <c r="Z77" s="1"/>
      <c r="AA77" s="9"/>
    </row>
    <row r="78" spans="4:27" x14ac:dyDescent="0.25">
      <c r="D78" s="3"/>
      <c r="E78" s="1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1"/>
      <c r="T78" s="1"/>
      <c r="U78" s="1"/>
      <c r="V78" s="1"/>
      <c r="W78" s="1"/>
      <c r="X78" s="1"/>
      <c r="Y78" s="1"/>
      <c r="Z78" s="1"/>
      <c r="AA78" s="9"/>
    </row>
    <row r="79" spans="4:27" x14ac:dyDescent="0.25">
      <c r="D79" s="3"/>
      <c r="E79" s="1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1"/>
      <c r="T79" s="1"/>
      <c r="U79" s="1"/>
      <c r="V79" s="1"/>
      <c r="W79" s="1"/>
      <c r="X79" s="1"/>
      <c r="Y79" s="1"/>
      <c r="Z79" s="1"/>
      <c r="AA79" s="9"/>
    </row>
    <row r="80" spans="4:27" x14ac:dyDescent="0.25">
      <c r="D80" s="3"/>
      <c r="E80" s="1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1"/>
      <c r="T80" s="1"/>
      <c r="U80" s="1"/>
      <c r="V80" s="1"/>
      <c r="W80" s="1"/>
      <c r="X80" s="1"/>
      <c r="Y80" s="1"/>
      <c r="Z80" s="1"/>
      <c r="AA80" s="9"/>
    </row>
    <row r="81" spans="4:27" x14ac:dyDescent="0.25">
      <c r="D81" s="3"/>
      <c r="E81" s="1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1"/>
      <c r="T81" s="1"/>
      <c r="U81" s="1"/>
      <c r="V81" s="1"/>
      <c r="W81" s="1"/>
      <c r="X81" s="1"/>
      <c r="Y81" s="1"/>
      <c r="Z81" s="1"/>
      <c r="AA81" s="9"/>
    </row>
    <row r="82" spans="4:27" x14ac:dyDescent="0.25">
      <c r="D82" s="3"/>
      <c r="E82" s="1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1"/>
      <c r="T82" s="1"/>
      <c r="U82" s="1"/>
      <c r="V82" s="1"/>
      <c r="W82" s="1"/>
      <c r="X82" s="1"/>
      <c r="Y82" s="1"/>
      <c r="Z82" s="1"/>
      <c r="AA82" s="9"/>
    </row>
    <row r="83" spans="4:27" x14ac:dyDescent="0.25">
      <c r="D83" s="3"/>
      <c r="E83" s="1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1"/>
      <c r="T83" s="1"/>
      <c r="U83" s="1"/>
      <c r="V83" s="1"/>
      <c r="W83" s="1"/>
      <c r="X83" s="1"/>
      <c r="Y83" s="1"/>
      <c r="Z83" s="1"/>
      <c r="AA83" s="9"/>
    </row>
    <row r="84" spans="4:27" x14ac:dyDescent="0.25">
      <c r="D84" s="6"/>
      <c r="E84" s="7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7"/>
      <c r="T84" s="7"/>
      <c r="U84" s="7"/>
      <c r="V84" s="7"/>
      <c r="W84" s="7"/>
      <c r="X84" s="7"/>
      <c r="Y84" s="7"/>
      <c r="Z84" s="7"/>
      <c r="AA84" s="10"/>
    </row>
  </sheetData>
  <mergeCells count="1">
    <mergeCell ref="S16:S21"/>
  </mergeCells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5C884F9-CC43-41FF-A934-766E5CD0A55E}">
          <x14:formula1>
            <xm:f>List!$D$3:$D$4</xm:f>
          </x14:formula1>
          <xm:sqref>I16:J29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8A852-8BF4-41B6-B970-D1922ACFD553}">
  <sheetPr codeName="Sheet5">
    <tabColor theme="2" tint="-9.9978637043366805E-2"/>
  </sheetPr>
  <dimension ref="B1:MB80"/>
  <sheetViews>
    <sheetView showGridLines="0" topLeftCell="B1" zoomScaleNormal="100" workbookViewId="0">
      <selection activeCell="E37" sqref="E37"/>
    </sheetView>
  </sheetViews>
  <sheetFormatPr defaultRowHeight="15" x14ac:dyDescent="0.25"/>
  <cols>
    <col min="1" max="1" width="0" hidden="1" customWidth="1"/>
    <col min="2" max="4" width="9.140625" style="2"/>
    <col min="5" max="5" width="11" style="39" bestFit="1" customWidth="1"/>
    <col min="6" max="6" width="12" style="39" customWidth="1"/>
    <col min="7" max="8" width="17.85546875" style="39" customWidth="1"/>
    <col min="9" max="9" width="18.85546875" style="39" bestFit="1" customWidth="1"/>
    <col min="10" max="10" width="23.5703125" style="39" customWidth="1"/>
    <col min="11" max="11" width="21.140625" style="45" customWidth="1"/>
    <col min="12" max="12" width="9.140625" style="39"/>
    <col min="13" max="13" width="18.85546875" style="39" bestFit="1" customWidth="1"/>
    <col min="14" max="14" width="25.28515625" style="39" bestFit="1" customWidth="1"/>
    <col min="15" max="15" width="21.140625" style="45" customWidth="1"/>
    <col min="16" max="23" width="9.140625" style="39"/>
    <col min="24" max="340" width="9.140625" style="2"/>
  </cols>
  <sheetData>
    <row r="1" spans="4:25" s="1" customFormat="1" x14ac:dyDescent="0.25">
      <c r="E1" s="25"/>
      <c r="F1" s="25"/>
      <c r="G1" s="25"/>
      <c r="H1" s="25"/>
      <c r="I1" s="25"/>
      <c r="J1" s="25"/>
      <c r="K1" s="41"/>
      <c r="L1" s="25"/>
      <c r="M1" s="25"/>
      <c r="N1" s="25"/>
      <c r="O1" s="41"/>
      <c r="P1" s="25"/>
      <c r="Q1" s="25"/>
      <c r="R1" s="25"/>
      <c r="S1" s="25"/>
      <c r="T1" s="25"/>
      <c r="U1" s="25"/>
      <c r="V1" s="25"/>
      <c r="W1" s="25"/>
    </row>
    <row r="2" spans="4:25" s="1" customFormat="1" ht="26.25" x14ac:dyDescent="0.25">
      <c r="E2" s="25"/>
      <c r="F2" s="25"/>
      <c r="G2" s="25"/>
      <c r="H2" s="60" t="s">
        <v>0</v>
      </c>
      <c r="I2" s="25"/>
      <c r="J2" s="25"/>
      <c r="K2" s="41"/>
      <c r="L2" s="25"/>
      <c r="M2" s="25"/>
      <c r="N2" s="25"/>
      <c r="O2" s="41"/>
      <c r="P2" s="25"/>
      <c r="Q2" s="25"/>
      <c r="R2" s="25"/>
      <c r="S2" s="25"/>
      <c r="T2" s="25"/>
      <c r="U2" s="25"/>
      <c r="V2" s="25"/>
      <c r="W2" s="25"/>
    </row>
    <row r="3" spans="4:25" s="1" customFormat="1" x14ac:dyDescent="0.25">
      <c r="E3" s="25"/>
      <c r="F3" s="25"/>
      <c r="G3" s="25"/>
      <c r="H3" s="25"/>
      <c r="I3" s="25"/>
      <c r="J3" s="25"/>
      <c r="K3" s="41"/>
      <c r="L3" s="25"/>
      <c r="M3" s="25"/>
      <c r="N3" s="25"/>
      <c r="O3" s="41"/>
      <c r="P3" s="25"/>
      <c r="Q3" s="25"/>
      <c r="R3" s="25"/>
      <c r="S3" s="25"/>
      <c r="T3" s="25"/>
      <c r="U3" s="25"/>
      <c r="V3" s="25"/>
      <c r="W3" s="25"/>
    </row>
    <row r="4" spans="4:25" s="11" customFormat="1" ht="4.5" customHeight="1" x14ac:dyDescent="0.25">
      <c r="E4" s="35"/>
      <c r="F4" s="35"/>
      <c r="G4" s="35"/>
      <c r="H4" s="35"/>
      <c r="I4" s="35"/>
      <c r="J4" s="35"/>
      <c r="K4" s="42"/>
      <c r="L4" s="35"/>
      <c r="M4" s="35"/>
      <c r="N4" s="35"/>
      <c r="O4" s="42"/>
      <c r="P4" s="35"/>
      <c r="Q4" s="35"/>
      <c r="R4" s="35"/>
      <c r="S4" s="35"/>
      <c r="T4" s="35"/>
      <c r="U4" s="35"/>
      <c r="V4" s="35"/>
      <c r="W4" s="35"/>
    </row>
    <row r="5" spans="4:25" s="12" customFormat="1" ht="4.5" customHeight="1" x14ac:dyDescent="0.25">
      <c r="E5" s="36"/>
      <c r="F5" s="36"/>
      <c r="G5" s="36"/>
      <c r="H5" s="36"/>
      <c r="I5" s="36"/>
      <c r="J5" s="36"/>
      <c r="K5" s="43"/>
      <c r="L5" s="36"/>
      <c r="M5" s="36"/>
      <c r="N5" s="36"/>
      <c r="O5" s="43"/>
      <c r="P5" s="36"/>
      <c r="Q5" s="36"/>
      <c r="R5" s="36"/>
      <c r="S5" s="36"/>
      <c r="T5" s="36"/>
      <c r="U5" s="36"/>
      <c r="V5" s="36"/>
      <c r="W5" s="36"/>
    </row>
    <row r="8" spans="4:25" x14ac:dyDescent="0.25">
      <c r="D8" s="4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5"/>
      <c r="Y8" s="8"/>
    </row>
    <row r="9" spans="4:25" x14ac:dyDescent="0.25">
      <c r="D9" s="3"/>
      <c r="E9" s="38" t="s">
        <v>80</v>
      </c>
      <c r="F9" s="38"/>
      <c r="G9" s="38"/>
      <c r="H9" s="38"/>
      <c r="I9" s="96">
        <f ca="1">SUM(I12:I22)</f>
        <v>2270.7007205268969</v>
      </c>
      <c r="J9" s="96">
        <f ca="1">SUM(J12:J22)</f>
        <v>5415.1891503380748</v>
      </c>
      <c r="K9" s="96">
        <f ca="1">SUM(K12:K22)</f>
        <v>8.5742900228481211</v>
      </c>
      <c r="L9" s="25"/>
      <c r="M9" s="96">
        <f ca="1">SUM(M12:M22)</f>
        <v>2139.4704464510387</v>
      </c>
      <c r="N9" s="96">
        <f ca="1">SUM(N12:N22)</f>
        <v>4694.0172624752477</v>
      </c>
      <c r="O9" s="96">
        <f ca="1">SUM(O12:O22)</f>
        <v>7.7135028878450171</v>
      </c>
      <c r="P9" s="25"/>
      <c r="Q9" s="25"/>
      <c r="R9" s="25"/>
      <c r="S9" s="25"/>
      <c r="T9" s="25"/>
      <c r="U9" s="25"/>
      <c r="V9" s="25"/>
      <c r="W9" s="25"/>
      <c r="X9" s="1"/>
      <c r="Y9" s="9"/>
    </row>
    <row r="10" spans="4:25" ht="45" customHeight="1" x14ac:dyDescent="0.25">
      <c r="D10" s="3"/>
      <c r="E10" s="38"/>
      <c r="F10" s="132" t="s">
        <v>77</v>
      </c>
      <c r="G10" s="130" t="s">
        <v>59</v>
      </c>
      <c r="H10" s="131"/>
      <c r="I10" s="130" t="s">
        <v>76</v>
      </c>
      <c r="J10" s="131"/>
      <c r="K10" s="46" t="s">
        <v>79</v>
      </c>
      <c r="L10" s="25"/>
      <c r="M10" s="130" t="s">
        <v>92</v>
      </c>
      <c r="N10" s="131"/>
      <c r="O10" s="46" t="s">
        <v>78</v>
      </c>
      <c r="P10" s="25"/>
      <c r="Q10" s="25"/>
      <c r="R10" s="25"/>
      <c r="S10" s="25"/>
      <c r="T10" s="25"/>
      <c r="U10" s="25"/>
      <c r="V10" s="25"/>
      <c r="W10" s="25"/>
      <c r="X10" s="1"/>
      <c r="Y10" s="9"/>
    </row>
    <row r="11" spans="4:25" x14ac:dyDescent="0.25">
      <c r="D11" s="3"/>
      <c r="E11" s="38" t="s">
        <v>51</v>
      </c>
      <c r="F11" s="133"/>
      <c r="G11" s="38" t="s">
        <v>88</v>
      </c>
      <c r="H11" s="38" t="s">
        <v>89</v>
      </c>
      <c r="I11" s="38" t="s">
        <v>60</v>
      </c>
      <c r="J11" s="38" t="s">
        <v>61</v>
      </c>
      <c r="K11" s="46"/>
      <c r="L11" s="25"/>
      <c r="M11" s="38" t="s">
        <v>60</v>
      </c>
      <c r="N11" s="38" t="s">
        <v>61</v>
      </c>
      <c r="O11" s="46"/>
      <c r="P11" s="25"/>
      <c r="Q11" s="25"/>
      <c r="R11" s="25"/>
      <c r="S11" s="25"/>
      <c r="T11" s="25"/>
      <c r="U11" s="25"/>
      <c r="V11" s="25"/>
      <c r="W11" s="25"/>
      <c r="X11" s="1"/>
      <c r="Y11" s="9"/>
    </row>
    <row r="12" spans="4:25" x14ac:dyDescent="0.25">
      <c r="D12" s="3"/>
      <c r="E12" s="76">
        <v>0</v>
      </c>
      <c r="F12" s="88">
        <v>1</v>
      </c>
      <c r="G12" s="97">
        <v>1</v>
      </c>
      <c r="H12" s="97">
        <v>0</v>
      </c>
      <c r="I12" s="97">
        <f ca="1">G12*p_c_A</f>
        <v>514.54769943284964</v>
      </c>
      <c r="J12" s="97">
        <f ca="1">G12*p_c_h+H12*p_c_s</f>
        <v>173.23493756632985</v>
      </c>
      <c r="K12" s="98">
        <f ca="1">G12*p_u_h+H12*p_u_s</f>
        <v>1</v>
      </c>
      <c r="L12" s="25"/>
      <c r="M12" s="102">
        <f ca="1">I12</f>
        <v>514.54769943284964</v>
      </c>
      <c r="N12" s="97">
        <f ca="1">J12</f>
        <v>173.23493756632985</v>
      </c>
      <c r="O12" s="98">
        <f ca="1">K12</f>
        <v>1</v>
      </c>
      <c r="P12" s="25"/>
      <c r="Q12" s="25"/>
      <c r="R12" s="25"/>
      <c r="S12" s="25"/>
      <c r="T12" s="25"/>
      <c r="U12" s="25"/>
      <c r="V12" s="25"/>
      <c r="W12" s="25"/>
      <c r="X12" s="1"/>
      <c r="Y12" s="9"/>
    </row>
    <row r="13" spans="4:25" x14ac:dyDescent="0.25">
      <c r="D13" s="3"/>
      <c r="E13" s="76">
        <v>1</v>
      </c>
      <c r="F13" s="88">
        <v>1</v>
      </c>
      <c r="G13" s="97">
        <f t="shared" ref="G13:G22" ca="1" si="0">F13*G12*p_hh_A</f>
        <v>0.79045423397478687</v>
      </c>
      <c r="H13" s="97">
        <f t="shared" ref="H13:H22" si="1">F13*(G12*p_hs_A+H12*p_ss_A)</f>
        <v>0.2</v>
      </c>
      <c r="I13" s="97">
        <f t="shared" ref="I13:I22" ca="1" si="2">G13*p_c_A</f>
        <v>406.72640759868204</v>
      </c>
      <c r="J13" s="97">
        <f t="shared" ref="J13:J22" ca="1" si="3">G13*p_c_h+H13*p_c_s</f>
        <v>284.88260841538045</v>
      </c>
      <c r="K13" s="98">
        <f t="shared" ref="K13:K22" ca="1" si="4">G13*p_u_h+H13*p_u_s</f>
        <v>0.92283323004323115</v>
      </c>
      <c r="L13" s="25"/>
      <c r="M13" s="102">
        <f t="shared" ref="M13:M22" ca="1" si="5">IFERROR(I13/(1+discount_cost)^($E13-1), "")</f>
        <v>406.72640759868204</v>
      </c>
      <c r="N13" s="97">
        <f t="shared" ref="N13:N22" ca="1" si="6">IFERROR(J13/(1+discount_cost)^($E13-1), "")</f>
        <v>284.88260841538045</v>
      </c>
      <c r="O13" s="98">
        <f t="shared" ref="O13:O22" ca="1" si="7">IFERROR(K13/(1+discount_healthOutcome)^($E13-1), "")</f>
        <v>0.92283323004323115</v>
      </c>
      <c r="P13" s="25"/>
      <c r="Q13" s="25"/>
      <c r="R13" s="25"/>
      <c r="S13" s="25"/>
      <c r="T13" s="25"/>
      <c r="U13" s="25"/>
      <c r="V13" s="25"/>
      <c r="W13" s="25"/>
      <c r="X13" s="1"/>
      <c r="Y13" s="9"/>
    </row>
    <row r="14" spans="4:25" x14ac:dyDescent="0.25">
      <c r="D14" s="3"/>
      <c r="E14" s="76">
        <v>2</v>
      </c>
      <c r="F14" s="88">
        <v>1</v>
      </c>
      <c r="G14" s="97">
        <f t="shared" ca="1" si="0"/>
        <v>0.62481789600866711</v>
      </c>
      <c r="H14" s="97">
        <f t="shared" ca="1" si="1"/>
        <v>0.3580908467949574</v>
      </c>
      <c r="I14" s="97">
        <f ca="1">G14*p_c_A</f>
        <v>321.49861095573317</v>
      </c>
      <c r="J14" s="97">
        <f t="shared" ca="1" si="3"/>
        <v>373.13498255143583</v>
      </c>
      <c r="K14" s="98">
        <f t="shared" ca="1" si="4"/>
        <v>0.86183643000874466</v>
      </c>
      <c r="L14" s="25"/>
      <c r="M14" s="102">
        <f t="shared" ca="1" si="5"/>
        <v>312.13457374343028</v>
      </c>
      <c r="N14" s="97">
        <f t="shared" ca="1" si="6"/>
        <v>362.26697335090859</v>
      </c>
      <c r="O14" s="98">
        <f t="shared" ca="1" si="7"/>
        <v>0.83673439806674232</v>
      </c>
      <c r="P14" s="25"/>
      <c r="Q14" s="25"/>
      <c r="R14" s="25"/>
      <c r="S14" s="25"/>
      <c r="T14" s="25"/>
      <c r="U14" s="25"/>
      <c r="V14" s="25"/>
      <c r="W14" s="25"/>
      <c r="X14" s="1"/>
      <c r="Y14" s="9"/>
    </row>
    <row r="15" spans="4:25" x14ac:dyDescent="0.25">
      <c r="D15" s="3"/>
      <c r="E15" s="76">
        <v>3</v>
      </c>
      <c r="F15" s="88">
        <v>1</v>
      </c>
      <c r="G15" s="97">
        <f t="shared" ca="1" si="0"/>
        <v>0.49388995136326902</v>
      </c>
      <c r="H15" s="97">
        <f t="shared" ca="1" si="1"/>
        <v>0.48305442599669079</v>
      </c>
      <c r="I15" s="97">
        <f t="shared" ca="1" si="2"/>
        <v>254.12993824697207</v>
      </c>
      <c r="J15" s="97">
        <f t="shared" ca="1" si="3"/>
        <v>442.89444534560778</v>
      </c>
      <c r="K15" s="98">
        <f t="shared" ca="1" si="4"/>
        <v>0.81362125116257156</v>
      </c>
      <c r="L15" s="25"/>
      <c r="M15" s="102">
        <f t="shared" ca="1" si="5"/>
        <v>239.5418401800095</v>
      </c>
      <c r="N15" s="97">
        <f t="shared" ca="1" si="6"/>
        <v>417.47049236083308</v>
      </c>
      <c r="O15" s="98">
        <f t="shared" ca="1" si="7"/>
        <v>0.76691606293012682</v>
      </c>
      <c r="P15" s="25"/>
      <c r="Q15" s="25"/>
      <c r="R15" s="25"/>
      <c r="S15" s="25"/>
      <c r="T15" s="25"/>
      <c r="U15" s="25"/>
      <c r="V15" s="25"/>
      <c r="W15" s="25"/>
      <c r="X15" s="1"/>
      <c r="Y15" s="9"/>
    </row>
    <row r="16" spans="4:25" x14ac:dyDescent="0.25">
      <c r="D16" s="3"/>
      <c r="E16" s="76">
        <v>4</v>
      </c>
      <c r="F16" s="88">
        <v>1</v>
      </c>
      <c r="G16" s="97">
        <f t="shared" ca="1" si="0"/>
        <v>0.39039740317269755</v>
      </c>
      <c r="H16" s="97">
        <f t="shared" ca="1" si="1"/>
        <v>0.58183241626934457</v>
      </c>
      <c r="I16" s="97">
        <f t="shared" ca="1" si="2"/>
        <v>200.8780856670702</v>
      </c>
      <c r="J16" s="97">
        <f t="shared" ca="1" si="3"/>
        <v>498.03610807106759</v>
      </c>
      <c r="K16" s="98">
        <f t="shared" ca="1" si="4"/>
        <v>0.77550935890176231</v>
      </c>
      <c r="L16" s="25"/>
      <c r="M16" s="102">
        <f t="shared" ca="1" si="5"/>
        <v>183.83190464504875</v>
      </c>
      <c r="N16" s="97">
        <f t="shared" ca="1" si="6"/>
        <v>455.77359035794632</v>
      </c>
      <c r="O16" s="98">
        <f t="shared" ca="1" si="7"/>
        <v>0.70970092154926379</v>
      </c>
      <c r="P16" s="25"/>
      <c r="Q16" s="25"/>
      <c r="R16" s="25"/>
      <c r="S16" s="25"/>
      <c r="T16" s="25"/>
      <c r="U16" s="25"/>
      <c r="V16" s="25"/>
      <c r="W16" s="25"/>
      <c r="X16" s="1"/>
      <c r="Y16" s="9"/>
    </row>
    <row r="17" spans="4:25" x14ac:dyDescent="0.25">
      <c r="D17" s="3"/>
      <c r="E17" s="76">
        <v>5</v>
      </c>
      <c r="F17" s="88">
        <v>1</v>
      </c>
      <c r="G17" s="97">
        <f t="shared" ca="1" si="0"/>
        <v>0.30859128027062066</v>
      </c>
      <c r="H17" s="97">
        <f t="shared" ca="1" si="1"/>
        <v>0.65991189690388408</v>
      </c>
      <c r="I17" s="97">
        <f t="shared" ca="1" si="2"/>
        <v>158.78493332828558</v>
      </c>
      <c r="J17" s="97">
        <f t="shared" ca="1" si="3"/>
        <v>541.62306884081704</v>
      </c>
      <c r="K17" s="98">
        <f t="shared" ca="1" si="4"/>
        <v>0.74538365229941483</v>
      </c>
      <c r="L17" s="25"/>
      <c r="M17" s="102">
        <f t="shared" ca="1" si="5"/>
        <v>141.07835666633795</v>
      </c>
      <c r="N17" s="97">
        <f t="shared" ca="1" si="6"/>
        <v>481.22508151741351</v>
      </c>
      <c r="O17" s="98">
        <f t="shared" ca="1" si="7"/>
        <v>0.66226372079612139</v>
      </c>
      <c r="P17" s="25"/>
      <c r="Q17" s="25"/>
      <c r="R17" s="25"/>
      <c r="S17" s="25"/>
      <c r="T17" s="25"/>
      <c r="U17" s="25"/>
      <c r="V17" s="25"/>
      <c r="W17" s="25"/>
      <c r="X17" s="1"/>
      <c r="Y17" s="9"/>
    </row>
    <row r="18" spans="4:25" x14ac:dyDescent="0.25">
      <c r="D18" s="3"/>
      <c r="E18" s="76">
        <v>6</v>
      </c>
      <c r="F18" s="88">
        <v>1</v>
      </c>
      <c r="G18" s="97">
        <f t="shared" ca="1" si="0"/>
        <v>0.24392728405761221</v>
      </c>
      <c r="H18" s="97">
        <f t="shared" ca="1" si="1"/>
        <v>0.72163015295800825</v>
      </c>
      <c r="I18" s="97">
        <f t="shared" ca="1" si="2"/>
        <v>125.51222284074758</v>
      </c>
      <c r="J18" s="97">
        <f t="shared" ca="1" si="3"/>
        <v>576.07656652735841</v>
      </c>
      <c r="K18" s="98">
        <f t="shared" ca="1" si="4"/>
        <v>0.72157065996410708</v>
      </c>
      <c r="L18" s="25"/>
      <c r="M18" s="102">
        <f t="shared" ca="1" si="5"/>
        <v>108.26794597001158</v>
      </c>
      <c r="N18" s="97">
        <f t="shared" ca="1" si="6"/>
        <v>496.92870676436769</v>
      </c>
      <c r="O18" s="98">
        <f t="shared" ca="1" si="7"/>
        <v>0.62243318983891738</v>
      </c>
      <c r="P18" s="25"/>
      <c r="Q18" s="25"/>
      <c r="R18" s="25"/>
      <c r="S18" s="25"/>
      <c r="T18" s="25"/>
      <c r="U18" s="25"/>
      <c r="V18" s="25"/>
      <c r="W18" s="25"/>
      <c r="X18" s="1"/>
      <c r="Y18" s="9"/>
    </row>
    <row r="19" spans="4:25" x14ac:dyDescent="0.25">
      <c r="D19" s="3"/>
      <c r="E19" s="76">
        <v>7</v>
      </c>
      <c r="F19" s="88">
        <v>1</v>
      </c>
      <c r="G19" s="97">
        <f t="shared" ca="1" si="0"/>
        <v>0.19281335446531012</v>
      </c>
      <c r="H19" s="97">
        <f t="shared" ca="1" si="1"/>
        <v>0.77041560976953072</v>
      </c>
      <c r="I19" s="97">
        <f t="shared" ca="1" si="2"/>
        <v>99.211667960055891</v>
      </c>
      <c r="J19" s="97">
        <f t="shared" ca="1" si="3"/>
        <v>603.31047964892559</v>
      </c>
      <c r="K19" s="98">
        <f t="shared" ca="1" si="4"/>
        <v>0.70274757934905385</v>
      </c>
      <c r="L19" s="25"/>
      <c r="M19" s="102">
        <f t="shared" ca="1" si="5"/>
        <v>83.088209995872944</v>
      </c>
      <c r="N19" s="97">
        <f t="shared" ca="1" si="6"/>
        <v>505.26302859823949</v>
      </c>
      <c r="O19" s="98">
        <f t="shared" ca="1" si="7"/>
        <v>0.58854003412737976</v>
      </c>
      <c r="P19" s="25"/>
      <c r="Q19" s="25"/>
      <c r="R19" s="25"/>
      <c r="S19" s="25"/>
      <c r="T19" s="25"/>
      <c r="U19" s="25"/>
      <c r="V19" s="25"/>
      <c r="W19" s="25"/>
      <c r="X19" s="1"/>
      <c r="Y19" s="9"/>
    </row>
    <row r="20" spans="4:25" x14ac:dyDescent="0.25">
      <c r="D20" s="3"/>
      <c r="E20" s="76">
        <v>8</v>
      </c>
      <c r="F20" s="88">
        <v>1</v>
      </c>
      <c r="G20" s="97">
        <f t="shared" ca="1" si="0"/>
        <v>0.15241013240398577</v>
      </c>
      <c r="H20" s="97">
        <f t="shared" ca="1" si="1"/>
        <v>0.8089782806625927</v>
      </c>
      <c r="I20" s="97">
        <f t="shared" ca="1" si="2"/>
        <v>78.422282998726885</v>
      </c>
      <c r="J20" s="97">
        <f t="shared" ca="1" si="3"/>
        <v>624.83764158356985</v>
      </c>
      <c r="K20" s="98">
        <f t="shared" ca="1" si="4"/>
        <v>0.68786879558043634</v>
      </c>
      <c r="L20" s="25"/>
      <c r="M20" s="102">
        <f t="shared" ca="1" si="5"/>
        <v>63.764492606431041</v>
      </c>
      <c r="N20" s="97">
        <f t="shared" ca="1" si="6"/>
        <v>508.0501823394016</v>
      </c>
      <c r="O20" s="98">
        <f t="shared" ca="1" si="7"/>
        <v>0.55930027860442943</v>
      </c>
      <c r="P20" s="25"/>
      <c r="Q20" s="25"/>
      <c r="R20" s="25"/>
      <c r="S20" s="25"/>
      <c r="T20" s="25"/>
      <c r="U20" s="25"/>
      <c r="V20" s="25"/>
      <c r="W20" s="25"/>
      <c r="X20" s="1"/>
      <c r="Y20" s="9"/>
    </row>
    <row r="21" spans="4:25" x14ac:dyDescent="0.25">
      <c r="D21" s="3"/>
      <c r="E21" s="76">
        <v>9</v>
      </c>
      <c r="F21" s="88">
        <v>1</v>
      </c>
      <c r="G21" s="97">
        <f t="shared" ca="1" si="0"/>
        <v>0.12047323445938841</v>
      </c>
      <c r="H21" s="97">
        <f t="shared" ca="1" si="1"/>
        <v>0.83946030714338982</v>
      </c>
      <c r="I21" s="97">
        <f t="shared" ca="1" si="2"/>
        <v>61.989225634312611</v>
      </c>
      <c r="J21" s="97">
        <f t="shared" ca="1" si="3"/>
        <v>641.85387788027026</v>
      </c>
      <c r="K21" s="98">
        <f t="shared" ca="1" si="4"/>
        <v>0.67610779795413722</v>
      </c>
      <c r="L21" s="25"/>
      <c r="M21" s="102">
        <f t="shared" ca="1" si="5"/>
        <v>48.934867143696515</v>
      </c>
      <c r="N21" s="97">
        <f t="shared" ca="1" si="6"/>
        <v>506.68537827889458</v>
      </c>
      <c r="O21" s="98">
        <f t="shared" ca="1" si="7"/>
        <v>0.53372573909665666</v>
      </c>
      <c r="P21" s="25"/>
      <c r="Q21" s="25"/>
      <c r="R21" s="25"/>
      <c r="S21" s="25"/>
      <c r="T21" s="25"/>
      <c r="U21" s="25"/>
      <c r="V21" s="25"/>
      <c r="W21" s="25"/>
      <c r="X21" s="1"/>
      <c r="Y21" s="9"/>
    </row>
    <row r="22" spans="4:25" x14ac:dyDescent="0.25">
      <c r="D22" s="3"/>
      <c r="E22" s="62">
        <v>10</v>
      </c>
      <c r="F22" s="99">
        <v>1</v>
      </c>
      <c r="G22" s="100">
        <f t="shared" ca="1" si="0"/>
        <v>9.5228578259060767E-2</v>
      </c>
      <c r="H22" s="100">
        <f t="shared" ca="1" si="1"/>
        <v>0.8635549540352675</v>
      </c>
      <c r="I22" s="100">
        <f t="shared" ca="1" si="2"/>
        <v>48.999645863460799</v>
      </c>
      <c r="J22" s="100">
        <f t="shared" ca="1" si="3"/>
        <v>655.3044339073125</v>
      </c>
      <c r="K22" s="101">
        <f t="shared" ca="1" si="4"/>
        <v>0.66681126758466169</v>
      </c>
      <c r="L22" s="25"/>
      <c r="M22" s="103">
        <f t="shared" ca="1" si="5"/>
        <v>37.554148468668544</v>
      </c>
      <c r="N22" s="100">
        <f t="shared" ca="1" si="6"/>
        <v>502.23628292553269</v>
      </c>
      <c r="O22" s="101">
        <f t="shared" ca="1" si="7"/>
        <v>0.51105531279214822</v>
      </c>
      <c r="P22" s="25"/>
      <c r="Q22" s="25"/>
      <c r="R22" s="25"/>
      <c r="S22" s="25"/>
      <c r="T22" s="25"/>
      <c r="U22" s="25"/>
      <c r="V22" s="25"/>
      <c r="W22" s="25"/>
      <c r="X22" s="1"/>
      <c r="Y22" s="9"/>
    </row>
    <row r="23" spans="4:25" x14ac:dyDescent="0.25">
      <c r="D23" s="3"/>
      <c r="E23" s="25"/>
      <c r="F23" s="25"/>
      <c r="G23" s="25"/>
      <c r="H23" s="25"/>
      <c r="I23" s="25"/>
      <c r="J23" s="25"/>
      <c r="K23" s="41"/>
      <c r="L23" s="25"/>
      <c r="M23" s="25"/>
      <c r="N23" s="25"/>
      <c r="O23" s="41"/>
      <c r="P23" s="25"/>
      <c r="Q23" s="25"/>
      <c r="R23" s="25"/>
      <c r="S23" s="25"/>
      <c r="T23" s="25"/>
      <c r="U23" s="25"/>
      <c r="V23" s="25"/>
      <c r="W23" s="25"/>
      <c r="X23" s="1"/>
      <c r="Y23" s="9"/>
    </row>
    <row r="24" spans="4:25" x14ac:dyDescent="0.25">
      <c r="D24" s="3"/>
      <c r="E24" s="25"/>
      <c r="F24" s="25"/>
      <c r="G24" s="25"/>
      <c r="H24" s="25"/>
      <c r="I24" s="25"/>
      <c r="J24" s="25"/>
      <c r="K24" s="41"/>
      <c r="L24" s="25"/>
      <c r="M24" s="25"/>
      <c r="N24" s="25"/>
      <c r="O24" s="41"/>
      <c r="P24" s="25"/>
      <c r="Q24" s="25"/>
      <c r="R24" s="25"/>
      <c r="S24" s="25"/>
      <c r="T24" s="25"/>
      <c r="U24" s="25"/>
      <c r="V24" s="25"/>
      <c r="W24" s="25"/>
      <c r="X24" s="1"/>
      <c r="Y24" s="9"/>
    </row>
    <row r="25" spans="4:25" x14ac:dyDescent="0.25">
      <c r="D25" s="3"/>
      <c r="E25" s="25"/>
      <c r="F25" s="25"/>
      <c r="G25" s="25"/>
      <c r="H25" s="25"/>
      <c r="I25" s="25"/>
      <c r="J25" s="25"/>
      <c r="K25" s="41"/>
      <c r="L25" s="25"/>
      <c r="M25" s="25"/>
      <c r="N25" s="25"/>
      <c r="O25" s="41"/>
      <c r="P25" s="25"/>
      <c r="Q25" s="25"/>
      <c r="R25" s="25"/>
      <c r="S25" s="25"/>
      <c r="T25" s="25"/>
      <c r="U25" s="25"/>
      <c r="V25" s="25"/>
      <c r="W25" s="25"/>
      <c r="X25" s="1"/>
      <c r="Y25" s="9"/>
    </row>
    <row r="26" spans="4:25" x14ac:dyDescent="0.25">
      <c r="D26" s="3"/>
      <c r="E26" s="25"/>
      <c r="F26" s="25"/>
      <c r="G26" s="25"/>
      <c r="H26" s="25"/>
      <c r="I26" s="25"/>
      <c r="J26" s="25"/>
      <c r="K26" s="41"/>
      <c r="L26" s="25"/>
      <c r="M26" s="25"/>
      <c r="N26" s="25"/>
      <c r="O26" s="41"/>
      <c r="P26" s="25"/>
      <c r="Q26" s="25"/>
      <c r="R26" s="25"/>
      <c r="S26" s="25"/>
      <c r="T26" s="25"/>
      <c r="U26" s="25"/>
      <c r="V26" s="25"/>
      <c r="W26" s="25"/>
      <c r="X26" s="1"/>
      <c r="Y26" s="9"/>
    </row>
    <row r="27" spans="4:25" x14ac:dyDescent="0.25">
      <c r="D27" s="3"/>
      <c r="E27" s="25"/>
      <c r="F27" s="25"/>
      <c r="G27" s="25"/>
      <c r="H27" s="25"/>
      <c r="I27" s="25"/>
      <c r="J27" s="25"/>
      <c r="K27" s="41"/>
      <c r="L27" s="25"/>
      <c r="M27" s="25"/>
      <c r="N27" s="25"/>
      <c r="O27" s="41"/>
      <c r="P27" s="25"/>
      <c r="Q27" s="25"/>
      <c r="R27" s="25"/>
      <c r="S27" s="25"/>
      <c r="T27" s="25"/>
      <c r="U27" s="25"/>
      <c r="V27" s="25"/>
      <c r="W27" s="25"/>
      <c r="X27" s="1"/>
      <c r="Y27" s="9"/>
    </row>
    <row r="28" spans="4:25" x14ac:dyDescent="0.25">
      <c r="D28" s="3"/>
      <c r="E28" s="25"/>
      <c r="F28" s="25"/>
      <c r="G28" s="25"/>
      <c r="H28" s="25"/>
      <c r="I28" s="25"/>
      <c r="J28" s="25"/>
      <c r="K28" s="41"/>
      <c r="L28" s="25"/>
      <c r="M28" s="25"/>
      <c r="N28" s="25"/>
      <c r="O28" s="41"/>
      <c r="P28" s="25"/>
      <c r="Q28" s="25"/>
      <c r="R28" s="25"/>
      <c r="S28" s="25"/>
      <c r="T28" s="25"/>
      <c r="U28" s="25"/>
      <c r="V28" s="25"/>
      <c r="W28" s="25"/>
      <c r="X28" s="1"/>
      <c r="Y28" s="9"/>
    </row>
    <row r="29" spans="4:25" x14ac:dyDescent="0.25">
      <c r="D29" s="3"/>
      <c r="E29" s="25"/>
      <c r="F29" s="25"/>
      <c r="G29" s="25"/>
      <c r="H29" s="25"/>
      <c r="I29" s="25"/>
      <c r="J29" s="25"/>
      <c r="K29" s="41"/>
      <c r="L29" s="25"/>
      <c r="M29" s="25"/>
      <c r="N29" s="25"/>
      <c r="O29" s="41"/>
      <c r="P29" s="25"/>
      <c r="Q29" s="25"/>
      <c r="R29" s="25"/>
      <c r="S29" s="25"/>
      <c r="T29" s="25"/>
      <c r="U29" s="25"/>
      <c r="V29" s="25"/>
      <c r="W29" s="25"/>
      <c r="X29" s="1"/>
      <c r="Y29" s="9"/>
    </row>
    <row r="30" spans="4:25" x14ac:dyDescent="0.25">
      <c r="D30" s="3"/>
      <c r="E30" s="25"/>
      <c r="F30" s="25"/>
      <c r="G30" s="25"/>
      <c r="H30" s="25"/>
      <c r="I30" s="25"/>
      <c r="J30" s="25"/>
      <c r="K30" s="41"/>
      <c r="L30" s="25"/>
      <c r="M30" s="25"/>
      <c r="N30" s="25"/>
      <c r="O30" s="41"/>
      <c r="P30" s="25"/>
      <c r="Q30" s="25"/>
      <c r="R30" s="25"/>
      <c r="S30" s="25"/>
      <c r="T30" s="25"/>
      <c r="U30" s="25"/>
      <c r="V30" s="25"/>
      <c r="W30" s="25"/>
      <c r="X30" s="1"/>
      <c r="Y30" s="9"/>
    </row>
    <row r="31" spans="4:25" x14ac:dyDescent="0.25">
      <c r="D31" s="3"/>
      <c r="E31" s="25"/>
      <c r="F31" s="25"/>
      <c r="G31" s="25"/>
      <c r="H31" s="25"/>
      <c r="I31" s="25"/>
      <c r="J31" s="25"/>
      <c r="K31" s="41"/>
      <c r="L31" s="25"/>
      <c r="M31" s="25"/>
      <c r="N31" s="25"/>
      <c r="O31" s="41"/>
      <c r="P31" s="25"/>
      <c r="Q31" s="25"/>
      <c r="R31" s="25"/>
      <c r="S31" s="25"/>
      <c r="T31" s="25"/>
      <c r="U31" s="25"/>
      <c r="V31" s="25"/>
      <c r="W31" s="25"/>
      <c r="X31" s="1"/>
      <c r="Y31" s="9"/>
    </row>
    <row r="32" spans="4:25" x14ac:dyDescent="0.25">
      <c r="D32" s="3"/>
      <c r="E32" s="25"/>
      <c r="F32" s="25"/>
      <c r="G32" s="25"/>
      <c r="H32" s="25"/>
      <c r="I32" s="25"/>
      <c r="J32" s="25"/>
      <c r="K32" s="41"/>
      <c r="L32" s="25"/>
      <c r="M32" s="25"/>
      <c r="N32" s="25"/>
      <c r="O32" s="41"/>
      <c r="P32" s="25"/>
      <c r="Q32" s="25"/>
      <c r="R32" s="25"/>
      <c r="S32" s="25"/>
      <c r="T32" s="25"/>
      <c r="U32" s="25"/>
      <c r="V32" s="25"/>
      <c r="W32" s="25"/>
      <c r="X32" s="1"/>
      <c r="Y32" s="9"/>
    </row>
    <row r="33" spans="4:25" x14ac:dyDescent="0.25">
      <c r="D33" s="3"/>
      <c r="E33" s="25"/>
      <c r="F33" s="25"/>
      <c r="G33" s="25"/>
      <c r="H33" s="25"/>
      <c r="I33" s="25"/>
      <c r="J33" s="25"/>
      <c r="K33" s="41"/>
      <c r="L33" s="25"/>
      <c r="M33" s="25"/>
      <c r="N33" s="25"/>
      <c r="O33" s="41"/>
      <c r="P33" s="25"/>
      <c r="Q33" s="25"/>
      <c r="R33" s="25"/>
      <c r="S33" s="25"/>
      <c r="T33" s="25"/>
      <c r="U33" s="25"/>
      <c r="V33" s="25"/>
      <c r="W33" s="25"/>
      <c r="X33" s="1"/>
      <c r="Y33" s="9"/>
    </row>
    <row r="34" spans="4:25" x14ac:dyDescent="0.25">
      <c r="D34" s="3"/>
      <c r="E34" s="25"/>
      <c r="F34" s="25"/>
      <c r="G34" s="25"/>
      <c r="H34" s="25"/>
      <c r="I34" s="25"/>
      <c r="J34" s="25"/>
      <c r="K34" s="41"/>
      <c r="L34" s="25"/>
      <c r="M34" s="25"/>
      <c r="N34" s="25"/>
      <c r="O34" s="41"/>
      <c r="P34" s="25"/>
      <c r="Q34" s="25"/>
      <c r="R34" s="25"/>
      <c r="S34" s="25"/>
      <c r="T34" s="25"/>
      <c r="U34" s="25"/>
      <c r="V34" s="25"/>
      <c r="W34" s="25"/>
      <c r="X34" s="1"/>
      <c r="Y34" s="9"/>
    </row>
    <row r="35" spans="4:25" x14ac:dyDescent="0.25">
      <c r="D35" s="3"/>
      <c r="E35" s="25"/>
      <c r="F35" s="25"/>
      <c r="G35" s="25"/>
      <c r="H35" s="25"/>
      <c r="I35" s="25"/>
      <c r="J35" s="25"/>
      <c r="K35" s="41"/>
      <c r="L35" s="25"/>
      <c r="M35" s="25"/>
      <c r="N35" s="25"/>
      <c r="O35" s="41"/>
      <c r="P35" s="25"/>
      <c r="Q35" s="25"/>
      <c r="R35" s="25"/>
      <c r="S35" s="25"/>
      <c r="T35" s="25"/>
      <c r="U35" s="25"/>
      <c r="V35" s="25"/>
      <c r="W35" s="25"/>
      <c r="X35" s="1"/>
      <c r="Y35" s="9"/>
    </row>
    <row r="36" spans="4:25" x14ac:dyDescent="0.25">
      <c r="D36" s="3"/>
      <c r="E36" s="25"/>
      <c r="F36" s="25"/>
      <c r="G36" s="25"/>
      <c r="H36" s="25"/>
      <c r="I36" s="25"/>
      <c r="J36" s="25"/>
      <c r="K36" s="41"/>
      <c r="L36" s="25"/>
      <c r="M36" s="25"/>
      <c r="N36" s="25"/>
      <c r="O36" s="41"/>
      <c r="P36" s="25"/>
      <c r="Q36" s="25"/>
      <c r="R36" s="25"/>
      <c r="S36" s="25"/>
      <c r="T36" s="25"/>
      <c r="U36" s="25"/>
      <c r="V36" s="25"/>
      <c r="W36" s="25"/>
      <c r="X36" s="1"/>
      <c r="Y36" s="9"/>
    </row>
    <row r="37" spans="4:25" x14ac:dyDescent="0.25">
      <c r="D37" s="3"/>
      <c r="E37" s="25"/>
      <c r="F37" s="25"/>
      <c r="G37" s="25"/>
      <c r="H37" s="25"/>
      <c r="I37" s="25"/>
      <c r="J37" s="25"/>
      <c r="K37" s="41"/>
      <c r="L37" s="25"/>
      <c r="M37" s="25"/>
      <c r="N37" s="25"/>
      <c r="O37" s="41"/>
      <c r="P37" s="25"/>
      <c r="Q37" s="25"/>
      <c r="R37" s="25"/>
      <c r="S37" s="25"/>
      <c r="T37" s="25"/>
      <c r="U37" s="25"/>
      <c r="V37" s="25"/>
      <c r="W37" s="25"/>
      <c r="X37" s="1"/>
      <c r="Y37" s="9"/>
    </row>
    <row r="38" spans="4:25" x14ac:dyDescent="0.25">
      <c r="D38" s="3"/>
      <c r="E38" s="25"/>
      <c r="F38" s="25"/>
      <c r="G38" s="25"/>
      <c r="H38" s="25"/>
      <c r="I38" s="25"/>
      <c r="J38" s="25"/>
      <c r="K38" s="41"/>
      <c r="L38" s="25"/>
      <c r="M38" s="25"/>
      <c r="N38" s="25"/>
      <c r="O38" s="41"/>
      <c r="P38" s="25"/>
      <c r="Q38" s="25"/>
      <c r="R38" s="25"/>
      <c r="S38" s="25"/>
      <c r="T38" s="25"/>
      <c r="U38" s="25"/>
      <c r="V38" s="25"/>
      <c r="W38" s="25"/>
      <c r="X38" s="1"/>
      <c r="Y38" s="9"/>
    </row>
    <row r="39" spans="4:25" x14ac:dyDescent="0.25">
      <c r="D39" s="3"/>
      <c r="E39" s="25"/>
      <c r="F39" s="25"/>
      <c r="G39" s="25"/>
      <c r="H39" s="25"/>
      <c r="I39" s="25"/>
      <c r="J39" s="25"/>
      <c r="K39" s="41"/>
      <c r="L39" s="25"/>
      <c r="M39" s="25"/>
      <c r="N39" s="25"/>
      <c r="O39" s="41"/>
      <c r="P39" s="25"/>
      <c r="Q39" s="25"/>
      <c r="R39" s="25"/>
      <c r="S39" s="25"/>
      <c r="T39" s="25"/>
      <c r="U39" s="25"/>
      <c r="V39" s="25"/>
      <c r="W39" s="25"/>
      <c r="X39" s="1"/>
      <c r="Y39" s="9"/>
    </row>
    <row r="40" spans="4:25" x14ac:dyDescent="0.25">
      <c r="D40" s="3"/>
      <c r="E40" s="25"/>
      <c r="F40" s="25"/>
      <c r="G40" s="25"/>
      <c r="H40" s="25"/>
      <c r="I40" s="25"/>
      <c r="J40" s="25"/>
      <c r="K40" s="41"/>
      <c r="L40" s="25"/>
      <c r="M40" s="25"/>
      <c r="N40" s="25"/>
      <c r="O40" s="41"/>
      <c r="P40" s="25"/>
      <c r="Q40" s="25"/>
      <c r="R40" s="25"/>
      <c r="S40" s="25"/>
      <c r="T40" s="25"/>
      <c r="U40" s="25"/>
      <c r="V40" s="25"/>
      <c r="W40" s="25"/>
      <c r="X40" s="1"/>
      <c r="Y40" s="9"/>
    </row>
    <row r="41" spans="4:25" x14ac:dyDescent="0.25">
      <c r="D41" s="3"/>
      <c r="E41" s="25"/>
      <c r="F41" s="25"/>
      <c r="G41" s="25"/>
      <c r="H41" s="25"/>
      <c r="I41" s="25"/>
      <c r="J41" s="25"/>
      <c r="K41" s="41"/>
      <c r="L41" s="25"/>
      <c r="M41" s="25"/>
      <c r="N41" s="25"/>
      <c r="O41" s="41"/>
      <c r="P41" s="25"/>
      <c r="Q41" s="25"/>
      <c r="R41" s="25"/>
      <c r="S41" s="25"/>
      <c r="T41" s="25"/>
      <c r="U41" s="25"/>
      <c r="V41" s="25"/>
      <c r="W41" s="25"/>
      <c r="X41" s="1"/>
      <c r="Y41" s="9"/>
    </row>
    <row r="42" spans="4:25" x14ac:dyDescent="0.25">
      <c r="D42" s="3"/>
      <c r="E42" s="25"/>
      <c r="F42" s="25"/>
      <c r="G42" s="25"/>
      <c r="H42" s="25"/>
      <c r="I42" s="25"/>
      <c r="J42" s="25"/>
      <c r="K42" s="41"/>
      <c r="L42" s="25"/>
      <c r="M42" s="25"/>
      <c r="N42" s="25"/>
      <c r="O42" s="41"/>
      <c r="P42" s="25"/>
      <c r="Q42" s="25"/>
      <c r="R42" s="25"/>
      <c r="S42" s="25"/>
      <c r="T42" s="25"/>
      <c r="U42" s="25"/>
      <c r="V42" s="25"/>
      <c r="W42" s="25"/>
      <c r="X42" s="1"/>
      <c r="Y42" s="9"/>
    </row>
    <row r="43" spans="4:25" x14ac:dyDescent="0.25">
      <c r="D43" s="3"/>
      <c r="E43" s="25"/>
      <c r="F43" s="25"/>
      <c r="G43" s="25"/>
      <c r="H43" s="25"/>
      <c r="I43" s="25"/>
      <c r="J43" s="25"/>
      <c r="K43" s="41"/>
      <c r="L43" s="25"/>
      <c r="M43" s="25"/>
      <c r="N43" s="25"/>
      <c r="O43" s="41"/>
      <c r="P43" s="25"/>
      <c r="Q43" s="25"/>
      <c r="R43" s="25"/>
      <c r="S43" s="25"/>
      <c r="T43" s="25"/>
      <c r="U43" s="25"/>
      <c r="V43" s="25"/>
      <c r="W43" s="25"/>
      <c r="X43" s="1"/>
      <c r="Y43" s="9"/>
    </row>
    <row r="44" spans="4:25" x14ac:dyDescent="0.25">
      <c r="D44" s="3"/>
      <c r="E44" s="25"/>
      <c r="F44" s="25"/>
      <c r="G44" s="25"/>
      <c r="H44" s="25"/>
      <c r="I44" s="25"/>
      <c r="J44" s="25"/>
      <c r="K44" s="41"/>
      <c r="L44" s="25"/>
      <c r="M44" s="25"/>
      <c r="N44" s="25"/>
      <c r="O44" s="41"/>
      <c r="P44" s="25"/>
      <c r="Q44" s="25"/>
      <c r="R44" s="25"/>
      <c r="S44" s="25"/>
      <c r="T44" s="25"/>
      <c r="U44" s="25"/>
      <c r="V44" s="25"/>
      <c r="W44" s="25"/>
      <c r="X44" s="1"/>
      <c r="Y44" s="9"/>
    </row>
    <row r="45" spans="4:25" x14ac:dyDescent="0.25">
      <c r="D45" s="3"/>
      <c r="E45" s="25"/>
      <c r="F45" s="25"/>
      <c r="G45" s="25"/>
      <c r="H45" s="25"/>
      <c r="I45" s="25"/>
      <c r="J45" s="25"/>
      <c r="K45" s="41"/>
      <c r="L45" s="25"/>
      <c r="M45" s="25"/>
      <c r="N45" s="25"/>
      <c r="O45" s="41"/>
      <c r="P45" s="25"/>
      <c r="Q45" s="25"/>
      <c r="R45" s="25"/>
      <c r="S45" s="25"/>
      <c r="T45" s="25"/>
      <c r="U45" s="25"/>
      <c r="V45" s="25"/>
      <c r="W45" s="25"/>
      <c r="X45" s="1"/>
      <c r="Y45" s="9"/>
    </row>
    <row r="46" spans="4:25" x14ac:dyDescent="0.25">
      <c r="D46" s="3"/>
      <c r="E46" s="25"/>
      <c r="F46" s="25"/>
      <c r="G46" s="25"/>
      <c r="H46" s="25"/>
      <c r="I46" s="25"/>
      <c r="J46" s="25"/>
      <c r="K46" s="41"/>
      <c r="L46" s="25"/>
      <c r="M46" s="25"/>
      <c r="N46" s="25"/>
      <c r="O46" s="41"/>
      <c r="P46" s="25"/>
      <c r="Q46" s="25"/>
      <c r="R46" s="25"/>
      <c r="S46" s="25"/>
      <c r="T46" s="25"/>
      <c r="U46" s="25"/>
      <c r="V46" s="25"/>
      <c r="W46" s="25"/>
      <c r="X46" s="1"/>
      <c r="Y46" s="9"/>
    </row>
    <row r="47" spans="4:25" x14ac:dyDescent="0.25">
      <c r="D47" s="3"/>
      <c r="E47" s="25"/>
      <c r="F47" s="25"/>
      <c r="G47" s="25"/>
      <c r="H47" s="25"/>
      <c r="I47" s="25"/>
      <c r="J47" s="25"/>
      <c r="K47" s="41"/>
      <c r="L47" s="25"/>
      <c r="M47" s="25"/>
      <c r="N47" s="25"/>
      <c r="O47" s="41"/>
      <c r="P47" s="25"/>
      <c r="Q47" s="25"/>
      <c r="R47" s="25"/>
      <c r="S47" s="25"/>
      <c r="T47" s="25"/>
      <c r="U47" s="25"/>
      <c r="V47" s="25"/>
      <c r="W47" s="25"/>
      <c r="X47" s="1"/>
      <c r="Y47" s="9"/>
    </row>
    <row r="48" spans="4:25" x14ac:dyDescent="0.25">
      <c r="D48" s="3"/>
      <c r="E48" s="25"/>
      <c r="F48" s="25"/>
      <c r="G48" s="25"/>
      <c r="H48" s="25"/>
      <c r="I48" s="25"/>
      <c r="J48" s="25"/>
      <c r="K48" s="41"/>
      <c r="L48" s="25"/>
      <c r="M48" s="25"/>
      <c r="N48" s="25"/>
      <c r="O48" s="41"/>
      <c r="P48" s="25"/>
      <c r="Q48" s="25"/>
      <c r="R48" s="25"/>
      <c r="S48" s="25"/>
      <c r="T48" s="25"/>
      <c r="U48" s="25"/>
      <c r="V48" s="25"/>
      <c r="W48" s="25"/>
      <c r="X48" s="1"/>
      <c r="Y48" s="9"/>
    </row>
    <row r="49" spans="4:25" x14ac:dyDescent="0.25">
      <c r="D49" s="3"/>
      <c r="E49" s="25"/>
      <c r="F49" s="25"/>
      <c r="G49" s="25"/>
      <c r="H49" s="25"/>
      <c r="I49" s="25"/>
      <c r="J49" s="25"/>
      <c r="K49" s="41"/>
      <c r="L49" s="25"/>
      <c r="M49" s="25"/>
      <c r="N49" s="25"/>
      <c r="O49" s="41"/>
      <c r="P49" s="25"/>
      <c r="Q49" s="25"/>
      <c r="R49" s="25"/>
      <c r="S49" s="25"/>
      <c r="T49" s="25"/>
      <c r="U49" s="25"/>
      <c r="V49" s="25"/>
      <c r="W49" s="25"/>
      <c r="X49" s="1"/>
      <c r="Y49" s="9"/>
    </row>
    <row r="50" spans="4:25" x14ac:dyDescent="0.25">
      <c r="D50" s="3"/>
      <c r="E50" s="25"/>
      <c r="F50" s="25"/>
      <c r="G50" s="25"/>
      <c r="H50" s="25"/>
      <c r="I50" s="25"/>
      <c r="J50" s="25"/>
      <c r="K50" s="41"/>
      <c r="L50" s="25"/>
      <c r="M50" s="25"/>
      <c r="N50" s="25"/>
      <c r="O50" s="41"/>
      <c r="P50" s="25"/>
      <c r="Q50" s="25"/>
      <c r="R50" s="25"/>
      <c r="S50" s="25"/>
      <c r="T50" s="25"/>
      <c r="U50" s="25"/>
      <c r="V50" s="25"/>
      <c r="W50" s="25"/>
      <c r="X50" s="1"/>
      <c r="Y50" s="9"/>
    </row>
    <row r="51" spans="4:25" x14ac:dyDescent="0.25">
      <c r="D51" s="3"/>
      <c r="E51" s="25"/>
      <c r="F51" s="25"/>
      <c r="G51" s="25"/>
      <c r="H51" s="25"/>
      <c r="I51" s="25"/>
      <c r="J51" s="25"/>
      <c r="K51" s="41"/>
      <c r="L51" s="25"/>
      <c r="M51" s="25"/>
      <c r="N51" s="25"/>
      <c r="O51" s="41"/>
      <c r="P51" s="25"/>
      <c r="Q51" s="25"/>
      <c r="R51" s="25"/>
      <c r="S51" s="25"/>
      <c r="T51" s="25"/>
      <c r="U51" s="25"/>
      <c r="V51" s="25"/>
      <c r="W51" s="25"/>
      <c r="X51" s="1"/>
      <c r="Y51" s="9"/>
    </row>
    <row r="52" spans="4:25" x14ac:dyDescent="0.25">
      <c r="D52" s="3"/>
      <c r="E52" s="25"/>
      <c r="F52" s="25"/>
      <c r="G52" s="25"/>
      <c r="H52" s="25"/>
      <c r="I52" s="25"/>
      <c r="J52" s="25"/>
      <c r="K52" s="41"/>
      <c r="L52" s="25"/>
      <c r="M52" s="25"/>
      <c r="N52" s="25"/>
      <c r="O52" s="41"/>
      <c r="P52" s="25"/>
      <c r="Q52" s="25"/>
      <c r="R52" s="25"/>
      <c r="S52" s="25"/>
      <c r="T52" s="25"/>
      <c r="U52" s="25"/>
      <c r="V52" s="25"/>
      <c r="W52" s="25"/>
      <c r="X52" s="1"/>
      <c r="Y52" s="9"/>
    </row>
    <row r="53" spans="4:25" x14ac:dyDescent="0.25">
      <c r="D53" s="3"/>
      <c r="E53" s="25"/>
      <c r="F53" s="25"/>
      <c r="G53" s="25"/>
      <c r="H53" s="25"/>
      <c r="I53" s="25"/>
      <c r="J53" s="25"/>
      <c r="K53" s="41"/>
      <c r="L53" s="25"/>
      <c r="M53" s="25"/>
      <c r="N53" s="25"/>
      <c r="O53" s="41"/>
      <c r="P53" s="25"/>
      <c r="Q53" s="25"/>
      <c r="R53" s="25"/>
      <c r="S53" s="25"/>
      <c r="T53" s="25"/>
      <c r="U53" s="25"/>
      <c r="V53" s="25"/>
      <c r="W53" s="25"/>
      <c r="X53" s="1"/>
      <c r="Y53" s="9"/>
    </row>
    <row r="54" spans="4:25" x14ac:dyDescent="0.25">
      <c r="D54" s="3"/>
      <c r="E54" s="25"/>
      <c r="F54" s="25"/>
      <c r="G54" s="25"/>
      <c r="H54" s="25"/>
      <c r="I54" s="25"/>
      <c r="J54" s="25"/>
      <c r="K54" s="41"/>
      <c r="L54" s="25"/>
      <c r="M54" s="25"/>
      <c r="N54" s="25"/>
      <c r="O54" s="41"/>
      <c r="P54" s="25"/>
      <c r="Q54" s="25"/>
      <c r="R54" s="25"/>
      <c r="S54" s="25"/>
      <c r="T54" s="25"/>
      <c r="U54" s="25"/>
      <c r="V54" s="25"/>
      <c r="W54" s="25"/>
      <c r="X54" s="1"/>
      <c r="Y54" s="9"/>
    </row>
    <row r="55" spans="4:25" x14ac:dyDescent="0.25">
      <c r="D55" s="3"/>
      <c r="E55" s="25"/>
      <c r="F55" s="25"/>
      <c r="G55" s="25"/>
      <c r="H55" s="25"/>
      <c r="I55" s="25"/>
      <c r="J55" s="25"/>
      <c r="K55" s="41"/>
      <c r="L55" s="25"/>
      <c r="M55" s="25"/>
      <c r="N55" s="25"/>
      <c r="O55" s="41"/>
      <c r="P55" s="25"/>
      <c r="Q55" s="25"/>
      <c r="R55" s="25"/>
      <c r="S55" s="25"/>
      <c r="T55" s="25"/>
      <c r="U55" s="25"/>
      <c r="V55" s="25"/>
      <c r="W55" s="25"/>
      <c r="X55" s="1"/>
      <c r="Y55" s="9"/>
    </row>
    <row r="56" spans="4:25" x14ac:dyDescent="0.25">
      <c r="D56" s="3"/>
      <c r="E56" s="25"/>
      <c r="F56" s="25"/>
      <c r="G56" s="25"/>
      <c r="H56" s="25"/>
      <c r="I56" s="25"/>
      <c r="J56" s="25"/>
      <c r="K56" s="41"/>
      <c r="L56" s="25"/>
      <c r="M56" s="25"/>
      <c r="N56" s="25"/>
      <c r="O56" s="41"/>
      <c r="P56" s="25"/>
      <c r="Q56" s="25"/>
      <c r="R56" s="25"/>
      <c r="S56" s="25"/>
      <c r="T56" s="25"/>
      <c r="U56" s="25"/>
      <c r="V56" s="25"/>
      <c r="W56" s="25"/>
      <c r="X56" s="1"/>
      <c r="Y56" s="9"/>
    </row>
    <row r="57" spans="4:25" x14ac:dyDescent="0.25">
      <c r="D57" s="3"/>
      <c r="E57" s="25"/>
      <c r="F57" s="25"/>
      <c r="G57" s="25"/>
      <c r="H57" s="25"/>
      <c r="I57" s="25"/>
      <c r="J57" s="25"/>
      <c r="K57" s="41"/>
      <c r="L57" s="25"/>
      <c r="M57" s="25"/>
      <c r="N57" s="25"/>
      <c r="O57" s="41"/>
      <c r="P57" s="25"/>
      <c r="Q57" s="25"/>
      <c r="R57" s="25"/>
      <c r="S57" s="25"/>
      <c r="T57" s="25"/>
      <c r="U57" s="25"/>
      <c r="V57" s="25"/>
      <c r="W57" s="25"/>
      <c r="X57" s="1"/>
      <c r="Y57" s="9"/>
    </row>
    <row r="58" spans="4:25" x14ac:dyDescent="0.25">
      <c r="D58" s="3"/>
      <c r="E58" s="25"/>
      <c r="F58" s="25"/>
      <c r="G58" s="25"/>
      <c r="H58" s="25"/>
      <c r="I58" s="25"/>
      <c r="J58" s="25"/>
      <c r="K58" s="41"/>
      <c r="L58" s="25"/>
      <c r="M58" s="25"/>
      <c r="N58" s="25"/>
      <c r="O58" s="41"/>
      <c r="P58" s="25"/>
      <c r="Q58" s="25"/>
      <c r="R58" s="25"/>
      <c r="S58" s="25"/>
      <c r="T58" s="25"/>
      <c r="U58" s="25"/>
      <c r="V58" s="25"/>
      <c r="W58" s="25"/>
      <c r="X58" s="1"/>
      <c r="Y58" s="9"/>
    </row>
    <row r="59" spans="4:25" x14ac:dyDescent="0.25">
      <c r="D59" s="3"/>
      <c r="E59" s="25"/>
      <c r="F59" s="25"/>
      <c r="G59" s="25"/>
      <c r="H59" s="25"/>
      <c r="I59" s="25"/>
      <c r="J59" s="25"/>
      <c r="K59" s="41"/>
      <c r="L59" s="25"/>
      <c r="M59" s="25"/>
      <c r="N59" s="25"/>
      <c r="O59" s="41"/>
      <c r="P59" s="25"/>
      <c r="Q59" s="25"/>
      <c r="R59" s="25"/>
      <c r="S59" s="25"/>
      <c r="T59" s="25"/>
      <c r="U59" s="25"/>
      <c r="V59" s="25"/>
      <c r="W59" s="25"/>
      <c r="X59" s="1"/>
      <c r="Y59" s="9"/>
    </row>
    <row r="60" spans="4:25" x14ac:dyDescent="0.25">
      <c r="D60" s="3"/>
      <c r="E60" s="25"/>
      <c r="F60" s="25"/>
      <c r="G60" s="25"/>
      <c r="H60" s="25"/>
      <c r="I60" s="25"/>
      <c r="J60" s="25"/>
      <c r="K60" s="41"/>
      <c r="L60" s="25"/>
      <c r="M60" s="25"/>
      <c r="N60" s="25"/>
      <c r="O60" s="41"/>
      <c r="P60" s="25"/>
      <c r="Q60" s="25"/>
      <c r="R60" s="25"/>
      <c r="S60" s="25"/>
      <c r="T60" s="25"/>
      <c r="U60" s="25"/>
      <c r="V60" s="25"/>
      <c r="W60" s="25"/>
      <c r="X60" s="1"/>
      <c r="Y60" s="9"/>
    </row>
    <row r="61" spans="4:25" x14ac:dyDescent="0.25">
      <c r="D61" s="3"/>
      <c r="E61" s="25"/>
      <c r="F61" s="25"/>
      <c r="G61" s="25"/>
      <c r="H61" s="25"/>
      <c r="I61" s="25"/>
      <c r="J61" s="25"/>
      <c r="K61" s="41"/>
      <c r="L61" s="25"/>
      <c r="M61" s="25"/>
      <c r="N61" s="25"/>
      <c r="O61" s="41"/>
      <c r="P61" s="25"/>
      <c r="Q61" s="25"/>
      <c r="R61" s="25"/>
      <c r="S61" s="25"/>
      <c r="T61" s="25"/>
      <c r="U61" s="25"/>
      <c r="V61" s="25"/>
      <c r="W61" s="25"/>
      <c r="X61" s="1"/>
      <c r="Y61" s="9"/>
    </row>
    <row r="62" spans="4:25" x14ac:dyDescent="0.25">
      <c r="D62" s="3"/>
      <c r="E62" s="25"/>
      <c r="F62" s="25"/>
      <c r="G62" s="25"/>
      <c r="H62" s="25"/>
      <c r="I62" s="25"/>
      <c r="J62" s="25"/>
      <c r="K62" s="41"/>
      <c r="L62" s="25"/>
      <c r="M62" s="25"/>
      <c r="N62" s="25"/>
      <c r="O62" s="41"/>
      <c r="P62" s="25"/>
      <c r="Q62" s="25"/>
      <c r="R62" s="25"/>
      <c r="S62" s="25"/>
      <c r="T62" s="25"/>
      <c r="U62" s="25"/>
      <c r="V62" s="25"/>
      <c r="W62" s="25"/>
      <c r="X62" s="1"/>
      <c r="Y62" s="9"/>
    </row>
    <row r="63" spans="4:25" x14ac:dyDescent="0.25">
      <c r="D63" s="3"/>
      <c r="E63" s="25"/>
      <c r="F63" s="25"/>
      <c r="G63" s="25"/>
      <c r="H63" s="25"/>
      <c r="I63" s="25"/>
      <c r="J63" s="25"/>
      <c r="K63" s="41"/>
      <c r="L63" s="25"/>
      <c r="M63" s="25"/>
      <c r="N63" s="25"/>
      <c r="O63" s="41"/>
      <c r="P63" s="25"/>
      <c r="Q63" s="25"/>
      <c r="R63" s="25"/>
      <c r="S63" s="25"/>
      <c r="T63" s="25"/>
      <c r="U63" s="25"/>
      <c r="V63" s="25"/>
      <c r="W63" s="25"/>
      <c r="X63" s="1"/>
      <c r="Y63" s="9"/>
    </row>
    <row r="64" spans="4:25" x14ac:dyDescent="0.25">
      <c r="D64" s="3"/>
      <c r="E64" s="25"/>
      <c r="F64" s="25"/>
      <c r="G64" s="25"/>
      <c r="H64" s="25"/>
      <c r="I64" s="25"/>
      <c r="J64" s="25"/>
      <c r="K64" s="41"/>
      <c r="L64" s="25"/>
      <c r="M64" s="25"/>
      <c r="N64" s="25"/>
      <c r="O64" s="41"/>
      <c r="P64" s="25"/>
      <c r="Q64" s="25"/>
      <c r="R64" s="25"/>
      <c r="S64" s="25"/>
      <c r="T64" s="25"/>
      <c r="U64" s="25"/>
      <c r="V64" s="25"/>
      <c r="W64" s="25"/>
      <c r="X64" s="1"/>
      <c r="Y64" s="9"/>
    </row>
    <row r="65" spans="4:25" x14ac:dyDescent="0.25">
      <c r="D65" s="3"/>
      <c r="E65" s="25"/>
      <c r="F65" s="25"/>
      <c r="G65" s="25"/>
      <c r="H65" s="25"/>
      <c r="I65" s="25"/>
      <c r="J65" s="25"/>
      <c r="K65" s="41"/>
      <c r="L65" s="25"/>
      <c r="M65" s="25"/>
      <c r="N65" s="25"/>
      <c r="O65" s="41"/>
      <c r="P65" s="25"/>
      <c r="Q65" s="25"/>
      <c r="R65" s="25"/>
      <c r="S65" s="25"/>
      <c r="T65" s="25"/>
      <c r="U65" s="25"/>
      <c r="V65" s="25"/>
      <c r="W65" s="25"/>
      <c r="X65" s="1"/>
      <c r="Y65" s="9"/>
    </row>
    <row r="66" spans="4:25" x14ac:dyDescent="0.25">
      <c r="D66" s="3"/>
      <c r="E66" s="25"/>
      <c r="F66" s="25"/>
      <c r="G66" s="25"/>
      <c r="H66" s="25"/>
      <c r="I66" s="25"/>
      <c r="J66" s="25"/>
      <c r="K66" s="41"/>
      <c r="L66" s="25"/>
      <c r="M66" s="25"/>
      <c r="N66" s="25"/>
      <c r="O66" s="41"/>
      <c r="P66" s="25"/>
      <c r="Q66" s="25"/>
      <c r="R66" s="25"/>
      <c r="S66" s="25"/>
      <c r="T66" s="25"/>
      <c r="U66" s="25"/>
      <c r="V66" s="25"/>
      <c r="W66" s="25"/>
      <c r="X66" s="1"/>
      <c r="Y66" s="9"/>
    </row>
    <row r="67" spans="4:25" x14ac:dyDescent="0.25">
      <c r="D67" s="3"/>
      <c r="E67" s="25"/>
      <c r="F67" s="25"/>
      <c r="G67" s="25"/>
      <c r="H67" s="25"/>
      <c r="I67" s="25"/>
      <c r="J67" s="25"/>
      <c r="K67" s="41"/>
      <c r="L67" s="25"/>
      <c r="M67" s="25"/>
      <c r="N67" s="25"/>
      <c r="O67" s="41"/>
      <c r="P67" s="25"/>
      <c r="Q67" s="25"/>
      <c r="R67" s="25"/>
      <c r="S67" s="25"/>
      <c r="T67" s="25"/>
      <c r="U67" s="25"/>
      <c r="V67" s="25"/>
      <c r="W67" s="25"/>
      <c r="X67" s="1"/>
      <c r="Y67" s="9"/>
    </row>
    <row r="68" spans="4:25" x14ac:dyDescent="0.25">
      <c r="D68" s="3"/>
      <c r="E68" s="25"/>
      <c r="F68" s="25"/>
      <c r="G68" s="25"/>
      <c r="H68" s="25"/>
      <c r="I68" s="25"/>
      <c r="J68" s="25"/>
      <c r="K68" s="41"/>
      <c r="L68" s="25"/>
      <c r="M68" s="25"/>
      <c r="N68" s="25"/>
      <c r="O68" s="41"/>
      <c r="P68" s="25"/>
      <c r="Q68" s="25"/>
      <c r="R68" s="25"/>
      <c r="S68" s="25"/>
      <c r="T68" s="25"/>
      <c r="U68" s="25"/>
      <c r="V68" s="25"/>
      <c r="W68" s="25"/>
      <c r="X68" s="1"/>
      <c r="Y68" s="9"/>
    </row>
    <row r="69" spans="4:25" x14ac:dyDescent="0.25">
      <c r="D69" s="3"/>
      <c r="E69" s="25"/>
      <c r="F69" s="25"/>
      <c r="G69" s="25"/>
      <c r="H69" s="25"/>
      <c r="I69" s="25"/>
      <c r="J69" s="25"/>
      <c r="K69" s="41"/>
      <c r="L69" s="25"/>
      <c r="M69" s="25"/>
      <c r="N69" s="25"/>
      <c r="O69" s="41"/>
      <c r="P69" s="25"/>
      <c r="Q69" s="25"/>
      <c r="R69" s="25"/>
      <c r="S69" s="25"/>
      <c r="T69" s="25"/>
      <c r="U69" s="25"/>
      <c r="V69" s="25"/>
      <c r="W69" s="25"/>
      <c r="X69" s="1"/>
      <c r="Y69" s="9"/>
    </row>
    <row r="70" spans="4:25" x14ac:dyDescent="0.25">
      <c r="D70" s="3"/>
      <c r="E70" s="25"/>
      <c r="F70" s="25"/>
      <c r="G70" s="25"/>
      <c r="H70" s="25"/>
      <c r="I70" s="25"/>
      <c r="J70" s="25"/>
      <c r="K70" s="41"/>
      <c r="L70" s="25"/>
      <c r="M70" s="25"/>
      <c r="N70" s="25"/>
      <c r="O70" s="41"/>
      <c r="P70" s="25"/>
      <c r="Q70" s="25"/>
      <c r="R70" s="25"/>
      <c r="S70" s="25"/>
      <c r="T70" s="25"/>
      <c r="U70" s="25"/>
      <c r="V70" s="25"/>
      <c r="W70" s="25"/>
      <c r="X70" s="1"/>
      <c r="Y70" s="9"/>
    </row>
    <row r="71" spans="4:25" x14ac:dyDescent="0.25">
      <c r="D71" s="3"/>
      <c r="E71" s="25"/>
      <c r="F71" s="25"/>
      <c r="G71" s="25"/>
      <c r="H71" s="25"/>
      <c r="I71" s="25"/>
      <c r="J71" s="25"/>
      <c r="K71" s="41"/>
      <c r="L71" s="25"/>
      <c r="M71" s="25"/>
      <c r="N71" s="25"/>
      <c r="O71" s="41"/>
      <c r="P71" s="25"/>
      <c r="Q71" s="25"/>
      <c r="R71" s="25"/>
      <c r="S71" s="25"/>
      <c r="T71" s="25"/>
      <c r="U71" s="25"/>
      <c r="V71" s="25"/>
      <c r="W71" s="25"/>
      <c r="X71" s="1"/>
      <c r="Y71" s="9"/>
    </row>
    <row r="72" spans="4:25" x14ac:dyDescent="0.25">
      <c r="D72" s="3"/>
      <c r="E72" s="25"/>
      <c r="F72" s="25"/>
      <c r="G72" s="25"/>
      <c r="H72" s="25"/>
      <c r="I72" s="25"/>
      <c r="J72" s="25"/>
      <c r="K72" s="41"/>
      <c r="L72" s="25"/>
      <c r="M72" s="25"/>
      <c r="N72" s="25"/>
      <c r="O72" s="41"/>
      <c r="P72" s="25"/>
      <c r="Q72" s="25"/>
      <c r="R72" s="25"/>
      <c r="S72" s="25"/>
      <c r="T72" s="25"/>
      <c r="U72" s="25"/>
      <c r="V72" s="25"/>
      <c r="W72" s="25"/>
      <c r="X72" s="1"/>
      <c r="Y72" s="9"/>
    </row>
    <row r="73" spans="4:25" x14ac:dyDescent="0.25">
      <c r="D73" s="3"/>
      <c r="E73" s="25"/>
      <c r="F73" s="25"/>
      <c r="G73" s="25"/>
      <c r="H73" s="25"/>
      <c r="I73" s="25"/>
      <c r="J73" s="25"/>
      <c r="K73" s="41"/>
      <c r="L73" s="25"/>
      <c r="M73" s="25"/>
      <c r="N73" s="25"/>
      <c r="O73" s="41"/>
      <c r="P73" s="25"/>
      <c r="Q73" s="25"/>
      <c r="R73" s="25"/>
      <c r="S73" s="25"/>
      <c r="T73" s="25"/>
      <c r="U73" s="25"/>
      <c r="V73" s="25"/>
      <c r="W73" s="25"/>
      <c r="X73" s="1"/>
      <c r="Y73" s="9"/>
    </row>
    <row r="74" spans="4:25" x14ac:dyDescent="0.25">
      <c r="D74" s="3"/>
      <c r="E74" s="25"/>
      <c r="F74" s="25"/>
      <c r="G74" s="25"/>
      <c r="H74" s="25"/>
      <c r="I74" s="25"/>
      <c r="J74" s="25"/>
      <c r="K74" s="41"/>
      <c r="L74" s="25"/>
      <c r="M74" s="25"/>
      <c r="N74" s="25"/>
      <c r="O74" s="41"/>
      <c r="P74" s="25"/>
      <c r="Q74" s="25"/>
      <c r="R74" s="25"/>
      <c r="S74" s="25"/>
      <c r="T74" s="25"/>
      <c r="U74" s="25"/>
      <c r="V74" s="25"/>
      <c r="W74" s="25"/>
      <c r="X74" s="1"/>
      <c r="Y74" s="9"/>
    </row>
    <row r="75" spans="4:25" x14ac:dyDescent="0.25">
      <c r="D75" s="3"/>
      <c r="E75" s="25"/>
      <c r="F75" s="25"/>
      <c r="G75" s="25"/>
      <c r="H75" s="25"/>
      <c r="I75" s="25"/>
      <c r="J75" s="25"/>
      <c r="K75" s="41"/>
      <c r="L75" s="25"/>
      <c r="M75" s="25"/>
      <c r="N75" s="25"/>
      <c r="O75" s="41"/>
      <c r="P75" s="25"/>
      <c r="Q75" s="25"/>
      <c r="R75" s="25"/>
      <c r="S75" s="25"/>
      <c r="T75" s="25"/>
      <c r="U75" s="25"/>
      <c r="V75" s="25"/>
      <c r="W75" s="25"/>
      <c r="X75" s="1"/>
      <c r="Y75" s="9"/>
    </row>
    <row r="76" spans="4:25" x14ac:dyDescent="0.25">
      <c r="D76" s="3"/>
      <c r="E76" s="25"/>
      <c r="F76" s="25"/>
      <c r="G76" s="25"/>
      <c r="H76" s="25"/>
      <c r="I76" s="25"/>
      <c r="J76" s="25"/>
      <c r="K76" s="41"/>
      <c r="L76" s="25"/>
      <c r="M76" s="25"/>
      <c r="N76" s="25"/>
      <c r="O76" s="41"/>
      <c r="P76" s="25"/>
      <c r="Q76" s="25"/>
      <c r="R76" s="25"/>
      <c r="S76" s="25"/>
      <c r="T76" s="25"/>
      <c r="U76" s="25"/>
      <c r="V76" s="25"/>
      <c r="W76" s="25"/>
      <c r="X76" s="1"/>
      <c r="Y76" s="9"/>
    </row>
    <row r="77" spans="4:25" x14ac:dyDescent="0.25">
      <c r="D77" s="3"/>
      <c r="E77" s="25"/>
      <c r="F77" s="25"/>
      <c r="G77" s="25"/>
      <c r="H77" s="25"/>
      <c r="I77" s="25"/>
      <c r="J77" s="25"/>
      <c r="K77" s="41"/>
      <c r="L77" s="25"/>
      <c r="M77" s="25"/>
      <c r="N77" s="25"/>
      <c r="O77" s="41"/>
      <c r="P77" s="25"/>
      <c r="Q77" s="25"/>
      <c r="R77" s="25"/>
      <c r="S77" s="25"/>
      <c r="T77" s="25"/>
      <c r="U77" s="25"/>
      <c r="V77" s="25"/>
      <c r="W77" s="25"/>
      <c r="X77" s="1"/>
      <c r="Y77" s="9"/>
    </row>
    <row r="78" spans="4:25" x14ac:dyDescent="0.25">
      <c r="D78" s="3"/>
      <c r="E78" s="25"/>
      <c r="F78" s="25"/>
      <c r="G78" s="25"/>
      <c r="H78" s="25"/>
      <c r="I78" s="25"/>
      <c r="J78" s="25"/>
      <c r="K78" s="41"/>
      <c r="L78" s="25"/>
      <c r="M78" s="25"/>
      <c r="N78" s="25"/>
      <c r="O78" s="41"/>
      <c r="P78" s="25"/>
      <c r="Q78" s="25"/>
      <c r="R78" s="25"/>
      <c r="S78" s="25"/>
      <c r="T78" s="25"/>
      <c r="U78" s="25"/>
      <c r="V78" s="25"/>
      <c r="W78" s="25"/>
      <c r="X78" s="1"/>
      <c r="Y78" s="9"/>
    </row>
    <row r="79" spans="4:25" x14ac:dyDescent="0.25">
      <c r="D79" s="3"/>
      <c r="E79" s="25"/>
      <c r="F79" s="25"/>
      <c r="G79" s="25"/>
      <c r="H79" s="25"/>
      <c r="I79" s="25"/>
      <c r="J79" s="25"/>
      <c r="K79" s="41"/>
      <c r="L79" s="25"/>
      <c r="M79" s="25"/>
      <c r="N79" s="25"/>
      <c r="O79" s="41"/>
      <c r="P79" s="25"/>
      <c r="Q79" s="25"/>
      <c r="R79" s="25"/>
      <c r="S79" s="25"/>
      <c r="T79" s="25"/>
      <c r="U79" s="25"/>
      <c r="V79" s="25"/>
      <c r="W79" s="25"/>
      <c r="X79" s="1"/>
      <c r="Y79" s="9"/>
    </row>
    <row r="80" spans="4:25" x14ac:dyDescent="0.25">
      <c r="D80" s="6"/>
      <c r="E80" s="26"/>
      <c r="F80" s="26"/>
      <c r="G80" s="26"/>
      <c r="H80" s="26"/>
      <c r="I80" s="26"/>
      <c r="J80" s="26"/>
      <c r="K80" s="44"/>
      <c r="L80" s="26"/>
      <c r="M80" s="26"/>
      <c r="N80" s="26"/>
      <c r="O80" s="44"/>
      <c r="P80" s="26"/>
      <c r="Q80" s="26"/>
      <c r="R80" s="26"/>
      <c r="S80" s="26"/>
      <c r="T80" s="26"/>
      <c r="U80" s="26"/>
      <c r="V80" s="26"/>
      <c r="W80" s="26"/>
      <c r="X80" s="7"/>
      <c r="Y80" s="10"/>
    </row>
  </sheetData>
  <mergeCells count="4">
    <mergeCell ref="G10:H10"/>
    <mergeCell ref="I10:J10"/>
    <mergeCell ref="M10:N10"/>
    <mergeCell ref="F10:F1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43F9D-AA53-469F-9278-F2DCE65246E9}">
  <sheetPr codeName="Sheet8">
    <tabColor theme="2" tint="-9.9978637043366805E-2"/>
  </sheetPr>
  <dimension ref="B1:MB80"/>
  <sheetViews>
    <sheetView showGridLines="0" topLeftCell="B1" zoomScaleNormal="100" workbookViewId="0">
      <selection activeCell="O9" sqref="O9"/>
    </sheetView>
  </sheetViews>
  <sheetFormatPr defaultRowHeight="15" x14ac:dyDescent="0.25"/>
  <cols>
    <col min="1" max="1" width="0" hidden="1" customWidth="1"/>
    <col min="2" max="4" width="8.7109375" style="2"/>
    <col min="5" max="5" width="11" style="39" bestFit="1" customWidth="1"/>
    <col min="6" max="6" width="13.5703125" style="39" customWidth="1"/>
    <col min="7" max="8" width="17.85546875" style="39" customWidth="1"/>
    <col min="9" max="9" width="18.85546875" style="39" bestFit="1" customWidth="1"/>
    <col min="10" max="10" width="23.5703125" style="39" customWidth="1"/>
    <col min="11" max="11" width="21.140625" style="45" customWidth="1"/>
    <col min="12" max="12" width="8.7109375" style="39"/>
    <col min="13" max="13" width="18.85546875" style="39" bestFit="1" customWidth="1"/>
    <col min="14" max="14" width="25.28515625" style="39" bestFit="1" customWidth="1"/>
    <col min="15" max="15" width="21.140625" style="45" customWidth="1"/>
    <col min="16" max="23" width="8.7109375" style="39"/>
    <col min="24" max="340" width="8.7109375" style="2"/>
  </cols>
  <sheetData>
    <row r="1" spans="4:25" s="1" customFormat="1" x14ac:dyDescent="0.25">
      <c r="E1" s="25"/>
      <c r="F1" s="25"/>
      <c r="G1" s="25"/>
      <c r="H1" s="25"/>
      <c r="I1" s="25"/>
      <c r="J1" s="25"/>
      <c r="K1" s="41"/>
      <c r="L1" s="25"/>
      <c r="M1" s="25"/>
      <c r="N1" s="25"/>
      <c r="O1" s="41"/>
      <c r="P1" s="25"/>
      <c r="Q1" s="25"/>
      <c r="R1" s="25"/>
      <c r="S1" s="25"/>
      <c r="T1" s="25"/>
      <c r="U1" s="25"/>
      <c r="V1" s="25"/>
      <c r="W1" s="25"/>
    </row>
    <row r="2" spans="4:25" s="1" customFormat="1" ht="26.25" x14ac:dyDescent="0.25">
      <c r="E2" s="25"/>
      <c r="F2" s="25"/>
      <c r="G2" s="25"/>
      <c r="H2" s="60" t="s">
        <v>0</v>
      </c>
      <c r="I2" s="25"/>
      <c r="J2" s="25"/>
      <c r="K2" s="41"/>
      <c r="L2" s="25"/>
      <c r="M2" s="25"/>
      <c r="N2" s="25"/>
      <c r="O2" s="41"/>
      <c r="P2" s="25"/>
      <c r="Q2" s="25"/>
      <c r="R2" s="25"/>
      <c r="S2" s="25"/>
      <c r="T2" s="25"/>
      <c r="U2" s="25"/>
      <c r="V2" s="25"/>
      <c r="W2" s="25"/>
    </row>
    <row r="3" spans="4:25" s="1" customFormat="1" x14ac:dyDescent="0.25">
      <c r="E3" s="25"/>
      <c r="F3" s="25"/>
      <c r="G3" s="25"/>
      <c r="H3" s="25"/>
      <c r="I3" s="25"/>
      <c r="J3" s="25"/>
      <c r="K3" s="41"/>
      <c r="L3" s="25"/>
      <c r="M3" s="25"/>
      <c r="N3" s="25"/>
      <c r="O3" s="41"/>
      <c r="P3" s="25"/>
      <c r="Q3" s="25"/>
      <c r="R3" s="25"/>
      <c r="S3" s="25"/>
      <c r="T3" s="25"/>
      <c r="U3" s="25"/>
      <c r="V3" s="25"/>
      <c r="W3" s="25"/>
    </row>
    <row r="4" spans="4:25" s="11" customFormat="1" ht="4.5" customHeight="1" x14ac:dyDescent="0.25">
      <c r="E4" s="35"/>
      <c r="F4" s="35"/>
      <c r="G4" s="35"/>
      <c r="H4" s="35"/>
      <c r="I4" s="35"/>
      <c r="J4" s="35"/>
      <c r="K4" s="42"/>
      <c r="L4" s="35"/>
      <c r="M4" s="35"/>
      <c r="N4" s="35"/>
      <c r="O4" s="42"/>
      <c r="P4" s="35"/>
      <c r="Q4" s="35"/>
      <c r="R4" s="35"/>
      <c r="S4" s="35"/>
      <c r="T4" s="35"/>
      <c r="U4" s="35"/>
      <c r="V4" s="35"/>
      <c r="W4" s="35"/>
    </row>
    <row r="5" spans="4:25" s="12" customFormat="1" ht="4.5" customHeight="1" x14ac:dyDescent="0.25">
      <c r="E5" s="36"/>
      <c r="F5" s="36"/>
      <c r="G5" s="36"/>
      <c r="H5" s="36"/>
      <c r="I5" s="36"/>
      <c r="J5" s="36"/>
      <c r="K5" s="43"/>
      <c r="L5" s="36"/>
      <c r="M5" s="36"/>
      <c r="N5" s="36"/>
      <c r="O5" s="43"/>
      <c r="P5" s="36"/>
      <c r="Q5" s="36"/>
      <c r="R5" s="36"/>
      <c r="S5" s="36"/>
      <c r="T5" s="36"/>
      <c r="U5" s="36"/>
      <c r="V5" s="36"/>
      <c r="W5" s="36"/>
    </row>
    <row r="8" spans="4:25" x14ac:dyDescent="0.25">
      <c r="D8" s="4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5"/>
      <c r="Y8" s="8"/>
    </row>
    <row r="9" spans="4:25" x14ac:dyDescent="0.25">
      <c r="D9" s="3"/>
      <c r="E9" s="38" t="s">
        <v>80</v>
      </c>
      <c r="F9" s="38"/>
      <c r="G9" s="38"/>
      <c r="H9" s="38"/>
      <c r="I9" s="96">
        <f ca="1">SUM(I12:I22)</f>
        <v>751.37255373583014</v>
      </c>
      <c r="J9" s="96">
        <f ca="1">SUM(J12:J22)</f>
        <v>5261.7185876911954</v>
      </c>
      <c r="K9" s="96">
        <f ca="1">SUM(K12:K22)</f>
        <v>6.8722359507928674</v>
      </c>
      <c r="L9" s="25"/>
      <c r="M9" s="96">
        <f ca="1">SUM(M12:M22)</f>
        <v>732.13427374403125</v>
      </c>
      <c r="N9" s="96">
        <f ca="1">SUM(N12:N22)</f>
        <v>4594.7410741674466</v>
      </c>
      <c r="O9" s="96">
        <f ca="1">SUM(O12:O22)</f>
        <v>6.2200342977048786</v>
      </c>
      <c r="P9" s="25"/>
      <c r="Q9" s="25"/>
      <c r="R9" s="25"/>
      <c r="S9" s="25"/>
      <c r="T9" s="25"/>
      <c r="U9" s="25"/>
      <c r="V9" s="25"/>
      <c r="W9" s="25"/>
      <c r="X9" s="1"/>
      <c r="Y9" s="9"/>
    </row>
    <row r="10" spans="4:25" x14ac:dyDescent="0.25">
      <c r="D10" s="3"/>
      <c r="E10" s="38"/>
      <c r="F10" s="132" t="s">
        <v>77</v>
      </c>
      <c r="G10" s="130" t="s">
        <v>59</v>
      </c>
      <c r="H10" s="131"/>
      <c r="I10" s="130" t="s">
        <v>76</v>
      </c>
      <c r="J10" s="131"/>
      <c r="K10" s="46" t="s">
        <v>79</v>
      </c>
      <c r="L10" s="25"/>
      <c r="M10" s="130" t="s">
        <v>92</v>
      </c>
      <c r="N10" s="131"/>
      <c r="O10" s="46" t="s">
        <v>78</v>
      </c>
      <c r="P10" s="25"/>
      <c r="Q10" s="25"/>
      <c r="R10" s="25"/>
      <c r="S10" s="25"/>
      <c r="T10" s="25"/>
      <c r="U10" s="25"/>
      <c r="V10" s="25"/>
      <c r="W10" s="25"/>
      <c r="X10" s="1"/>
      <c r="Y10" s="9"/>
    </row>
    <row r="11" spans="4:25" x14ac:dyDescent="0.25">
      <c r="D11" s="3"/>
      <c r="E11" s="38" t="s">
        <v>51</v>
      </c>
      <c r="F11" s="133"/>
      <c r="G11" s="38" t="s">
        <v>88</v>
      </c>
      <c r="H11" s="38" t="s">
        <v>89</v>
      </c>
      <c r="I11" s="38" t="s">
        <v>60</v>
      </c>
      <c r="J11" s="38" t="s">
        <v>61</v>
      </c>
      <c r="K11" s="46"/>
      <c r="L11" s="25"/>
      <c r="M11" s="38" t="s">
        <v>60</v>
      </c>
      <c r="N11" s="38" t="s">
        <v>61</v>
      </c>
      <c r="O11" s="46"/>
      <c r="P11" s="25"/>
      <c r="Q11" s="25"/>
      <c r="R11" s="25"/>
      <c r="S11" s="25"/>
      <c r="T11" s="25"/>
      <c r="U11" s="25"/>
      <c r="V11" s="25"/>
      <c r="W11" s="25"/>
      <c r="X11" s="1"/>
      <c r="Y11" s="9"/>
    </row>
    <row r="12" spans="4:25" x14ac:dyDescent="0.25">
      <c r="D12" s="3"/>
      <c r="E12" s="76">
        <v>0</v>
      </c>
      <c r="F12" s="88">
        <v>1</v>
      </c>
      <c r="G12" s="97">
        <v>1</v>
      </c>
      <c r="H12" s="97">
        <v>0</v>
      </c>
      <c r="I12" s="97">
        <f t="shared" ref="I12:I22" ca="1" si="0">G12*p_c_B</f>
        <v>293.3631339490056</v>
      </c>
      <c r="J12" s="97">
        <f t="shared" ref="J12:J22" ca="1" si="1">G12*p_c_h+H12*p_c_s</f>
        <v>173.23493756632985</v>
      </c>
      <c r="K12" s="98">
        <f t="shared" ref="K12:K22" ca="1" si="2">G12*p_u_h+H12*p_u_s</f>
        <v>1</v>
      </c>
      <c r="L12" s="25"/>
      <c r="M12" s="104">
        <f ca="1">I12</f>
        <v>293.3631339490056</v>
      </c>
      <c r="N12" s="105">
        <f ca="1">J12</f>
        <v>173.23493756632985</v>
      </c>
      <c r="O12" s="106">
        <f ca="1">K12</f>
        <v>1</v>
      </c>
      <c r="P12" s="25"/>
      <c r="Q12" s="25"/>
      <c r="R12" s="25"/>
      <c r="S12" s="25"/>
      <c r="T12" s="25"/>
      <c r="U12" s="25"/>
      <c r="V12" s="25"/>
      <c r="W12" s="25"/>
      <c r="X12" s="1"/>
      <c r="Y12" s="9"/>
    </row>
    <row r="13" spans="4:25" x14ac:dyDescent="0.25">
      <c r="D13" s="3"/>
      <c r="E13" s="76">
        <v>1</v>
      </c>
      <c r="F13" s="88">
        <v>1</v>
      </c>
      <c r="G13" s="97">
        <f t="shared" ref="G13:G22" ca="1" si="3">F13*G12*p_hh_B</f>
        <v>0.61130297027254099</v>
      </c>
      <c r="H13" s="97">
        <f t="shared" ref="H13:H22" si="4">F13*(G12*p_hs_B+H12*p_ss_B)</f>
        <v>0.3</v>
      </c>
      <c r="I13" s="97">
        <f t="shared" ca="1" si="0"/>
        <v>179.33375515148842</v>
      </c>
      <c r="J13" s="97">
        <f t="shared" ca="1" si="1"/>
        <v>327.82150970485128</v>
      </c>
      <c r="K13" s="98">
        <f t="shared" ca="1" si="2"/>
        <v>0.8098714643752073</v>
      </c>
      <c r="L13" s="25"/>
      <c r="M13" s="102">
        <f t="shared" ref="M13:M22" ca="1" si="5">IFERROR(I13/(1+discount_cost)^($E13-1), "")</f>
        <v>179.33375515148842</v>
      </c>
      <c r="N13" s="97">
        <f t="shared" ref="N13:N22" ca="1" si="6">IFERROR(J13/(1+discount_cost)^($E13-1), "")</f>
        <v>327.82150970485128</v>
      </c>
      <c r="O13" s="98">
        <f t="shared" ref="O13:O22" ca="1" si="7">IFERROR(K13/(1+discount_healthOutcome)^($E13-1), "")</f>
        <v>0.8098714643752073</v>
      </c>
      <c r="P13" s="25"/>
      <c r="Q13" s="25"/>
      <c r="R13" s="25"/>
      <c r="S13" s="25"/>
      <c r="T13" s="25"/>
      <c r="U13" s="25"/>
      <c r="V13" s="25"/>
      <c r="W13" s="25"/>
      <c r="X13" s="1"/>
      <c r="Y13" s="9"/>
    </row>
    <row r="14" spans="4:25" x14ac:dyDescent="0.25">
      <c r="D14" s="3"/>
      <c r="E14" s="76">
        <v>2</v>
      </c>
      <c r="F14" s="88">
        <v>1</v>
      </c>
      <c r="G14" s="97">
        <f t="shared" ca="1" si="3"/>
        <v>0.37369132146403111</v>
      </c>
      <c r="H14" s="97">
        <f t="shared" ca="1" si="4"/>
        <v>0.48339089108176225</v>
      </c>
      <c r="I14" s="97">
        <f t="shared" ca="1" si="0"/>
        <v>109.62725719423347</v>
      </c>
      <c r="J14" s="97">
        <f t="shared" ca="1" si="1"/>
        <v>422.32074041737985</v>
      </c>
      <c r="K14" s="98">
        <f t="shared" ca="1" si="2"/>
        <v>0.6936453258142028</v>
      </c>
      <c r="L14" s="25"/>
      <c r="M14" s="102">
        <f t="shared" ca="1" si="5"/>
        <v>106.43423028566356</v>
      </c>
      <c r="N14" s="97">
        <f t="shared" ca="1" si="6"/>
        <v>410.02013632755325</v>
      </c>
      <c r="O14" s="98">
        <f t="shared" ca="1" si="7"/>
        <v>0.67344206389728423</v>
      </c>
      <c r="P14" s="25"/>
      <c r="Q14" s="25"/>
      <c r="R14" s="25"/>
      <c r="S14" s="25"/>
      <c r="T14" s="25"/>
      <c r="U14" s="25"/>
      <c r="V14" s="25"/>
      <c r="W14" s="25"/>
      <c r="X14" s="1"/>
      <c r="Y14" s="9"/>
    </row>
    <row r="15" spans="4:25" x14ac:dyDescent="0.25">
      <c r="D15" s="3"/>
      <c r="E15" s="76">
        <v>3</v>
      </c>
      <c r="F15" s="88">
        <v>1</v>
      </c>
      <c r="G15" s="97">
        <f t="shared" ca="1" si="3"/>
        <v>0.22843861477603317</v>
      </c>
      <c r="H15" s="97">
        <f t="shared" ca="1" si="4"/>
        <v>0.59549828752097156</v>
      </c>
      <c r="I15" s="97">
        <f t="shared" ca="1" si="0"/>
        <v>67.015467945666714</v>
      </c>
      <c r="J15" s="97">
        <f t="shared" ca="1" si="1"/>
        <v>480.08840084041873</v>
      </c>
      <c r="K15" s="98">
        <f t="shared" ca="1" si="2"/>
        <v>0.62259594208855296</v>
      </c>
      <c r="L15" s="25"/>
      <c r="M15" s="102">
        <f t="shared" ca="1" si="5"/>
        <v>63.168505934269696</v>
      </c>
      <c r="N15" s="97">
        <f t="shared" ca="1" si="6"/>
        <v>452.52936265474477</v>
      </c>
      <c r="O15" s="98">
        <f t="shared" ca="1" si="7"/>
        <v>0.58685638805594587</v>
      </c>
      <c r="P15" s="25"/>
      <c r="Q15" s="25"/>
      <c r="R15" s="25"/>
      <c r="S15" s="25"/>
      <c r="T15" s="25"/>
      <c r="U15" s="25"/>
      <c r="V15" s="25"/>
      <c r="W15" s="25"/>
      <c r="X15" s="1"/>
      <c r="Y15" s="9"/>
    </row>
    <row r="16" spans="4:25" x14ac:dyDescent="0.25">
      <c r="D16" s="3"/>
      <c r="E16" s="76">
        <v>4</v>
      </c>
      <c r="F16" s="88">
        <v>1</v>
      </c>
      <c r="G16" s="97">
        <f t="shared" ca="1" si="3"/>
        <v>0.13964520373753384</v>
      </c>
      <c r="H16" s="97">
        <f t="shared" ca="1" si="4"/>
        <v>0.66402987195378149</v>
      </c>
      <c r="I16" s="97">
        <f t="shared" ca="1" si="0"/>
        <v>40.966754609390314</v>
      </c>
      <c r="J16" s="97">
        <f t="shared" ca="1" si="1"/>
        <v>515.40194324271783</v>
      </c>
      <c r="K16" s="98">
        <f t="shared" ca="1" si="2"/>
        <v>0.5791632427810296</v>
      </c>
      <c r="L16" s="25"/>
      <c r="M16" s="102">
        <f t="shared" ca="1" si="5"/>
        <v>37.490383791551153</v>
      </c>
      <c r="N16" s="97">
        <f t="shared" ca="1" si="6"/>
        <v>471.66578957298378</v>
      </c>
      <c r="O16" s="98">
        <f t="shared" ca="1" si="7"/>
        <v>0.5300164110349882</v>
      </c>
      <c r="P16" s="25"/>
      <c r="Q16" s="25"/>
      <c r="R16" s="25"/>
      <c r="S16" s="25"/>
      <c r="T16" s="25"/>
      <c r="U16" s="25"/>
      <c r="V16" s="25"/>
      <c r="W16" s="25"/>
      <c r="X16" s="1"/>
      <c r="Y16" s="9"/>
    </row>
    <row r="17" spans="4:25" x14ac:dyDescent="0.25">
      <c r="D17" s="3"/>
      <c r="E17" s="76">
        <v>5</v>
      </c>
      <c r="F17" s="88">
        <v>1</v>
      </c>
      <c r="G17" s="97">
        <f t="shared" ca="1" si="3"/>
        <v>8.5365527829068574E-2</v>
      </c>
      <c r="H17" s="97">
        <f t="shared" ca="1" si="4"/>
        <v>0.70592343307504168</v>
      </c>
      <c r="I17" s="97">
        <f t="shared" ca="1" si="0"/>
        <v>25.043098775146611</v>
      </c>
      <c r="J17" s="97">
        <f t="shared" ca="1" si="1"/>
        <v>536.98921660408871</v>
      </c>
      <c r="K17" s="98">
        <f t="shared" ca="1" si="2"/>
        <v>0.55261270468738644</v>
      </c>
      <c r="L17" s="25"/>
      <c r="M17" s="102">
        <f t="shared" ca="1" si="5"/>
        <v>22.250468901391017</v>
      </c>
      <c r="N17" s="97">
        <f t="shared" ca="1" si="6"/>
        <v>477.10796382312526</v>
      </c>
      <c r="O17" s="98">
        <f t="shared" ca="1" si="7"/>
        <v>0.49098923062840039</v>
      </c>
      <c r="P17" s="25"/>
      <c r="Q17" s="25"/>
      <c r="R17" s="25"/>
      <c r="S17" s="25"/>
      <c r="T17" s="25"/>
      <c r="U17" s="25"/>
      <c r="V17" s="25"/>
      <c r="W17" s="25"/>
      <c r="X17" s="1"/>
      <c r="Y17" s="9"/>
    </row>
    <row r="18" spans="4:25" x14ac:dyDescent="0.25">
      <c r="D18" s="3"/>
      <c r="E18" s="76">
        <v>6</v>
      </c>
      <c r="F18" s="88">
        <v>1</v>
      </c>
      <c r="G18" s="97">
        <f t="shared" ca="1" si="3"/>
        <v>5.2184200720792877E-2</v>
      </c>
      <c r="H18" s="97">
        <f t="shared" ca="1" si="4"/>
        <v>0.73153309142376222</v>
      </c>
      <c r="I18" s="97">
        <f t="shared" ca="1" si="0"/>
        <v>15.308920666075755</v>
      </c>
      <c r="J18" s="97">
        <f t="shared" ca="1" si="1"/>
        <v>550.18558092997989</v>
      </c>
      <c r="K18" s="98">
        <f t="shared" ca="1" si="2"/>
        <v>0.5363822818884082</v>
      </c>
      <c r="L18" s="25"/>
      <c r="M18" s="102">
        <f t="shared" ca="1" si="5"/>
        <v>13.205609445997215</v>
      </c>
      <c r="N18" s="97">
        <f t="shared" ca="1" si="6"/>
        <v>474.5949151517051</v>
      </c>
      <c r="O18" s="98">
        <f t="shared" ca="1" si="7"/>
        <v>0.46268806814496383</v>
      </c>
      <c r="P18" s="25"/>
      <c r="Q18" s="25"/>
      <c r="R18" s="25"/>
      <c r="S18" s="25"/>
      <c r="T18" s="25"/>
      <c r="U18" s="25"/>
      <c r="V18" s="25"/>
      <c r="W18" s="25"/>
      <c r="X18" s="1"/>
      <c r="Y18" s="9"/>
    </row>
    <row r="19" spans="4:25" x14ac:dyDescent="0.25">
      <c r="D19" s="3"/>
      <c r="E19" s="76">
        <v>7</v>
      </c>
      <c r="F19" s="88">
        <v>1</v>
      </c>
      <c r="G19" s="97">
        <f t="shared" ca="1" si="3"/>
        <v>3.1900356901919162E-2</v>
      </c>
      <c r="H19" s="97">
        <f t="shared" ca="1" si="4"/>
        <v>0.74718835164000008</v>
      </c>
      <c r="I19" s="97">
        <f t="shared" ca="1" si="0"/>
        <v>9.3583886748387961</v>
      </c>
      <c r="J19" s="97">
        <f t="shared" ca="1" si="1"/>
        <v>558.25255763919586</v>
      </c>
      <c r="K19" s="98">
        <f t="shared" ca="1" si="2"/>
        <v>0.52646057622261355</v>
      </c>
      <c r="L19" s="25"/>
      <c r="M19" s="102">
        <f t="shared" ca="1" si="5"/>
        <v>7.8375031831040989</v>
      </c>
      <c r="N19" s="97">
        <f t="shared" ca="1" si="6"/>
        <v>467.52772827621089</v>
      </c>
      <c r="O19" s="98">
        <f t="shared" ca="1" si="7"/>
        <v>0.44090244435104392</v>
      </c>
      <c r="P19" s="25"/>
      <c r="Q19" s="25"/>
      <c r="R19" s="25"/>
      <c r="S19" s="25"/>
      <c r="T19" s="25"/>
      <c r="U19" s="25"/>
      <c r="V19" s="25"/>
      <c r="W19" s="25"/>
      <c r="X19" s="1"/>
      <c r="Y19" s="9"/>
    </row>
    <row r="20" spans="4:25" x14ac:dyDescent="0.25">
      <c r="D20" s="3"/>
      <c r="E20" s="76">
        <v>8</v>
      </c>
      <c r="F20" s="88">
        <v>1</v>
      </c>
      <c r="G20" s="97">
        <f t="shared" ca="1" si="3"/>
        <v>1.9500782926897338E-2</v>
      </c>
      <c r="H20" s="97">
        <f t="shared" ca="1" si="4"/>
        <v>0.75675845871057579</v>
      </c>
      <c r="I20" s="97">
        <f t="shared" ca="1" si="0"/>
        <v>5.7208107938938655</v>
      </c>
      <c r="J20" s="97">
        <f t="shared" ca="1" si="1"/>
        <v>563.18392446265887</v>
      </c>
      <c r="K20" s="98">
        <f t="shared" ca="1" si="2"/>
        <v>0.52039540807894347</v>
      </c>
      <c r="L20" s="25"/>
      <c r="M20" s="102">
        <f t="shared" ca="1" si="5"/>
        <v>4.6515426945165341</v>
      </c>
      <c r="N20" s="97">
        <f t="shared" ca="1" si="6"/>
        <v>457.92006830562445</v>
      </c>
      <c r="O20" s="98">
        <f t="shared" ca="1" si="7"/>
        <v>0.42312908885104944</v>
      </c>
      <c r="P20" s="25"/>
      <c r="Q20" s="25"/>
      <c r="R20" s="25"/>
      <c r="S20" s="25"/>
      <c r="T20" s="25"/>
      <c r="U20" s="25"/>
      <c r="V20" s="25"/>
      <c r="W20" s="25"/>
      <c r="X20" s="1"/>
      <c r="Y20" s="9"/>
    </row>
    <row r="21" spans="4:25" x14ac:dyDescent="0.25">
      <c r="D21" s="3"/>
      <c r="E21" s="76">
        <v>9</v>
      </c>
      <c r="F21" s="88">
        <v>1</v>
      </c>
      <c r="G21" s="97">
        <f t="shared" ca="1" si="3"/>
        <v>1.1920886525852398E-2</v>
      </c>
      <c r="H21" s="97">
        <f t="shared" ca="1" si="4"/>
        <v>0.76260869358864503</v>
      </c>
      <c r="I21" s="97">
        <f t="shared" ca="1" si="0"/>
        <v>3.4971486306745332</v>
      </c>
      <c r="J21" s="97">
        <f t="shared" ca="1" si="1"/>
        <v>566.19848364934546</v>
      </c>
      <c r="K21" s="98">
        <f t="shared" ca="1" si="2"/>
        <v>0.51668775277751555</v>
      </c>
      <c r="L21" s="25"/>
      <c r="M21" s="102">
        <f t="shared" ca="1" si="5"/>
        <v>2.7606814228228123</v>
      </c>
      <c r="N21" s="97">
        <f t="shared" ca="1" si="6"/>
        <v>446.96231144734128</v>
      </c>
      <c r="O21" s="98">
        <f t="shared" ca="1" si="7"/>
        <v>0.40787808329948672</v>
      </c>
      <c r="P21" s="25"/>
      <c r="Q21" s="25"/>
      <c r="R21" s="25"/>
      <c r="S21" s="25"/>
      <c r="T21" s="25"/>
      <c r="U21" s="25"/>
      <c r="V21" s="25"/>
      <c r="W21" s="25"/>
      <c r="X21" s="1"/>
      <c r="Y21" s="9"/>
    </row>
    <row r="22" spans="4:25" x14ac:dyDescent="0.25">
      <c r="D22" s="3"/>
      <c r="E22" s="62">
        <v>10</v>
      </c>
      <c r="F22" s="99">
        <v>1</v>
      </c>
      <c r="G22" s="100">
        <f t="shared" ca="1" si="3"/>
        <v>7.2872733415354834E-3</v>
      </c>
      <c r="H22" s="100">
        <f t="shared" ca="1" si="4"/>
        <v>0.76618495954640076</v>
      </c>
      <c r="I22" s="100">
        <f t="shared" ca="1" si="0"/>
        <v>2.1378173454158915</v>
      </c>
      <c r="J22" s="100">
        <f t="shared" ca="1" si="1"/>
        <v>568.04129263422919</v>
      </c>
      <c r="K22" s="101">
        <f t="shared" ca="1" si="2"/>
        <v>0.5144212520790058</v>
      </c>
      <c r="L22" s="25"/>
      <c r="M22" s="103">
        <f t="shared" ca="1" si="5"/>
        <v>1.6384589842211743</v>
      </c>
      <c r="N22" s="100">
        <f t="shared" ca="1" si="6"/>
        <v>435.35635133697588</v>
      </c>
      <c r="O22" s="101">
        <f t="shared" ca="1" si="7"/>
        <v>0.39426105506650883</v>
      </c>
      <c r="P22" s="25"/>
      <c r="Q22" s="25"/>
      <c r="R22" s="25"/>
      <c r="S22" s="25"/>
      <c r="T22" s="25"/>
      <c r="U22" s="25"/>
      <c r="V22" s="25"/>
      <c r="W22" s="25"/>
      <c r="X22" s="1"/>
      <c r="Y22" s="9"/>
    </row>
    <row r="23" spans="4:25" x14ac:dyDescent="0.25">
      <c r="D23" s="3"/>
      <c r="E23" s="25"/>
      <c r="F23" s="25"/>
      <c r="G23" s="25"/>
      <c r="H23" s="25"/>
      <c r="I23" s="25"/>
      <c r="J23" s="25"/>
      <c r="K23" s="41"/>
      <c r="L23" s="25"/>
      <c r="M23" s="25"/>
      <c r="N23" s="25"/>
      <c r="O23" s="41"/>
      <c r="P23" s="25"/>
      <c r="Q23" s="25"/>
      <c r="R23" s="25"/>
      <c r="S23" s="25"/>
      <c r="T23" s="25"/>
      <c r="U23" s="25"/>
      <c r="V23" s="25"/>
      <c r="W23" s="25"/>
      <c r="X23" s="1"/>
      <c r="Y23" s="9"/>
    </row>
    <row r="24" spans="4:25" x14ac:dyDescent="0.25">
      <c r="D24" s="3"/>
      <c r="E24" s="25"/>
      <c r="F24" s="25"/>
      <c r="G24" s="25"/>
      <c r="H24" s="25"/>
      <c r="I24" s="25"/>
      <c r="J24" s="25"/>
      <c r="K24" s="41"/>
      <c r="L24" s="25"/>
      <c r="M24" s="25"/>
      <c r="N24" s="25"/>
      <c r="O24" s="41"/>
      <c r="P24" s="25"/>
      <c r="Q24" s="25"/>
      <c r="R24" s="25"/>
      <c r="S24" s="25"/>
      <c r="T24" s="25"/>
      <c r="U24" s="25"/>
      <c r="V24" s="25"/>
      <c r="W24" s="25"/>
      <c r="X24" s="1"/>
      <c r="Y24" s="9"/>
    </row>
    <row r="25" spans="4:25" x14ac:dyDescent="0.25">
      <c r="D25" s="3"/>
      <c r="E25" s="25"/>
      <c r="F25" s="25"/>
      <c r="G25" s="25"/>
      <c r="H25" s="25"/>
      <c r="I25" s="25"/>
      <c r="J25" s="25"/>
      <c r="K25" s="41"/>
      <c r="L25" s="25"/>
      <c r="M25" s="25"/>
      <c r="N25" s="25"/>
      <c r="O25" s="41"/>
      <c r="P25" s="25"/>
      <c r="Q25" s="25"/>
      <c r="R25" s="25"/>
      <c r="S25" s="25"/>
      <c r="T25" s="25"/>
      <c r="U25" s="25"/>
      <c r="V25" s="25"/>
      <c r="W25" s="25"/>
      <c r="X25" s="1"/>
      <c r="Y25" s="9"/>
    </row>
    <row r="26" spans="4:25" x14ac:dyDescent="0.25">
      <c r="D26" s="3"/>
      <c r="E26" s="25"/>
      <c r="F26" s="25"/>
      <c r="G26" s="25"/>
      <c r="H26" s="25"/>
      <c r="I26" s="25"/>
      <c r="J26" s="25"/>
      <c r="K26" s="41"/>
      <c r="L26" s="25"/>
      <c r="M26" s="25"/>
      <c r="N26" s="25"/>
      <c r="O26" s="41"/>
      <c r="P26" s="25"/>
      <c r="Q26" s="25"/>
      <c r="R26" s="25"/>
      <c r="S26" s="25"/>
      <c r="T26" s="25"/>
      <c r="U26" s="25"/>
      <c r="V26" s="25"/>
      <c r="W26" s="25"/>
      <c r="X26" s="1"/>
      <c r="Y26" s="9"/>
    </row>
    <row r="27" spans="4:25" x14ac:dyDescent="0.25">
      <c r="D27" s="3"/>
      <c r="E27" s="25"/>
      <c r="F27" s="25"/>
      <c r="G27" s="25"/>
      <c r="H27" s="25"/>
      <c r="I27" s="25"/>
      <c r="J27" s="25"/>
      <c r="K27" s="41"/>
      <c r="L27" s="25"/>
      <c r="M27" s="25"/>
      <c r="N27" s="25"/>
      <c r="O27" s="41"/>
      <c r="P27" s="25"/>
      <c r="Q27" s="25"/>
      <c r="R27" s="25"/>
      <c r="S27" s="25"/>
      <c r="T27" s="25"/>
      <c r="U27" s="25"/>
      <c r="V27" s="25"/>
      <c r="W27" s="25"/>
      <c r="X27" s="1"/>
      <c r="Y27" s="9"/>
    </row>
    <row r="28" spans="4:25" x14ac:dyDescent="0.25">
      <c r="D28" s="3"/>
      <c r="E28" s="25"/>
      <c r="F28" s="25"/>
      <c r="G28" s="25"/>
      <c r="H28" s="25"/>
      <c r="I28" s="25"/>
      <c r="J28" s="25"/>
      <c r="K28" s="41"/>
      <c r="L28" s="25"/>
      <c r="M28" s="25"/>
      <c r="N28" s="25"/>
      <c r="O28" s="41"/>
      <c r="P28" s="25"/>
      <c r="Q28" s="25"/>
      <c r="R28" s="25"/>
      <c r="S28" s="25"/>
      <c r="T28" s="25"/>
      <c r="U28" s="25"/>
      <c r="V28" s="25"/>
      <c r="W28" s="25"/>
      <c r="X28" s="1"/>
      <c r="Y28" s="9"/>
    </row>
    <row r="29" spans="4:25" x14ac:dyDescent="0.25">
      <c r="D29" s="3"/>
      <c r="E29" s="25"/>
      <c r="F29" s="25"/>
      <c r="G29" s="25"/>
      <c r="H29" s="25"/>
      <c r="I29" s="25"/>
      <c r="J29" s="25"/>
      <c r="K29" s="41"/>
      <c r="L29" s="25"/>
      <c r="M29" s="25"/>
      <c r="N29" s="25"/>
      <c r="O29" s="41"/>
      <c r="P29" s="25"/>
      <c r="Q29" s="25"/>
      <c r="R29" s="25"/>
      <c r="S29" s="25"/>
      <c r="T29" s="25"/>
      <c r="U29" s="25"/>
      <c r="V29" s="25"/>
      <c r="W29" s="25"/>
      <c r="X29" s="1"/>
      <c r="Y29" s="9"/>
    </row>
    <row r="30" spans="4:25" x14ac:dyDescent="0.25">
      <c r="D30" s="3"/>
      <c r="E30" s="25"/>
      <c r="F30" s="25"/>
      <c r="G30" s="25"/>
      <c r="H30" s="25"/>
      <c r="I30" s="25"/>
      <c r="J30" s="25"/>
      <c r="K30" s="41"/>
      <c r="L30" s="25"/>
      <c r="M30" s="25"/>
      <c r="N30" s="25"/>
      <c r="O30" s="41"/>
      <c r="P30" s="25"/>
      <c r="Q30" s="25"/>
      <c r="R30" s="25"/>
      <c r="S30" s="25"/>
      <c r="T30" s="25"/>
      <c r="U30" s="25"/>
      <c r="V30" s="25"/>
      <c r="W30" s="25"/>
      <c r="X30" s="1"/>
      <c r="Y30" s="9"/>
    </row>
    <row r="31" spans="4:25" x14ac:dyDescent="0.25">
      <c r="D31" s="3"/>
      <c r="E31" s="25"/>
      <c r="F31" s="25"/>
      <c r="G31" s="25"/>
      <c r="H31" s="25"/>
      <c r="I31" s="25"/>
      <c r="J31" s="25"/>
      <c r="K31" s="41"/>
      <c r="L31" s="25"/>
      <c r="M31" s="25"/>
      <c r="N31" s="25"/>
      <c r="O31" s="41"/>
      <c r="P31" s="25"/>
      <c r="Q31" s="25"/>
      <c r="R31" s="25"/>
      <c r="S31" s="25"/>
      <c r="T31" s="25"/>
      <c r="U31" s="25"/>
      <c r="V31" s="25"/>
      <c r="W31" s="25"/>
      <c r="X31" s="1"/>
      <c r="Y31" s="9"/>
    </row>
    <row r="32" spans="4:25" x14ac:dyDescent="0.25">
      <c r="D32" s="3"/>
      <c r="E32" s="25"/>
      <c r="F32" s="25"/>
      <c r="G32" s="25"/>
      <c r="H32" s="25"/>
      <c r="I32" s="25"/>
      <c r="J32" s="25"/>
      <c r="K32" s="41"/>
      <c r="L32" s="25"/>
      <c r="M32" s="25"/>
      <c r="N32" s="25"/>
      <c r="O32" s="41"/>
      <c r="P32" s="25"/>
      <c r="Q32" s="25"/>
      <c r="R32" s="25"/>
      <c r="S32" s="25"/>
      <c r="T32" s="25"/>
      <c r="U32" s="25"/>
      <c r="V32" s="25"/>
      <c r="W32" s="25"/>
      <c r="X32" s="1"/>
      <c r="Y32" s="9"/>
    </row>
    <row r="33" spans="4:25" x14ac:dyDescent="0.25">
      <c r="D33" s="3"/>
      <c r="E33" s="25"/>
      <c r="F33" s="25"/>
      <c r="G33" s="25"/>
      <c r="H33" s="25"/>
      <c r="I33" s="25"/>
      <c r="J33" s="25"/>
      <c r="K33" s="41"/>
      <c r="L33" s="25"/>
      <c r="M33" s="25"/>
      <c r="N33" s="25"/>
      <c r="O33" s="41"/>
      <c r="P33" s="25"/>
      <c r="Q33" s="25"/>
      <c r="R33" s="25"/>
      <c r="S33" s="25"/>
      <c r="T33" s="25"/>
      <c r="U33" s="25"/>
      <c r="V33" s="25"/>
      <c r="W33" s="25"/>
      <c r="X33" s="1"/>
      <c r="Y33" s="9"/>
    </row>
    <row r="34" spans="4:25" x14ac:dyDescent="0.25">
      <c r="D34" s="3"/>
      <c r="E34" s="25"/>
      <c r="F34" s="25"/>
      <c r="G34" s="25"/>
      <c r="H34" s="25"/>
      <c r="I34" s="25"/>
      <c r="J34" s="25"/>
      <c r="K34" s="41"/>
      <c r="L34" s="25"/>
      <c r="M34" s="25"/>
      <c r="N34" s="25"/>
      <c r="O34" s="41"/>
      <c r="P34" s="25"/>
      <c r="Q34" s="25"/>
      <c r="R34" s="25"/>
      <c r="S34" s="25"/>
      <c r="T34" s="25"/>
      <c r="U34" s="25"/>
      <c r="V34" s="25"/>
      <c r="W34" s="25"/>
      <c r="X34" s="1"/>
      <c r="Y34" s="9"/>
    </row>
    <row r="35" spans="4:25" x14ac:dyDescent="0.25">
      <c r="D35" s="3"/>
      <c r="E35" s="25"/>
      <c r="F35" s="25"/>
      <c r="G35" s="25"/>
      <c r="H35" s="25"/>
      <c r="I35" s="25"/>
      <c r="J35" s="25"/>
      <c r="K35" s="41"/>
      <c r="L35" s="25"/>
      <c r="M35" s="25"/>
      <c r="N35" s="25"/>
      <c r="O35" s="41"/>
      <c r="P35" s="25"/>
      <c r="Q35" s="25"/>
      <c r="R35" s="25"/>
      <c r="S35" s="25"/>
      <c r="T35" s="25"/>
      <c r="U35" s="25"/>
      <c r="V35" s="25"/>
      <c r="W35" s="25"/>
      <c r="X35" s="1"/>
      <c r="Y35" s="9"/>
    </row>
    <row r="36" spans="4:25" x14ac:dyDescent="0.25">
      <c r="D36" s="3"/>
      <c r="E36" s="25"/>
      <c r="F36" s="25"/>
      <c r="G36" s="25"/>
      <c r="H36" s="25"/>
      <c r="I36" s="25"/>
      <c r="J36" s="25"/>
      <c r="K36" s="41"/>
      <c r="L36" s="25"/>
      <c r="M36" s="25"/>
      <c r="N36" s="25"/>
      <c r="O36" s="41"/>
      <c r="P36" s="25"/>
      <c r="Q36" s="25"/>
      <c r="R36" s="25"/>
      <c r="S36" s="25"/>
      <c r="T36" s="25"/>
      <c r="U36" s="25"/>
      <c r="V36" s="25"/>
      <c r="W36" s="25"/>
      <c r="X36" s="1"/>
      <c r="Y36" s="9"/>
    </row>
    <row r="37" spans="4:25" x14ac:dyDescent="0.25">
      <c r="D37" s="3"/>
      <c r="E37" s="25"/>
      <c r="F37" s="25"/>
      <c r="G37" s="25"/>
      <c r="H37" s="25"/>
      <c r="I37" s="25"/>
      <c r="J37" s="25"/>
      <c r="K37" s="41"/>
      <c r="L37" s="25"/>
      <c r="M37" s="25"/>
      <c r="N37" s="25"/>
      <c r="O37" s="41"/>
      <c r="P37" s="25"/>
      <c r="Q37" s="25"/>
      <c r="R37" s="25"/>
      <c r="S37" s="25"/>
      <c r="T37" s="25"/>
      <c r="U37" s="25"/>
      <c r="V37" s="25"/>
      <c r="W37" s="25"/>
      <c r="X37" s="1"/>
      <c r="Y37" s="9"/>
    </row>
    <row r="38" spans="4:25" x14ac:dyDescent="0.25">
      <c r="D38" s="3"/>
      <c r="E38" s="25"/>
      <c r="F38" s="25"/>
      <c r="G38" s="25"/>
      <c r="H38" s="25"/>
      <c r="I38" s="25"/>
      <c r="J38" s="25"/>
      <c r="K38" s="41"/>
      <c r="L38" s="25"/>
      <c r="M38" s="25"/>
      <c r="N38" s="25"/>
      <c r="O38" s="41"/>
      <c r="P38" s="25"/>
      <c r="Q38" s="25"/>
      <c r="R38" s="25"/>
      <c r="S38" s="25"/>
      <c r="T38" s="25"/>
      <c r="U38" s="25"/>
      <c r="V38" s="25"/>
      <c r="W38" s="25"/>
      <c r="X38" s="1"/>
      <c r="Y38" s="9"/>
    </row>
    <row r="39" spans="4:25" x14ac:dyDescent="0.25">
      <c r="D39" s="3"/>
      <c r="E39" s="25"/>
      <c r="F39" s="25"/>
      <c r="G39" s="25"/>
      <c r="H39" s="25"/>
      <c r="I39" s="25"/>
      <c r="J39" s="25"/>
      <c r="K39" s="41"/>
      <c r="L39" s="25"/>
      <c r="M39" s="25"/>
      <c r="N39" s="25"/>
      <c r="O39" s="41"/>
      <c r="P39" s="25"/>
      <c r="Q39" s="25"/>
      <c r="R39" s="25"/>
      <c r="S39" s="25"/>
      <c r="T39" s="25"/>
      <c r="U39" s="25"/>
      <c r="V39" s="25"/>
      <c r="W39" s="25"/>
      <c r="X39" s="1"/>
      <c r="Y39" s="9"/>
    </row>
    <row r="40" spans="4:25" x14ac:dyDescent="0.25">
      <c r="D40" s="3"/>
      <c r="E40" s="25"/>
      <c r="F40" s="25"/>
      <c r="G40" s="25"/>
      <c r="H40" s="25"/>
      <c r="I40" s="25"/>
      <c r="J40" s="25"/>
      <c r="K40" s="41"/>
      <c r="L40" s="25"/>
      <c r="M40" s="25"/>
      <c r="N40" s="25"/>
      <c r="O40" s="41"/>
      <c r="P40" s="25"/>
      <c r="Q40" s="25"/>
      <c r="R40" s="25"/>
      <c r="S40" s="25"/>
      <c r="T40" s="25"/>
      <c r="U40" s="25"/>
      <c r="V40" s="25"/>
      <c r="W40" s="25"/>
      <c r="X40" s="1"/>
      <c r="Y40" s="9"/>
    </row>
    <row r="41" spans="4:25" x14ac:dyDescent="0.25">
      <c r="D41" s="3"/>
      <c r="E41" s="25"/>
      <c r="F41" s="25"/>
      <c r="G41" s="25"/>
      <c r="H41" s="25"/>
      <c r="I41" s="25"/>
      <c r="J41" s="25"/>
      <c r="K41" s="41"/>
      <c r="L41" s="25"/>
      <c r="M41" s="25"/>
      <c r="N41" s="25"/>
      <c r="O41" s="41"/>
      <c r="P41" s="25"/>
      <c r="Q41" s="25"/>
      <c r="R41" s="25"/>
      <c r="S41" s="25"/>
      <c r="T41" s="25"/>
      <c r="U41" s="25"/>
      <c r="V41" s="25"/>
      <c r="W41" s="25"/>
      <c r="X41" s="1"/>
      <c r="Y41" s="9"/>
    </row>
    <row r="42" spans="4:25" x14ac:dyDescent="0.25">
      <c r="D42" s="3"/>
      <c r="E42" s="25"/>
      <c r="F42" s="25"/>
      <c r="G42" s="25"/>
      <c r="H42" s="25"/>
      <c r="I42" s="25"/>
      <c r="J42" s="25"/>
      <c r="K42" s="41"/>
      <c r="L42" s="25"/>
      <c r="M42" s="25"/>
      <c r="N42" s="25"/>
      <c r="O42" s="41"/>
      <c r="P42" s="25"/>
      <c r="Q42" s="25"/>
      <c r="R42" s="25"/>
      <c r="S42" s="25"/>
      <c r="T42" s="25"/>
      <c r="U42" s="25"/>
      <c r="V42" s="25"/>
      <c r="W42" s="25"/>
      <c r="X42" s="1"/>
      <c r="Y42" s="9"/>
    </row>
    <row r="43" spans="4:25" x14ac:dyDescent="0.25">
      <c r="D43" s="3"/>
      <c r="E43" s="25"/>
      <c r="F43" s="25"/>
      <c r="G43" s="25"/>
      <c r="H43" s="25"/>
      <c r="I43" s="25"/>
      <c r="J43" s="25"/>
      <c r="K43" s="41"/>
      <c r="L43" s="25"/>
      <c r="M43" s="25"/>
      <c r="N43" s="25"/>
      <c r="O43" s="41"/>
      <c r="P43" s="25"/>
      <c r="Q43" s="25"/>
      <c r="R43" s="25"/>
      <c r="S43" s="25"/>
      <c r="T43" s="25"/>
      <c r="U43" s="25"/>
      <c r="V43" s="25"/>
      <c r="W43" s="25"/>
      <c r="X43" s="1"/>
      <c r="Y43" s="9"/>
    </row>
    <row r="44" spans="4:25" x14ac:dyDescent="0.25">
      <c r="D44" s="3"/>
      <c r="E44" s="25"/>
      <c r="F44" s="25"/>
      <c r="G44" s="25"/>
      <c r="H44" s="25"/>
      <c r="I44" s="25"/>
      <c r="J44" s="25"/>
      <c r="K44" s="41"/>
      <c r="L44" s="25"/>
      <c r="M44" s="25"/>
      <c r="N44" s="25"/>
      <c r="O44" s="41"/>
      <c r="P44" s="25"/>
      <c r="Q44" s="25"/>
      <c r="R44" s="25"/>
      <c r="S44" s="25"/>
      <c r="T44" s="25"/>
      <c r="U44" s="25"/>
      <c r="V44" s="25"/>
      <c r="W44" s="25"/>
      <c r="X44" s="1"/>
      <c r="Y44" s="9"/>
    </row>
    <row r="45" spans="4:25" x14ac:dyDescent="0.25">
      <c r="D45" s="3"/>
      <c r="E45" s="25"/>
      <c r="F45" s="25"/>
      <c r="G45" s="25"/>
      <c r="H45" s="25"/>
      <c r="I45" s="25"/>
      <c r="J45" s="25"/>
      <c r="K45" s="41"/>
      <c r="L45" s="25"/>
      <c r="M45" s="25"/>
      <c r="N45" s="25"/>
      <c r="O45" s="41"/>
      <c r="P45" s="25"/>
      <c r="Q45" s="25"/>
      <c r="R45" s="25"/>
      <c r="S45" s="25"/>
      <c r="T45" s="25"/>
      <c r="U45" s="25"/>
      <c r="V45" s="25"/>
      <c r="W45" s="25"/>
      <c r="X45" s="1"/>
      <c r="Y45" s="9"/>
    </row>
    <row r="46" spans="4:25" x14ac:dyDescent="0.25">
      <c r="D46" s="3"/>
      <c r="E46" s="25"/>
      <c r="F46" s="25"/>
      <c r="G46" s="25"/>
      <c r="H46" s="25"/>
      <c r="I46" s="25"/>
      <c r="J46" s="25"/>
      <c r="K46" s="41"/>
      <c r="L46" s="25"/>
      <c r="M46" s="25"/>
      <c r="N46" s="25"/>
      <c r="O46" s="41"/>
      <c r="P46" s="25"/>
      <c r="Q46" s="25"/>
      <c r="R46" s="25"/>
      <c r="S46" s="25"/>
      <c r="T46" s="25"/>
      <c r="U46" s="25"/>
      <c r="V46" s="25"/>
      <c r="W46" s="25"/>
      <c r="X46" s="1"/>
      <c r="Y46" s="9"/>
    </row>
    <row r="47" spans="4:25" x14ac:dyDescent="0.25">
      <c r="D47" s="3"/>
      <c r="E47" s="25"/>
      <c r="F47" s="25"/>
      <c r="G47" s="25"/>
      <c r="H47" s="25"/>
      <c r="I47" s="25"/>
      <c r="J47" s="25"/>
      <c r="K47" s="41"/>
      <c r="L47" s="25"/>
      <c r="M47" s="25"/>
      <c r="N47" s="25"/>
      <c r="O47" s="41"/>
      <c r="P47" s="25"/>
      <c r="Q47" s="25"/>
      <c r="R47" s="25"/>
      <c r="S47" s="25"/>
      <c r="T47" s="25"/>
      <c r="U47" s="25"/>
      <c r="V47" s="25"/>
      <c r="W47" s="25"/>
      <c r="X47" s="1"/>
      <c r="Y47" s="9"/>
    </row>
    <row r="48" spans="4:25" x14ac:dyDescent="0.25">
      <c r="D48" s="3"/>
      <c r="E48" s="25"/>
      <c r="F48" s="25"/>
      <c r="G48" s="25"/>
      <c r="H48" s="25"/>
      <c r="I48" s="25"/>
      <c r="J48" s="25"/>
      <c r="K48" s="41"/>
      <c r="L48" s="25"/>
      <c r="M48" s="25"/>
      <c r="N48" s="25"/>
      <c r="O48" s="41"/>
      <c r="P48" s="25"/>
      <c r="Q48" s="25"/>
      <c r="R48" s="25"/>
      <c r="S48" s="25"/>
      <c r="T48" s="25"/>
      <c r="U48" s="25"/>
      <c r="V48" s="25"/>
      <c r="W48" s="25"/>
      <c r="X48" s="1"/>
      <c r="Y48" s="9"/>
    </row>
    <row r="49" spans="4:25" x14ac:dyDescent="0.25">
      <c r="D49" s="3"/>
      <c r="E49" s="25"/>
      <c r="F49" s="25"/>
      <c r="G49" s="25"/>
      <c r="H49" s="25"/>
      <c r="I49" s="25"/>
      <c r="J49" s="25"/>
      <c r="K49" s="41"/>
      <c r="L49" s="25"/>
      <c r="M49" s="25"/>
      <c r="N49" s="25"/>
      <c r="O49" s="41"/>
      <c r="P49" s="25"/>
      <c r="Q49" s="25"/>
      <c r="R49" s="25"/>
      <c r="S49" s="25"/>
      <c r="T49" s="25"/>
      <c r="U49" s="25"/>
      <c r="V49" s="25"/>
      <c r="W49" s="25"/>
      <c r="X49" s="1"/>
      <c r="Y49" s="9"/>
    </row>
    <row r="50" spans="4:25" x14ac:dyDescent="0.25">
      <c r="D50" s="3"/>
      <c r="E50" s="25"/>
      <c r="F50" s="25"/>
      <c r="G50" s="25"/>
      <c r="H50" s="25"/>
      <c r="I50" s="25"/>
      <c r="J50" s="25"/>
      <c r="K50" s="41"/>
      <c r="L50" s="25"/>
      <c r="M50" s="25"/>
      <c r="N50" s="25"/>
      <c r="O50" s="41"/>
      <c r="P50" s="25"/>
      <c r="Q50" s="25"/>
      <c r="R50" s="25"/>
      <c r="S50" s="25"/>
      <c r="T50" s="25"/>
      <c r="U50" s="25"/>
      <c r="V50" s="25"/>
      <c r="W50" s="25"/>
      <c r="X50" s="1"/>
      <c r="Y50" s="9"/>
    </row>
    <row r="51" spans="4:25" x14ac:dyDescent="0.25">
      <c r="D51" s="3"/>
      <c r="E51" s="25"/>
      <c r="F51" s="25"/>
      <c r="G51" s="25"/>
      <c r="H51" s="25"/>
      <c r="I51" s="25"/>
      <c r="J51" s="25"/>
      <c r="K51" s="41"/>
      <c r="L51" s="25"/>
      <c r="M51" s="25"/>
      <c r="N51" s="25"/>
      <c r="O51" s="41"/>
      <c r="P51" s="25"/>
      <c r="Q51" s="25"/>
      <c r="R51" s="25"/>
      <c r="S51" s="25"/>
      <c r="T51" s="25"/>
      <c r="U51" s="25"/>
      <c r="V51" s="25"/>
      <c r="W51" s="25"/>
      <c r="X51" s="1"/>
      <c r="Y51" s="9"/>
    </row>
    <row r="52" spans="4:25" x14ac:dyDescent="0.25">
      <c r="D52" s="3"/>
      <c r="E52" s="25"/>
      <c r="F52" s="25"/>
      <c r="G52" s="25"/>
      <c r="H52" s="25"/>
      <c r="I52" s="25"/>
      <c r="J52" s="25"/>
      <c r="K52" s="41"/>
      <c r="L52" s="25"/>
      <c r="M52" s="25"/>
      <c r="N52" s="25"/>
      <c r="O52" s="41"/>
      <c r="P52" s="25"/>
      <c r="Q52" s="25"/>
      <c r="R52" s="25"/>
      <c r="S52" s="25"/>
      <c r="T52" s="25"/>
      <c r="U52" s="25"/>
      <c r="V52" s="25"/>
      <c r="W52" s="25"/>
      <c r="X52" s="1"/>
      <c r="Y52" s="9"/>
    </row>
    <row r="53" spans="4:25" x14ac:dyDescent="0.25">
      <c r="D53" s="3"/>
      <c r="E53" s="25"/>
      <c r="F53" s="25"/>
      <c r="G53" s="25"/>
      <c r="H53" s="25"/>
      <c r="I53" s="25"/>
      <c r="J53" s="25"/>
      <c r="K53" s="41"/>
      <c r="L53" s="25"/>
      <c r="M53" s="25"/>
      <c r="N53" s="25"/>
      <c r="O53" s="41"/>
      <c r="P53" s="25"/>
      <c r="Q53" s="25"/>
      <c r="R53" s="25"/>
      <c r="S53" s="25"/>
      <c r="T53" s="25"/>
      <c r="U53" s="25"/>
      <c r="V53" s="25"/>
      <c r="W53" s="25"/>
      <c r="X53" s="1"/>
      <c r="Y53" s="9"/>
    </row>
    <row r="54" spans="4:25" x14ac:dyDescent="0.25">
      <c r="D54" s="3"/>
      <c r="E54" s="25"/>
      <c r="F54" s="25"/>
      <c r="G54" s="25"/>
      <c r="H54" s="25"/>
      <c r="I54" s="25"/>
      <c r="J54" s="25"/>
      <c r="K54" s="41"/>
      <c r="L54" s="25"/>
      <c r="M54" s="25"/>
      <c r="N54" s="25"/>
      <c r="O54" s="41"/>
      <c r="P54" s="25"/>
      <c r="Q54" s="25"/>
      <c r="R54" s="25"/>
      <c r="S54" s="25"/>
      <c r="T54" s="25"/>
      <c r="U54" s="25"/>
      <c r="V54" s="25"/>
      <c r="W54" s="25"/>
      <c r="X54" s="1"/>
      <c r="Y54" s="9"/>
    </row>
    <row r="55" spans="4:25" x14ac:dyDescent="0.25">
      <c r="D55" s="3"/>
      <c r="E55" s="25"/>
      <c r="F55" s="25"/>
      <c r="G55" s="25"/>
      <c r="H55" s="25"/>
      <c r="I55" s="25"/>
      <c r="J55" s="25"/>
      <c r="K55" s="41"/>
      <c r="L55" s="25"/>
      <c r="M55" s="25"/>
      <c r="N55" s="25"/>
      <c r="O55" s="41"/>
      <c r="P55" s="25"/>
      <c r="Q55" s="25"/>
      <c r="R55" s="25"/>
      <c r="S55" s="25"/>
      <c r="T55" s="25"/>
      <c r="U55" s="25"/>
      <c r="V55" s="25"/>
      <c r="W55" s="25"/>
      <c r="X55" s="1"/>
      <c r="Y55" s="9"/>
    </row>
    <row r="56" spans="4:25" x14ac:dyDescent="0.25">
      <c r="D56" s="3"/>
      <c r="E56" s="25"/>
      <c r="F56" s="25"/>
      <c r="G56" s="25"/>
      <c r="H56" s="25"/>
      <c r="I56" s="25"/>
      <c r="J56" s="25"/>
      <c r="K56" s="41"/>
      <c r="L56" s="25"/>
      <c r="M56" s="25"/>
      <c r="N56" s="25"/>
      <c r="O56" s="41"/>
      <c r="P56" s="25"/>
      <c r="Q56" s="25"/>
      <c r="R56" s="25"/>
      <c r="S56" s="25"/>
      <c r="T56" s="25"/>
      <c r="U56" s="25"/>
      <c r="V56" s="25"/>
      <c r="W56" s="25"/>
      <c r="X56" s="1"/>
      <c r="Y56" s="9"/>
    </row>
    <row r="57" spans="4:25" x14ac:dyDescent="0.25">
      <c r="D57" s="3"/>
      <c r="E57" s="25"/>
      <c r="F57" s="25"/>
      <c r="G57" s="25"/>
      <c r="H57" s="25"/>
      <c r="I57" s="25"/>
      <c r="J57" s="25"/>
      <c r="K57" s="41"/>
      <c r="L57" s="25"/>
      <c r="M57" s="25"/>
      <c r="N57" s="25"/>
      <c r="O57" s="41"/>
      <c r="P57" s="25"/>
      <c r="Q57" s="25"/>
      <c r="R57" s="25"/>
      <c r="S57" s="25"/>
      <c r="T57" s="25"/>
      <c r="U57" s="25"/>
      <c r="V57" s="25"/>
      <c r="W57" s="25"/>
      <c r="X57" s="1"/>
      <c r="Y57" s="9"/>
    </row>
    <row r="58" spans="4:25" x14ac:dyDescent="0.25">
      <c r="D58" s="3"/>
      <c r="E58" s="25"/>
      <c r="F58" s="25"/>
      <c r="G58" s="25"/>
      <c r="H58" s="25"/>
      <c r="I58" s="25"/>
      <c r="J58" s="25"/>
      <c r="K58" s="41"/>
      <c r="L58" s="25"/>
      <c r="M58" s="25"/>
      <c r="N58" s="25"/>
      <c r="O58" s="41"/>
      <c r="P58" s="25"/>
      <c r="Q58" s="25"/>
      <c r="R58" s="25"/>
      <c r="S58" s="25"/>
      <c r="T58" s="25"/>
      <c r="U58" s="25"/>
      <c r="V58" s="25"/>
      <c r="W58" s="25"/>
      <c r="X58" s="1"/>
      <c r="Y58" s="9"/>
    </row>
    <row r="59" spans="4:25" x14ac:dyDescent="0.25">
      <c r="D59" s="3"/>
      <c r="E59" s="25"/>
      <c r="F59" s="25"/>
      <c r="G59" s="25"/>
      <c r="H59" s="25"/>
      <c r="I59" s="25"/>
      <c r="J59" s="25"/>
      <c r="K59" s="41"/>
      <c r="L59" s="25"/>
      <c r="M59" s="25"/>
      <c r="N59" s="25"/>
      <c r="O59" s="41"/>
      <c r="P59" s="25"/>
      <c r="Q59" s="25"/>
      <c r="R59" s="25"/>
      <c r="S59" s="25"/>
      <c r="T59" s="25"/>
      <c r="U59" s="25"/>
      <c r="V59" s="25"/>
      <c r="W59" s="25"/>
      <c r="X59" s="1"/>
      <c r="Y59" s="9"/>
    </row>
    <row r="60" spans="4:25" x14ac:dyDescent="0.25">
      <c r="D60" s="3"/>
      <c r="E60" s="25"/>
      <c r="F60" s="25"/>
      <c r="G60" s="25"/>
      <c r="H60" s="25"/>
      <c r="I60" s="25"/>
      <c r="J60" s="25"/>
      <c r="K60" s="41"/>
      <c r="L60" s="25"/>
      <c r="M60" s="25"/>
      <c r="N60" s="25"/>
      <c r="O60" s="41"/>
      <c r="P60" s="25"/>
      <c r="Q60" s="25"/>
      <c r="R60" s="25"/>
      <c r="S60" s="25"/>
      <c r="T60" s="25"/>
      <c r="U60" s="25"/>
      <c r="V60" s="25"/>
      <c r="W60" s="25"/>
      <c r="X60" s="1"/>
      <c r="Y60" s="9"/>
    </row>
    <row r="61" spans="4:25" x14ac:dyDescent="0.25">
      <c r="D61" s="3"/>
      <c r="E61" s="25"/>
      <c r="F61" s="25"/>
      <c r="G61" s="25"/>
      <c r="H61" s="25"/>
      <c r="I61" s="25"/>
      <c r="J61" s="25"/>
      <c r="K61" s="41"/>
      <c r="L61" s="25"/>
      <c r="M61" s="25"/>
      <c r="N61" s="25"/>
      <c r="O61" s="41"/>
      <c r="P61" s="25"/>
      <c r="Q61" s="25"/>
      <c r="R61" s="25"/>
      <c r="S61" s="25"/>
      <c r="T61" s="25"/>
      <c r="U61" s="25"/>
      <c r="V61" s="25"/>
      <c r="W61" s="25"/>
      <c r="X61" s="1"/>
      <c r="Y61" s="9"/>
    </row>
    <row r="62" spans="4:25" x14ac:dyDescent="0.25">
      <c r="D62" s="3"/>
      <c r="E62" s="25"/>
      <c r="F62" s="25"/>
      <c r="G62" s="25"/>
      <c r="H62" s="25"/>
      <c r="I62" s="25"/>
      <c r="J62" s="25"/>
      <c r="K62" s="41"/>
      <c r="L62" s="25"/>
      <c r="M62" s="25"/>
      <c r="N62" s="25"/>
      <c r="O62" s="41"/>
      <c r="P62" s="25"/>
      <c r="Q62" s="25"/>
      <c r="R62" s="25"/>
      <c r="S62" s="25"/>
      <c r="T62" s="25"/>
      <c r="U62" s="25"/>
      <c r="V62" s="25"/>
      <c r="W62" s="25"/>
      <c r="X62" s="1"/>
      <c r="Y62" s="9"/>
    </row>
    <row r="63" spans="4:25" x14ac:dyDescent="0.25">
      <c r="D63" s="3"/>
      <c r="E63" s="25"/>
      <c r="F63" s="25"/>
      <c r="G63" s="25"/>
      <c r="H63" s="25"/>
      <c r="I63" s="25"/>
      <c r="J63" s="25"/>
      <c r="K63" s="41"/>
      <c r="L63" s="25"/>
      <c r="M63" s="25"/>
      <c r="N63" s="25"/>
      <c r="O63" s="41"/>
      <c r="P63" s="25"/>
      <c r="Q63" s="25"/>
      <c r="R63" s="25"/>
      <c r="S63" s="25"/>
      <c r="T63" s="25"/>
      <c r="U63" s="25"/>
      <c r="V63" s="25"/>
      <c r="W63" s="25"/>
      <c r="X63" s="1"/>
      <c r="Y63" s="9"/>
    </row>
    <row r="64" spans="4:25" x14ac:dyDescent="0.25">
      <c r="D64" s="3"/>
      <c r="E64" s="25"/>
      <c r="F64" s="25"/>
      <c r="G64" s="25"/>
      <c r="H64" s="25"/>
      <c r="I64" s="25"/>
      <c r="J64" s="25"/>
      <c r="K64" s="41"/>
      <c r="L64" s="25"/>
      <c r="M64" s="25"/>
      <c r="N64" s="25"/>
      <c r="O64" s="41"/>
      <c r="P64" s="25"/>
      <c r="Q64" s="25"/>
      <c r="R64" s="25"/>
      <c r="S64" s="25"/>
      <c r="T64" s="25"/>
      <c r="U64" s="25"/>
      <c r="V64" s="25"/>
      <c r="W64" s="25"/>
      <c r="X64" s="1"/>
      <c r="Y64" s="9"/>
    </row>
    <row r="65" spans="4:25" x14ac:dyDescent="0.25">
      <c r="D65" s="3"/>
      <c r="E65" s="25"/>
      <c r="F65" s="25"/>
      <c r="G65" s="25"/>
      <c r="H65" s="25"/>
      <c r="I65" s="25"/>
      <c r="J65" s="25"/>
      <c r="K65" s="41"/>
      <c r="L65" s="25"/>
      <c r="M65" s="25"/>
      <c r="N65" s="25"/>
      <c r="O65" s="41"/>
      <c r="P65" s="25"/>
      <c r="Q65" s="25"/>
      <c r="R65" s="25"/>
      <c r="S65" s="25"/>
      <c r="T65" s="25"/>
      <c r="U65" s="25"/>
      <c r="V65" s="25"/>
      <c r="W65" s="25"/>
      <c r="X65" s="1"/>
      <c r="Y65" s="9"/>
    </row>
    <row r="66" spans="4:25" x14ac:dyDescent="0.25">
      <c r="D66" s="3"/>
      <c r="E66" s="25"/>
      <c r="F66" s="25"/>
      <c r="G66" s="25"/>
      <c r="H66" s="25"/>
      <c r="I66" s="25"/>
      <c r="J66" s="25"/>
      <c r="K66" s="41"/>
      <c r="L66" s="25"/>
      <c r="M66" s="25"/>
      <c r="N66" s="25"/>
      <c r="O66" s="41"/>
      <c r="P66" s="25"/>
      <c r="Q66" s="25"/>
      <c r="R66" s="25"/>
      <c r="S66" s="25"/>
      <c r="T66" s="25"/>
      <c r="U66" s="25"/>
      <c r="V66" s="25"/>
      <c r="W66" s="25"/>
      <c r="X66" s="1"/>
      <c r="Y66" s="9"/>
    </row>
    <row r="67" spans="4:25" x14ac:dyDescent="0.25">
      <c r="D67" s="3"/>
      <c r="E67" s="25"/>
      <c r="F67" s="25"/>
      <c r="G67" s="25"/>
      <c r="H67" s="25"/>
      <c r="I67" s="25"/>
      <c r="J67" s="25"/>
      <c r="K67" s="41"/>
      <c r="L67" s="25"/>
      <c r="M67" s="25"/>
      <c r="N67" s="25"/>
      <c r="O67" s="41"/>
      <c r="P67" s="25"/>
      <c r="Q67" s="25"/>
      <c r="R67" s="25"/>
      <c r="S67" s="25"/>
      <c r="T67" s="25"/>
      <c r="U67" s="25"/>
      <c r="V67" s="25"/>
      <c r="W67" s="25"/>
      <c r="X67" s="1"/>
      <c r="Y67" s="9"/>
    </row>
    <row r="68" spans="4:25" x14ac:dyDescent="0.25">
      <c r="D68" s="3"/>
      <c r="E68" s="25"/>
      <c r="F68" s="25"/>
      <c r="G68" s="25"/>
      <c r="H68" s="25"/>
      <c r="I68" s="25"/>
      <c r="J68" s="25"/>
      <c r="K68" s="41"/>
      <c r="L68" s="25"/>
      <c r="M68" s="25"/>
      <c r="N68" s="25"/>
      <c r="O68" s="41"/>
      <c r="P68" s="25"/>
      <c r="Q68" s="25"/>
      <c r="R68" s="25"/>
      <c r="S68" s="25"/>
      <c r="T68" s="25"/>
      <c r="U68" s="25"/>
      <c r="V68" s="25"/>
      <c r="W68" s="25"/>
      <c r="X68" s="1"/>
      <c r="Y68" s="9"/>
    </row>
    <row r="69" spans="4:25" x14ac:dyDescent="0.25">
      <c r="D69" s="3"/>
      <c r="E69" s="25"/>
      <c r="F69" s="25"/>
      <c r="G69" s="25"/>
      <c r="H69" s="25"/>
      <c r="I69" s="25"/>
      <c r="J69" s="25"/>
      <c r="K69" s="41"/>
      <c r="L69" s="25"/>
      <c r="M69" s="25"/>
      <c r="N69" s="25"/>
      <c r="O69" s="41"/>
      <c r="P69" s="25"/>
      <c r="Q69" s="25"/>
      <c r="R69" s="25"/>
      <c r="S69" s="25"/>
      <c r="T69" s="25"/>
      <c r="U69" s="25"/>
      <c r="V69" s="25"/>
      <c r="W69" s="25"/>
      <c r="X69" s="1"/>
      <c r="Y69" s="9"/>
    </row>
    <row r="70" spans="4:25" x14ac:dyDescent="0.25">
      <c r="D70" s="3"/>
      <c r="E70" s="25"/>
      <c r="F70" s="25"/>
      <c r="G70" s="25"/>
      <c r="H70" s="25"/>
      <c r="I70" s="25"/>
      <c r="J70" s="25"/>
      <c r="K70" s="41"/>
      <c r="L70" s="25"/>
      <c r="M70" s="25"/>
      <c r="N70" s="25"/>
      <c r="O70" s="41"/>
      <c r="P70" s="25"/>
      <c r="Q70" s="25"/>
      <c r="R70" s="25"/>
      <c r="S70" s="25"/>
      <c r="T70" s="25"/>
      <c r="U70" s="25"/>
      <c r="V70" s="25"/>
      <c r="W70" s="25"/>
      <c r="X70" s="1"/>
      <c r="Y70" s="9"/>
    </row>
    <row r="71" spans="4:25" x14ac:dyDescent="0.25">
      <c r="D71" s="3"/>
      <c r="E71" s="25"/>
      <c r="F71" s="25"/>
      <c r="G71" s="25"/>
      <c r="H71" s="25"/>
      <c r="I71" s="25"/>
      <c r="J71" s="25"/>
      <c r="K71" s="41"/>
      <c r="L71" s="25"/>
      <c r="M71" s="25"/>
      <c r="N71" s="25"/>
      <c r="O71" s="41"/>
      <c r="P71" s="25"/>
      <c r="Q71" s="25"/>
      <c r="R71" s="25"/>
      <c r="S71" s="25"/>
      <c r="T71" s="25"/>
      <c r="U71" s="25"/>
      <c r="V71" s="25"/>
      <c r="W71" s="25"/>
      <c r="X71" s="1"/>
      <c r="Y71" s="9"/>
    </row>
    <row r="72" spans="4:25" x14ac:dyDescent="0.25">
      <c r="D72" s="3"/>
      <c r="E72" s="25"/>
      <c r="F72" s="25"/>
      <c r="G72" s="25"/>
      <c r="H72" s="25"/>
      <c r="I72" s="25"/>
      <c r="J72" s="25"/>
      <c r="K72" s="41"/>
      <c r="L72" s="25"/>
      <c r="M72" s="25"/>
      <c r="N72" s="25"/>
      <c r="O72" s="41"/>
      <c r="P72" s="25"/>
      <c r="Q72" s="25"/>
      <c r="R72" s="25"/>
      <c r="S72" s="25"/>
      <c r="T72" s="25"/>
      <c r="U72" s="25"/>
      <c r="V72" s="25"/>
      <c r="W72" s="25"/>
      <c r="X72" s="1"/>
      <c r="Y72" s="9"/>
    </row>
    <row r="73" spans="4:25" x14ac:dyDescent="0.25">
      <c r="D73" s="3"/>
      <c r="E73" s="25"/>
      <c r="F73" s="25"/>
      <c r="G73" s="25"/>
      <c r="H73" s="25"/>
      <c r="I73" s="25"/>
      <c r="J73" s="25"/>
      <c r="K73" s="41"/>
      <c r="L73" s="25"/>
      <c r="M73" s="25"/>
      <c r="N73" s="25"/>
      <c r="O73" s="41"/>
      <c r="P73" s="25"/>
      <c r="Q73" s="25"/>
      <c r="R73" s="25"/>
      <c r="S73" s="25"/>
      <c r="T73" s="25"/>
      <c r="U73" s="25"/>
      <c r="V73" s="25"/>
      <c r="W73" s="25"/>
      <c r="X73" s="1"/>
      <c r="Y73" s="9"/>
    </row>
    <row r="74" spans="4:25" x14ac:dyDescent="0.25">
      <c r="D74" s="3"/>
      <c r="E74" s="25"/>
      <c r="F74" s="25"/>
      <c r="G74" s="25"/>
      <c r="H74" s="25"/>
      <c r="I74" s="25"/>
      <c r="J74" s="25"/>
      <c r="K74" s="41"/>
      <c r="L74" s="25"/>
      <c r="M74" s="25"/>
      <c r="N74" s="25"/>
      <c r="O74" s="41"/>
      <c r="P74" s="25"/>
      <c r="Q74" s="25"/>
      <c r="R74" s="25"/>
      <c r="S74" s="25"/>
      <c r="T74" s="25"/>
      <c r="U74" s="25"/>
      <c r="V74" s="25"/>
      <c r="W74" s="25"/>
      <c r="X74" s="1"/>
      <c r="Y74" s="9"/>
    </row>
    <row r="75" spans="4:25" x14ac:dyDescent="0.25">
      <c r="D75" s="3"/>
      <c r="E75" s="25"/>
      <c r="F75" s="25"/>
      <c r="G75" s="25"/>
      <c r="H75" s="25"/>
      <c r="I75" s="25"/>
      <c r="J75" s="25"/>
      <c r="K75" s="41"/>
      <c r="L75" s="25"/>
      <c r="M75" s="25"/>
      <c r="N75" s="25"/>
      <c r="O75" s="41"/>
      <c r="P75" s="25"/>
      <c r="Q75" s="25"/>
      <c r="R75" s="25"/>
      <c r="S75" s="25"/>
      <c r="T75" s="25"/>
      <c r="U75" s="25"/>
      <c r="V75" s="25"/>
      <c r="W75" s="25"/>
      <c r="X75" s="1"/>
      <c r="Y75" s="9"/>
    </row>
    <row r="76" spans="4:25" x14ac:dyDescent="0.25">
      <c r="D76" s="3"/>
      <c r="E76" s="25"/>
      <c r="F76" s="25"/>
      <c r="G76" s="25"/>
      <c r="H76" s="25"/>
      <c r="I76" s="25"/>
      <c r="J76" s="25"/>
      <c r="K76" s="41"/>
      <c r="L76" s="25"/>
      <c r="M76" s="25"/>
      <c r="N76" s="25"/>
      <c r="O76" s="41"/>
      <c r="P76" s="25"/>
      <c r="Q76" s="25"/>
      <c r="R76" s="25"/>
      <c r="S76" s="25"/>
      <c r="T76" s="25"/>
      <c r="U76" s="25"/>
      <c r="V76" s="25"/>
      <c r="W76" s="25"/>
      <c r="X76" s="1"/>
      <c r="Y76" s="9"/>
    </row>
    <row r="77" spans="4:25" x14ac:dyDescent="0.25">
      <c r="D77" s="3"/>
      <c r="E77" s="25"/>
      <c r="F77" s="25"/>
      <c r="G77" s="25"/>
      <c r="H77" s="25"/>
      <c r="I77" s="25"/>
      <c r="J77" s="25"/>
      <c r="K77" s="41"/>
      <c r="L77" s="25"/>
      <c r="M77" s="25"/>
      <c r="N77" s="25"/>
      <c r="O77" s="41"/>
      <c r="P77" s="25"/>
      <c r="Q77" s="25"/>
      <c r="R77" s="25"/>
      <c r="S77" s="25"/>
      <c r="T77" s="25"/>
      <c r="U77" s="25"/>
      <c r="V77" s="25"/>
      <c r="W77" s="25"/>
      <c r="X77" s="1"/>
      <c r="Y77" s="9"/>
    </row>
    <row r="78" spans="4:25" x14ac:dyDescent="0.25">
      <c r="D78" s="3"/>
      <c r="E78" s="25"/>
      <c r="F78" s="25"/>
      <c r="G78" s="25"/>
      <c r="H78" s="25"/>
      <c r="I78" s="25"/>
      <c r="J78" s="25"/>
      <c r="K78" s="41"/>
      <c r="L78" s="25"/>
      <c r="M78" s="25"/>
      <c r="N78" s="25"/>
      <c r="O78" s="41"/>
      <c r="P78" s="25"/>
      <c r="Q78" s="25"/>
      <c r="R78" s="25"/>
      <c r="S78" s="25"/>
      <c r="T78" s="25"/>
      <c r="U78" s="25"/>
      <c r="V78" s="25"/>
      <c r="W78" s="25"/>
      <c r="X78" s="1"/>
      <c r="Y78" s="9"/>
    </row>
    <row r="79" spans="4:25" x14ac:dyDescent="0.25">
      <c r="D79" s="3"/>
      <c r="E79" s="25"/>
      <c r="F79" s="25"/>
      <c r="G79" s="25"/>
      <c r="H79" s="25"/>
      <c r="I79" s="25"/>
      <c r="J79" s="25"/>
      <c r="K79" s="41"/>
      <c r="L79" s="25"/>
      <c r="M79" s="25"/>
      <c r="N79" s="25"/>
      <c r="O79" s="41"/>
      <c r="P79" s="25"/>
      <c r="Q79" s="25"/>
      <c r="R79" s="25"/>
      <c r="S79" s="25"/>
      <c r="T79" s="25"/>
      <c r="U79" s="25"/>
      <c r="V79" s="25"/>
      <c r="W79" s="25"/>
      <c r="X79" s="1"/>
      <c r="Y79" s="9"/>
    </row>
    <row r="80" spans="4:25" x14ac:dyDescent="0.25">
      <c r="D80" s="6"/>
      <c r="E80" s="26"/>
      <c r="F80" s="26"/>
      <c r="G80" s="26"/>
      <c r="H80" s="26"/>
      <c r="I80" s="26"/>
      <c r="J80" s="26"/>
      <c r="K80" s="44"/>
      <c r="L80" s="26"/>
      <c r="M80" s="26"/>
      <c r="N80" s="26"/>
      <c r="O80" s="44"/>
      <c r="P80" s="26"/>
      <c r="Q80" s="26"/>
      <c r="R80" s="26"/>
      <c r="S80" s="26"/>
      <c r="T80" s="26"/>
      <c r="U80" s="26"/>
      <c r="V80" s="26"/>
      <c r="W80" s="26"/>
      <c r="X80" s="7"/>
      <c r="Y80" s="10"/>
    </row>
  </sheetData>
  <mergeCells count="4">
    <mergeCell ref="G10:H10"/>
    <mergeCell ref="I10:J10"/>
    <mergeCell ref="M10:N10"/>
    <mergeCell ref="F10:F1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6C93-ECD8-4AB2-8EED-98529FFE3FD7}">
  <sheetPr codeName="Sheet7">
    <tabColor rgb="FFCCCC00"/>
  </sheetPr>
  <dimension ref="B1:MD78"/>
  <sheetViews>
    <sheetView showGridLines="0" topLeftCell="B1" zoomScale="90" zoomScaleNormal="90" workbookViewId="0">
      <selection activeCell="J23" sqref="J23"/>
    </sheetView>
  </sheetViews>
  <sheetFormatPr defaultRowHeight="15" x14ac:dyDescent="0.25"/>
  <cols>
    <col min="1" max="1" width="0" hidden="1" customWidth="1"/>
    <col min="2" max="7" width="9.140625" style="2"/>
    <col min="8" max="8" width="23.42578125" style="2" bestFit="1" customWidth="1"/>
    <col min="9" max="9" width="21.5703125" style="2" customWidth="1"/>
    <col min="10" max="10" width="19.42578125" style="2" bestFit="1" customWidth="1"/>
    <col min="11" max="11" width="37.140625" style="2" customWidth="1"/>
    <col min="12" max="12" width="16.85546875" style="2" customWidth="1"/>
    <col min="13" max="342" width="9.140625" style="2"/>
  </cols>
  <sheetData>
    <row r="1" spans="4:27" s="1" customFormat="1" x14ac:dyDescent="0.25"/>
    <row r="2" spans="4:27" s="1" customFormat="1" ht="26.25" x14ac:dyDescent="0.4">
      <c r="I2" s="13" t="s">
        <v>0</v>
      </c>
    </row>
    <row r="3" spans="4:27" s="1" customFormat="1" x14ac:dyDescent="0.25"/>
    <row r="4" spans="4:27" s="11" customFormat="1" ht="4.5" customHeight="1" x14ac:dyDescent="0.25"/>
    <row r="5" spans="4:27" s="12" customFormat="1" ht="4.5" customHeight="1" x14ac:dyDescent="0.25"/>
    <row r="8" spans="4:27" x14ac:dyDescent="0.25">
      <c r="D8" s="4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8"/>
    </row>
    <row r="9" spans="4:27" x14ac:dyDescent="0.25">
      <c r="D9" s="3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9"/>
    </row>
    <row r="10" spans="4:27" ht="15.75" thickBot="1" x14ac:dyDescent="0.3">
      <c r="D10" s="3"/>
      <c r="E10" s="15" t="s">
        <v>111</v>
      </c>
      <c r="F10"/>
      <c r="G10"/>
      <c r="H10"/>
      <c r="I10"/>
      <c r="J10"/>
      <c r="K10"/>
      <c r="L10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9"/>
    </row>
    <row r="11" spans="4:27" x14ac:dyDescent="0.25">
      <c r="D11" s="3"/>
      <c r="E11" s="47"/>
      <c r="F11" s="50" t="s">
        <v>81</v>
      </c>
      <c r="G11" s="50" t="s">
        <v>82</v>
      </c>
      <c r="H11" s="50" t="str">
        <f>_xlfn.CONCAT("Net benefit (£", willingness_to_pay, "/QALY)")</f>
        <v>Net benefit (£20000/QALY)</v>
      </c>
      <c r="I11" s="50" t="s">
        <v>83</v>
      </c>
      <c r="J11" s="50" t="s">
        <v>87</v>
      </c>
      <c r="K11" s="50" t="str">
        <f>_xlfn.CONCAT("Incremental net benefit (£", willingness_to_pay, "/QALY)")</f>
        <v>Incremental net benefit (£20000/QALY)</v>
      </c>
      <c r="L11" s="51" t="s">
        <v>84</v>
      </c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9"/>
    </row>
    <row r="12" spans="4:27" x14ac:dyDescent="0.25">
      <c r="D12" s="3"/>
      <c r="E12" s="48" t="s">
        <v>85</v>
      </c>
      <c r="F12" s="107">
        <f ca="1">'Model engine A'!M9+'Model engine A'!N9</f>
        <v>6833.4877089262864</v>
      </c>
      <c r="G12" s="107">
        <f ca="1">'Model engine A'!O9</f>
        <v>7.7135028878450171</v>
      </c>
      <c r="H12" s="107">
        <f ca="1">G12*willingness_to_pay-F12</f>
        <v>147436.57004797406</v>
      </c>
      <c r="I12" s="107"/>
      <c r="J12" s="107"/>
      <c r="K12" s="107"/>
      <c r="L12" s="108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9"/>
    </row>
    <row r="13" spans="4:27" ht="15.75" thickBot="1" x14ac:dyDescent="0.3">
      <c r="D13" s="3"/>
      <c r="E13" s="49" t="s">
        <v>86</v>
      </c>
      <c r="F13" s="109">
        <f ca="1">'Model engine B'!M9+'Model engine B'!N9</f>
        <v>5326.8753479114775</v>
      </c>
      <c r="G13" s="109">
        <f ca="1">'Model engine B'!O9</f>
        <v>6.2200342977048786</v>
      </c>
      <c r="H13" s="109">
        <f ca="1">G13*willingness_to_pay-F13</f>
        <v>119073.81060618609</v>
      </c>
      <c r="I13" s="109">
        <f ca="1">F12-F13</f>
        <v>1506.6123610148088</v>
      </c>
      <c r="J13" s="109">
        <f ca="1">G12-G13</f>
        <v>1.4934685901401386</v>
      </c>
      <c r="K13" s="109">
        <f ca="1">H12-H13</f>
        <v>28362.759441787974</v>
      </c>
      <c r="L13" s="110">
        <f ca="1">I13/J13</f>
        <v>1008.8008351574618</v>
      </c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9"/>
    </row>
    <row r="14" spans="4:27" x14ac:dyDescent="0.25">
      <c r="D14" s="3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9"/>
    </row>
    <row r="15" spans="4:27" x14ac:dyDescent="0.25"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9"/>
    </row>
    <row r="16" spans="4:27" x14ac:dyDescent="0.25"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9"/>
    </row>
    <row r="17" spans="4:27" x14ac:dyDescent="0.25"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9"/>
    </row>
    <row r="18" spans="4:27" x14ac:dyDescent="0.25"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9"/>
    </row>
    <row r="19" spans="4:27" x14ac:dyDescent="0.25"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9"/>
    </row>
    <row r="20" spans="4:27" x14ac:dyDescent="0.25"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9"/>
    </row>
    <row r="21" spans="4:27" x14ac:dyDescent="0.25"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9"/>
    </row>
    <row r="22" spans="4:27" x14ac:dyDescent="0.25"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9"/>
    </row>
    <row r="23" spans="4:27" x14ac:dyDescent="0.25"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9"/>
    </row>
    <row r="24" spans="4:27" x14ac:dyDescent="0.25"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9"/>
    </row>
    <row r="25" spans="4:27" x14ac:dyDescent="0.25">
      <c r="D25" s="3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9"/>
    </row>
    <row r="26" spans="4:27" x14ac:dyDescent="0.25">
      <c r="D26" s="3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9"/>
    </row>
    <row r="27" spans="4:27" x14ac:dyDescent="0.25">
      <c r="D27" s="3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9"/>
    </row>
    <row r="28" spans="4:27" x14ac:dyDescent="0.25">
      <c r="D28" s="3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9"/>
    </row>
    <row r="29" spans="4:27" x14ac:dyDescent="0.25">
      <c r="D29" s="3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9"/>
    </row>
    <row r="30" spans="4:27" x14ac:dyDescent="0.25">
      <c r="D30" s="3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9"/>
    </row>
    <row r="31" spans="4:27" x14ac:dyDescent="0.25">
      <c r="D31" s="3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9"/>
    </row>
    <row r="32" spans="4:27" x14ac:dyDescent="0.25"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9"/>
    </row>
    <row r="33" spans="4:27" x14ac:dyDescent="0.25"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9"/>
    </row>
    <row r="34" spans="4:27" x14ac:dyDescent="0.25"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9"/>
    </row>
    <row r="35" spans="4:27" x14ac:dyDescent="0.25"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9"/>
    </row>
    <row r="36" spans="4:27" x14ac:dyDescent="0.25"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9"/>
    </row>
    <row r="37" spans="4:27" x14ac:dyDescent="0.25"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9"/>
    </row>
    <row r="38" spans="4:27" x14ac:dyDescent="0.25"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9"/>
    </row>
    <row r="39" spans="4:27" x14ac:dyDescent="0.25">
      <c r="D39" s="3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9"/>
    </row>
    <row r="40" spans="4:27" x14ac:dyDescent="0.25"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9"/>
    </row>
    <row r="41" spans="4:27" x14ac:dyDescent="0.25">
      <c r="D41" s="3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9"/>
    </row>
    <row r="42" spans="4:27" x14ac:dyDescent="0.25">
      <c r="D42" s="3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9"/>
    </row>
    <row r="43" spans="4:27" x14ac:dyDescent="0.25">
      <c r="D43" s="3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9"/>
    </row>
    <row r="44" spans="4:27" x14ac:dyDescent="0.25">
      <c r="D44" s="3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9"/>
    </row>
    <row r="45" spans="4:27" x14ac:dyDescent="0.25">
      <c r="D45" s="3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9"/>
    </row>
    <row r="46" spans="4:27" x14ac:dyDescent="0.25">
      <c r="D46" s="3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9"/>
    </row>
    <row r="47" spans="4:27" x14ac:dyDescent="0.25">
      <c r="D47" s="3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9"/>
    </row>
    <row r="48" spans="4:27" x14ac:dyDescent="0.25">
      <c r="D48" s="3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9"/>
    </row>
    <row r="49" spans="4:27" x14ac:dyDescent="0.25">
      <c r="D49" s="3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9"/>
    </row>
    <row r="50" spans="4:27" x14ac:dyDescent="0.25">
      <c r="D50" s="3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9"/>
    </row>
    <row r="51" spans="4:27" x14ac:dyDescent="0.25"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9"/>
    </row>
    <row r="52" spans="4:27" x14ac:dyDescent="0.25"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9"/>
    </row>
    <row r="53" spans="4:27" x14ac:dyDescent="0.25"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9"/>
    </row>
    <row r="54" spans="4:27" x14ac:dyDescent="0.25"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9"/>
    </row>
    <row r="55" spans="4:27" x14ac:dyDescent="0.25">
      <c r="D55" s="3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9"/>
    </row>
    <row r="56" spans="4:27" x14ac:dyDescent="0.25">
      <c r="D56" s="3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9"/>
    </row>
    <row r="57" spans="4:27" x14ac:dyDescent="0.25">
      <c r="D57" s="3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9"/>
    </row>
    <row r="58" spans="4:27" x14ac:dyDescent="0.25">
      <c r="D58" s="3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9"/>
    </row>
    <row r="59" spans="4:27" x14ac:dyDescent="0.25">
      <c r="D59" s="3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9"/>
    </row>
    <row r="60" spans="4:27" x14ac:dyDescent="0.25">
      <c r="D60" s="3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9"/>
    </row>
    <row r="61" spans="4:27" x14ac:dyDescent="0.25">
      <c r="D61" s="3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9"/>
    </row>
    <row r="62" spans="4:27" x14ac:dyDescent="0.25">
      <c r="D62" s="3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9"/>
    </row>
    <row r="63" spans="4:27" x14ac:dyDescent="0.25">
      <c r="D63" s="3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9"/>
    </row>
    <row r="64" spans="4:27" x14ac:dyDescent="0.25"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9"/>
    </row>
    <row r="65" spans="4:27" x14ac:dyDescent="0.25"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9"/>
    </row>
    <row r="66" spans="4:27" x14ac:dyDescent="0.25">
      <c r="D66" s="3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9"/>
    </row>
    <row r="67" spans="4:27" x14ac:dyDescent="0.25">
      <c r="D67" s="3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9"/>
    </row>
    <row r="68" spans="4:27" x14ac:dyDescent="0.25">
      <c r="D68" s="3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9"/>
    </row>
    <row r="69" spans="4:27" x14ac:dyDescent="0.25">
      <c r="D69" s="3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9"/>
    </row>
    <row r="70" spans="4:27" x14ac:dyDescent="0.25">
      <c r="D70" s="3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9"/>
    </row>
    <row r="71" spans="4:27" x14ac:dyDescent="0.25">
      <c r="D71" s="3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9"/>
    </row>
    <row r="72" spans="4:27" x14ac:dyDescent="0.25">
      <c r="D72" s="3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9"/>
    </row>
    <row r="73" spans="4:27" x14ac:dyDescent="0.25">
      <c r="D73" s="3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9"/>
    </row>
    <row r="74" spans="4:27" x14ac:dyDescent="0.25">
      <c r="D74" s="3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9"/>
    </row>
    <row r="75" spans="4:27" x14ac:dyDescent="0.25">
      <c r="D75" s="3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9"/>
    </row>
    <row r="76" spans="4:27" x14ac:dyDescent="0.25"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9"/>
    </row>
    <row r="77" spans="4:27" x14ac:dyDescent="0.25"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9"/>
    </row>
    <row r="78" spans="4:27" x14ac:dyDescent="0.25">
      <c r="D78" s="6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10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F445D-7140-413C-8AF8-EA7E9C829391}">
  <sheetPr codeName="Sheet6">
    <tabColor rgb="FFCCCC00"/>
  </sheetPr>
  <dimension ref="B1:MJ78"/>
  <sheetViews>
    <sheetView showGridLines="0" topLeftCell="B1" workbookViewId="0">
      <selection activeCell="L18" sqref="L18:N27"/>
    </sheetView>
  </sheetViews>
  <sheetFormatPr defaultRowHeight="15" x14ac:dyDescent="0.25"/>
  <cols>
    <col min="1" max="1" width="0" hidden="1" customWidth="1"/>
    <col min="2" max="5" width="9.140625" style="2"/>
    <col min="6" max="9" width="22.85546875" style="2" customWidth="1"/>
    <col min="10" max="10" width="21.7109375" style="2" customWidth="1"/>
    <col min="11" max="11" width="9.85546875" style="2" customWidth="1"/>
    <col min="12" max="12" width="39.7109375" style="2" customWidth="1"/>
    <col min="13" max="13" width="16.140625" style="2" bestFit="1" customWidth="1"/>
    <col min="14" max="14" width="16.42578125" style="2" bestFit="1" customWidth="1"/>
    <col min="15" max="16" width="9.140625" style="2"/>
    <col min="17" max="17" width="69.5703125" style="39" bestFit="1" customWidth="1"/>
    <col min="18" max="18" width="18.140625" style="39" customWidth="1"/>
    <col min="19" max="20" width="14.42578125" style="39" customWidth="1"/>
    <col min="21" max="21" width="17.42578125" style="39" customWidth="1"/>
    <col min="22" max="22" width="17.28515625" style="39" customWidth="1"/>
    <col min="23" max="24" width="14.42578125" style="39" customWidth="1"/>
    <col min="25" max="25" width="15.85546875" style="39" bestFit="1" customWidth="1"/>
    <col min="26" max="26" width="17.140625" style="39" bestFit="1" customWidth="1"/>
    <col min="27" max="30" width="14.42578125" style="39" customWidth="1"/>
    <col min="31" max="348" width="9.140625" style="2"/>
  </cols>
  <sheetData>
    <row r="1" spans="4:33" s="1" customFormat="1" x14ac:dyDescent="0.25"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</row>
    <row r="2" spans="4:33" s="1" customFormat="1" ht="26.25" x14ac:dyDescent="0.4">
      <c r="O2" s="13" t="s">
        <v>0</v>
      </c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</row>
    <row r="3" spans="4:33" s="1" customFormat="1" x14ac:dyDescent="0.25"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</row>
    <row r="4" spans="4:33" s="11" customFormat="1" ht="4.5" customHeight="1" x14ac:dyDescent="0.25"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</row>
    <row r="5" spans="4:33" s="12" customFormat="1" ht="4.5" customHeight="1" x14ac:dyDescent="0.25"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</row>
    <row r="8" spans="4:33" x14ac:dyDescent="0.25">
      <c r="D8" s="4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5"/>
      <c r="AF8" s="5"/>
      <c r="AG8" s="8"/>
    </row>
    <row r="9" spans="4:33" x14ac:dyDescent="0.25">
      <c r="D9" s="3"/>
      <c r="E9" s="1"/>
      <c r="F9" s="15" t="s">
        <v>110</v>
      </c>
      <c r="G9" s="1"/>
      <c r="H9" s="1"/>
      <c r="I9" s="1"/>
      <c r="J9" s="1"/>
      <c r="K9" s="1"/>
      <c r="L9" s="1"/>
      <c r="M9" s="1"/>
      <c r="N9" s="1"/>
      <c r="O9" s="1"/>
      <c r="P9" s="1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1"/>
      <c r="AF9" s="1"/>
      <c r="AG9" s="9"/>
    </row>
    <row r="10" spans="4:33" x14ac:dyDescent="0.25">
      <c r="D10" s="3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64"/>
      <c r="R10" s="64"/>
      <c r="S10" s="64"/>
      <c r="T10" s="64"/>
      <c r="U10" s="69" t="s">
        <v>103</v>
      </c>
      <c r="V10" s="64"/>
      <c r="W10" s="64"/>
      <c r="X10" s="64"/>
      <c r="Y10" s="64"/>
      <c r="Z10" s="64"/>
      <c r="AA10" s="64"/>
      <c r="AB10" s="64"/>
      <c r="AC10" s="64"/>
      <c r="AD10" s="64"/>
      <c r="AE10" s="1"/>
      <c r="AF10" s="1"/>
      <c r="AG10" s="9"/>
    </row>
    <row r="11" spans="4:33" x14ac:dyDescent="0.25">
      <c r="D11" s="3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64"/>
      <c r="R11" s="64"/>
      <c r="S11" s="64"/>
      <c r="T11" s="64"/>
      <c r="U11" s="24" t="s">
        <v>93</v>
      </c>
      <c r="V11" s="24" t="s">
        <v>87</v>
      </c>
      <c r="W11" s="24" t="s">
        <v>94</v>
      </c>
      <c r="X11" s="24" t="s">
        <v>95</v>
      </c>
      <c r="Y11" s="64"/>
      <c r="Z11" s="64"/>
      <c r="AA11" s="64"/>
      <c r="AB11" s="64"/>
      <c r="AC11" s="64"/>
      <c r="AD11" s="64"/>
      <c r="AE11" s="1"/>
      <c r="AF11" s="1"/>
      <c r="AG11" s="9"/>
    </row>
    <row r="12" spans="4:33" x14ac:dyDescent="0.25">
      <c r="D12" s="3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64"/>
      <c r="R12" s="64"/>
      <c r="S12" s="64"/>
      <c r="T12" s="64"/>
      <c r="U12" s="65">
        <f ca="1">Results!I13</f>
        <v>1506.6123610148088</v>
      </c>
      <c r="V12" s="65">
        <f ca="1">Results!J13</f>
        <v>1.4934685901401386</v>
      </c>
      <c r="W12" s="66">
        <f ca="1">U12/V12</f>
        <v>1008.8008351574618</v>
      </c>
      <c r="X12" s="65">
        <f ca="1">Results!K13</f>
        <v>28362.759441787974</v>
      </c>
      <c r="Y12" s="64"/>
      <c r="Z12" s="64"/>
      <c r="AA12" s="64"/>
      <c r="AB12" s="64"/>
      <c r="AC12" s="64"/>
      <c r="AD12" s="64"/>
      <c r="AE12" s="1"/>
      <c r="AF12" s="1"/>
      <c r="AG12" s="9"/>
    </row>
    <row r="13" spans="4:33" x14ac:dyDescent="0.25">
      <c r="D13" s="3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64"/>
      <c r="R13" s="64"/>
      <c r="S13" s="64"/>
      <c r="T13" s="64"/>
      <c r="U13" s="67"/>
      <c r="V13" s="68"/>
      <c r="W13" s="68"/>
      <c r="X13" s="68"/>
      <c r="Y13" s="64"/>
      <c r="Z13" s="64"/>
      <c r="AA13" s="64"/>
      <c r="AB13" s="64"/>
      <c r="AC13" s="64"/>
      <c r="AD13" s="64"/>
      <c r="AE13" s="1"/>
      <c r="AF13" s="1"/>
      <c r="AG13" s="9"/>
    </row>
    <row r="14" spans="4:33" x14ac:dyDescent="0.25">
      <c r="D14" s="3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1"/>
      <c r="AF14" s="1"/>
      <c r="AG14" s="9"/>
    </row>
    <row r="15" spans="4:33" x14ac:dyDescent="0.25">
      <c r="D15" s="3"/>
      <c r="E15" s="1"/>
      <c r="F15" s="1"/>
      <c r="G15" s="1"/>
      <c r="H15" s="1"/>
      <c r="I15" s="1"/>
      <c r="J15" s="1"/>
      <c r="K15" s="70" t="s">
        <v>109</v>
      </c>
      <c r="L15" s="63"/>
      <c r="M15" s="63"/>
      <c r="N15" s="63"/>
      <c r="O15" s="1"/>
      <c r="P15" s="1"/>
      <c r="Q15" s="64"/>
      <c r="R15" s="64"/>
      <c r="S15" s="24" t="s">
        <v>96</v>
      </c>
      <c r="T15" s="24"/>
      <c r="U15" s="24" t="s">
        <v>97</v>
      </c>
      <c r="V15" s="24"/>
      <c r="W15" s="24"/>
      <c r="X15" s="24"/>
      <c r="Y15" s="24" t="s">
        <v>98</v>
      </c>
      <c r="Z15" s="24"/>
      <c r="AA15" s="24"/>
      <c r="AB15" s="24"/>
      <c r="AC15" s="24" t="s">
        <v>99</v>
      </c>
      <c r="AD15" s="24"/>
      <c r="AE15" s="1"/>
      <c r="AF15" s="1"/>
      <c r="AG15" s="9"/>
    </row>
    <row r="16" spans="4:33" x14ac:dyDescent="0.25">
      <c r="D16" s="3"/>
      <c r="E16" s="1"/>
      <c r="F16" s="1"/>
      <c r="G16" s="1"/>
      <c r="H16" s="1"/>
      <c r="I16" s="1"/>
      <c r="J16" s="1"/>
      <c r="K16" s="63"/>
      <c r="L16" s="63"/>
      <c r="M16" s="63"/>
      <c r="N16" s="63"/>
      <c r="O16" s="1"/>
      <c r="P16" s="1"/>
      <c r="Q16" s="24" t="s">
        <v>100</v>
      </c>
      <c r="R16" s="24" t="s">
        <v>101</v>
      </c>
      <c r="S16" s="24" t="s">
        <v>102</v>
      </c>
      <c r="T16" s="24" t="s">
        <v>98</v>
      </c>
      <c r="U16" s="24" t="s">
        <v>93</v>
      </c>
      <c r="V16" s="24" t="s">
        <v>87</v>
      </c>
      <c r="W16" s="24" t="s">
        <v>94</v>
      </c>
      <c r="X16" s="24" t="s">
        <v>95</v>
      </c>
      <c r="Y16" s="24" t="s">
        <v>93</v>
      </c>
      <c r="Z16" s="24" t="s">
        <v>87</v>
      </c>
      <c r="AA16" s="24" t="s">
        <v>94</v>
      </c>
      <c r="AB16" s="24" t="s">
        <v>95</v>
      </c>
      <c r="AC16" s="24" t="s">
        <v>94</v>
      </c>
      <c r="AD16" s="80" t="s">
        <v>95</v>
      </c>
      <c r="AE16" s="1"/>
      <c r="AF16" s="1"/>
      <c r="AG16" s="9"/>
    </row>
    <row r="17" spans="4:33" x14ac:dyDescent="0.25">
      <c r="D17" s="3"/>
      <c r="E17" s="1"/>
      <c r="F17" s="1"/>
      <c r="G17" s="1"/>
      <c r="H17" s="1"/>
      <c r="I17" s="1"/>
      <c r="J17" s="1"/>
      <c r="K17" s="71" t="s">
        <v>104</v>
      </c>
      <c r="L17" s="71" t="s">
        <v>100</v>
      </c>
      <c r="M17" s="71" t="s">
        <v>105</v>
      </c>
      <c r="N17" s="71" t="s">
        <v>106</v>
      </c>
      <c r="O17" s="1"/>
      <c r="P17" s="1"/>
      <c r="Q17" s="61" t="s">
        <v>65</v>
      </c>
      <c r="R17" s="37">
        <v>0.8</v>
      </c>
      <c r="S17" s="37">
        <v>0.62233530230303113</v>
      </c>
      <c r="T17" s="37">
        <v>0.93064121649528175</v>
      </c>
      <c r="U17" s="37">
        <v>1098.6239483211821</v>
      </c>
      <c r="V17" s="37">
        <v>-0.24222987570022525</v>
      </c>
      <c r="W17" s="37">
        <v>-4535.4601497661606</v>
      </c>
      <c r="X17" s="37">
        <v>-5943.2214623256878</v>
      </c>
      <c r="Y17" s="37">
        <v>1098.6239483211821</v>
      </c>
      <c r="Z17" s="37">
        <v>1.6842779311852585</v>
      </c>
      <c r="AA17" s="37">
        <v>652.28186392495184</v>
      </c>
      <c r="AB17" s="37">
        <v>32586.934675383978</v>
      </c>
      <c r="AC17" s="37">
        <f>IF(AA17="", "",AA17-W17)</f>
        <v>5187.7420136911123</v>
      </c>
      <c r="AD17" s="75">
        <f>IF(AB17="", "",AB17-X17)</f>
        <v>38530.156137709666</v>
      </c>
      <c r="AE17" s="1"/>
      <c r="AF17" s="1"/>
      <c r="AG17" s="9"/>
    </row>
    <row r="18" spans="4:33" ht="29.25" x14ac:dyDescent="0.25">
      <c r="D18" s="3"/>
      <c r="E18" s="1"/>
      <c r="F18" s="1"/>
      <c r="G18" s="1"/>
      <c r="H18" s="1"/>
      <c r="I18" s="1"/>
      <c r="J18" s="1"/>
      <c r="K18" s="81">
        <v>1</v>
      </c>
      <c r="L18" s="84" t="s">
        <v>68</v>
      </c>
      <c r="M18" s="72">
        <v>874.15987860805058</v>
      </c>
      <c r="N18" s="72">
        <v>-9040.3070703185094</v>
      </c>
      <c r="O18" s="1"/>
      <c r="P18" s="1"/>
      <c r="Q18" s="76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37" t="str">
        <f t="shared" ref="AC18:AC30" si="0">IF(AA18="", "",AA18-W18)</f>
        <v/>
      </c>
      <c r="AD18" s="75" t="str">
        <f t="shared" ref="AD18:AD30" si="1">IF(AB18="", "",AB18-X18)</f>
        <v/>
      </c>
      <c r="AE18" s="1"/>
      <c r="AF18" s="1"/>
      <c r="AG18" s="9"/>
    </row>
    <row r="19" spans="4:33" ht="29.25" x14ac:dyDescent="0.25">
      <c r="D19" s="3"/>
      <c r="E19" s="1"/>
      <c r="F19" s="1"/>
      <c r="G19" s="1"/>
      <c r="H19" s="1"/>
      <c r="I19" s="1"/>
      <c r="J19" s="1"/>
      <c r="K19" s="82">
        <v>2</v>
      </c>
      <c r="L19" s="85" t="s">
        <v>65</v>
      </c>
      <c r="M19" s="73">
        <v>-4535.4601497661606</v>
      </c>
      <c r="N19" s="73">
        <v>652.28186392495184</v>
      </c>
      <c r="O19" s="1"/>
      <c r="P19" s="1"/>
      <c r="Q19" s="76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37" t="str">
        <f t="shared" si="0"/>
        <v/>
      </c>
      <c r="AD19" s="75" t="str">
        <f t="shared" si="1"/>
        <v/>
      </c>
      <c r="AE19" s="1"/>
      <c r="AF19" s="1"/>
      <c r="AG19" s="9"/>
    </row>
    <row r="20" spans="4:33" x14ac:dyDescent="0.25">
      <c r="D20" s="3"/>
      <c r="E20" s="1"/>
      <c r="F20" s="1"/>
      <c r="G20" s="1"/>
      <c r="H20" s="1"/>
      <c r="I20" s="1"/>
      <c r="J20" s="1"/>
      <c r="K20" s="82">
        <v>3</v>
      </c>
      <c r="L20" s="85" t="s">
        <v>73</v>
      </c>
      <c r="M20" s="73">
        <v>6277.0445489907124</v>
      </c>
      <c r="N20" s="73">
        <v>2157.2272711930791</v>
      </c>
      <c r="O20" s="1"/>
      <c r="P20" s="1"/>
      <c r="Q20" s="76" t="s">
        <v>68</v>
      </c>
      <c r="R20" s="25">
        <v>0.7</v>
      </c>
      <c r="S20" s="25">
        <v>0.55468963712076724</v>
      </c>
      <c r="T20" s="25">
        <v>0.8272171487325426</v>
      </c>
      <c r="U20" s="25">
        <v>769.84216355419721</v>
      </c>
      <c r="V20" s="25">
        <v>0.88066517623759921</v>
      </c>
      <c r="W20" s="25">
        <v>874.15987860805058</v>
      </c>
      <c r="X20" s="25">
        <v>16843.461361197798</v>
      </c>
      <c r="Y20" s="25">
        <v>1656.4180260155381</v>
      </c>
      <c r="Z20" s="25">
        <v>-0.18322585871601138</v>
      </c>
      <c r="AA20" s="25">
        <v>-9040.3070703185094</v>
      </c>
      <c r="AB20" s="25">
        <v>-5320.9352003357781</v>
      </c>
      <c r="AC20" s="37">
        <f t="shared" si="0"/>
        <v>-9914.4669489265598</v>
      </c>
      <c r="AD20" s="75">
        <f t="shared" si="1"/>
        <v>-22164.396561533576</v>
      </c>
      <c r="AE20" s="1"/>
      <c r="AF20" s="1"/>
      <c r="AG20" s="9"/>
    </row>
    <row r="21" spans="4:33" x14ac:dyDescent="0.25">
      <c r="D21" s="3"/>
      <c r="E21" s="1"/>
      <c r="F21" s="1"/>
      <c r="G21" s="1"/>
      <c r="H21" s="1"/>
      <c r="I21" s="1"/>
      <c r="J21" s="1"/>
      <c r="K21" s="82">
        <v>4</v>
      </c>
      <c r="L21" s="85" t="s">
        <v>41</v>
      </c>
      <c r="M21" s="73">
        <v>1271.7266718330693</v>
      </c>
      <c r="N21" s="73">
        <v>3348.5563927364215</v>
      </c>
      <c r="O21" s="1"/>
      <c r="P21" s="1"/>
      <c r="Q21" s="76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37" t="str">
        <f t="shared" si="0"/>
        <v/>
      </c>
      <c r="AD21" s="75" t="str">
        <f t="shared" si="1"/>
        <v/>
      </c>
      <c r="AE21" s="1"/>
      <c r="AF21" s="1"/>
      <c r="AG21" s="9"/>
    </row>
    <row r="22" spans="4:33" x14ac:dyDescent="0.25">
      <c r="D22" s="3"/>
      <c r="E22" s="1"/>
      <c r="F22" s="1"/>
      <c r="G22" s="1"/>
      <c r="H22" s="1"/>
      <c r="I22" s="1"/>
      <c r="J22" s="1"/>
      <c r="K22" s="82">
        <v>5</v>
      </c>
      <c r="L22" s="85" t="s">
        <v>74</v>
      </c>
      <c r="M22" s="73">
        <v>1787.8338219101988</v>
      </c>
      <c r="N22" s="73">
        <v>3042.0348024757905</v>
      </c>
      <c r="O22" s="1"/>
      <c r="P22" s="1"/>
      <c r="Q22" s="76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37" t="str">
        <f t="shared" si="0"/>
        <v/>
      </c>
      <c r="AD22" s="75" t="str">
        <f t="shared" si="1"/>
        <v/>
      </c>
      <c r="AE22" s="1"/>
      <c r="AF22" s="1"/>
      <c r="AG22" s="9"/>
    </row>
    <row r="23" spans="4:33" x14ac:dyDescent="0.25">
      <c r="D23" s="3"/>
      <c r="E23" s="1"/>
      <c r="F23" s="1"/>
      <c r="G23" s="1"/>
      <c r="H23" s="1"/>
      <c r="I23" s="1"/>
      <c r="J23" s="1"/>
      <c r="K23" s="82">
        <v>6</v>
      </c>
      <c r="L23" s="85" t="s">
        <v>72</v>
      </c>
      <c r="M23" s="73">
        <v>2614.9239745656459</v>
      </c>
      <c r="N23" s="73">
        <v>1868.9248030945569</v>
      </c>
      <c r="O23" s="1"/>
      <c r="P23" s="1"/>
      <c r="Q23" s="76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37" t="str">
        <f t="shared" si="0"/>
        <v/>
      </c>
      <c r="AD23" s="75" t="str">
        <f t="shared" si="1"/>
        <v/>
      </c>
      <c r="AE23" s="1"/>
      <c r="AF23" s="1"/>
      <c r="AG23" s="9"/>
    </row>
    <row r="24" spans="4:33" x14ac:dyDescent="0.25">
      <c r="D24" s="3"/>
      <c r="E24" s="1"/>
      <c r="F24" s="1"/>
      <c r="G24" s="1"/>
      <c r="H24" s="1"/>
      <c r="I24" s="1"/>
      <c r="J24" s="1"/>
      <c r="K24" s="82">
        <v>7</v>
      </c>
      <c r="L24" s="85" t="s">
        <v>42</v>
      </c>
      <c r="M24" s="73">
        <v>2560.7844673020845</v>
      </c>
      <c r="N24" s="73">
        <v>1928.563491343737</v>
      </c>
      <c r="O24" s="1"/>
      <c r="P24" s="1"/>
      <c r="Q24" s="76" t="s">
        <v>71</v>
      </c>
      <c r="R24" s="25">
        <v>200</v>
      </c>
      <c r="S24" s="25">
        <v>162.72798250184627</v>
      </c>
      <c r="T24" s="25">
        <v>241.0578955063109</v>
      </c>
      <c r="U24" s="25">
        <v>1055.4836260905822</v>
      </c>
      <c r="V24" s="25">
        <v>0.48612703451721817</v>
      </c>
      <c r="W24" s="25">
        <v>2171.2094805400047</v>
      </c>
      <c r="X24" s="25">
        <v>8667.0570642537641</v>
      </c>
      <c r="Y24" s="25">
        <v>1146.1462173354694</v>
      </c>
      <c r="Z24" s="25">
        <v>0.48612703451721817</v>
      </c>
      <c r="AA24" s="25">
        <v>2357.7092734077801</v>
      </c>
      <c r="AB24" s="25">
        <v>8576.3944730088697</v>
      </c>
      <c r="AC24" s="37">
        <f t="shared" si="0"/>
        <v>186.49979286777534</v>
      </c>
      <c r="AD24" s="75">
        <f t="shared" si="1"/>
        <v>-90.662591244894429</v>
      </c>
      <c r="AE24" s="1"/>
      <c r="AF24" s="1"/>
      <c r="AG24" s="9"/>
    </row>
    <row r="25" spans="4:33" x14ac:dyDescent="0.25">
      <c r="D25" s="3"/>
      <c r="E25" s="1"/>
      <c r="F25" s="1"/>
      <c r="G25" s="1"/>
      <c r="H25" s="1"/>
      <c r="I25" s="1"/>
      <c r="J25" s="1"/>
      <c r="K25" s="82">
        <v>8</v>
      </c>
      <c r="L25" s="85" t="s">
        <v>71</v>
      </c>
      <c r="M25" s="73">
        <v>2171.2094805400047</v>
      </c>
      <c r="N25" s="73">
        <v>2357.7092734077801</v>
      </c>
      <c r="O25" s="1"/>
      <c r="P25" s="1"/>
      <c r="Q25" s="76" t="s">
        <v>72</v>
      </c>
      <c r="R25" s="25">
        <v>800</v>
      </c>
      <c r="S25" s="25">
        <v>650.91193000738508</v>
      </c>
      <c r="T25" s="25">
        <v>964.2315820252436</v>
      </c>
      <c r="U25" s="25">
        <v>1271.1852372435751</v>
      </c>
      <c r="V25" s="25">
        <v>0.48612703451721817</v>
      </c>
      <c r="W25" s="25">
        <v>2614.9239745656459</v>
      </c>
      <c r="X25" s="25">
        <v>8451.3554531007831</v>
      </c>
      <c r="Y25" s="25">
        <v>908.53487226403286</v>
      </c>
      <c r="Z25" s="25">
        <v>0.48612703451721817</v>
      </c>
      <c r="AA25" s="25">
        <v>1868.9248030945569</v>
      </c>
      <c r="AB25" s="25">
        <v>8814.0058180803171</v>
      </c>
      <c r="AC25" s="37">
        <f t="shared" si="0"/>
        <v>-745.99917147108908</v>
      </c>
      <c r="AD25" s="75">
        <f t="shared" si="1"/>
        <v>362.65036497953406</v>
      </c>
      <c r="AE25" s="1"/>
      <c r="AF25" s="1"/>
      <c r="AG25" s="9"/>
    </row>
    <row r="26" spans="4:33" x14ac:dyDescent="0.25">
      <c r="D26" s="3"/>
      <c r="E26" s="1"/>
      <c r="F26" s="1"/>
      <c r="G26" s="1"/>
      <c r="H26" s="1"/>
      <c r="I26" s="1"/>
      <c r="J26" s="1"/>
      <c r="K26" s="82">
        <v>9</v>
      </c>
      <c r="L26" s="85"/>
      <c r="M26" s="73"/>
      <c r="N26" s="73"/>
      <c r="O26" s="1"/>
      <c r="P26" s="1"/>
      <c r="Q26" s="76" t="s">
        <v>41</v>
      </c>
      <c r="R26" s="25">
        <v>600</v>
      </c>
      <c r="S26" s="25">
        <v>488.18394750553881</v>
      </c>
      <c r="T26" s="25">
        <v>723.17368651893275</v>
      </c>
      <c r="U26" s="25">
        <v>618.22071569466152</v>
      </c>
      <c r="V26" s="25">
        <v>0.48612703451721817</v>
      </c>
      <c r="W26" s="25">
        <v>1271.7266718330693</v>
      </c>
      <c r="X26" s="25">
        <v>9104.319974649683</v>
      </c>
      <c r="Y26" s="25">
        <v>1627.82378911463</v>
      </c>
      <c r="Z26" s="25">
        <v>0.48612703451721817</v>
      </c>
      <c r="AA26" s="25">
        <v>3348.5563927364215</v>
      </c>
      <c r="AB26" s="25">
        <v>8094.7169012297381</v>
      </c>
      <c r="AC26" s="37">
        <f t="shared" si="0"/>
        <v>2076.8297209033522</v>
      </c>
      <c r="AD26" s="75">
        <f t="shared" si="1"/>
        <v>-1009.6030734199448</v>
      </c>
      <c r="AE26" s="1"/>
      <c r="AF26" s="1"/>
      <c r="AG26" s="9"/>
    </row>
    <row r="27" spans="4:33" x14ac:dyDescent="0.25">
      <c r="D27" s="3"/>
      <c r="E27" s="1"/>
      <c r="F27" s="1"/>
      <c r="G27" s="1"/>
      <c r="H27" s="1"/>
      <c r="I27" s="1"/>
      <c r="J27" s="1"/>
      <c r="K27" s="83">
        <v>10</v>
      </c>
      <c r="L27" s="86"/>
      <c r="M27" s="74"/>
      <c r="N27" s="74"/>
      <c r="O27" s="1"/>
      <c r="P27" s="1"/>
      <c r="Q27" s="76" t="s">
        <v>42</v>
      </c>
      <c r="R27" s="25">
        <v>250</v>
      </c>
      <c r="S27" s="25">
        <v>203.40997812730785</v>
      </c>
      <c r="T27" s="25">
        <v>301.32236938288861</v>
      </c>
      <c r="U27" s="25">
        <v>1244.8665591273166</v>
      </c>
      <c r="V27" s="25">
        <v>0.48612703451721817</v>
      </c>
      <c r="W27" s="25">
        <v>2560.7844673020845</v>
      </c>
      <c r="X27" s="25">
        <v>8477.6741312170489</v>
      </c>
      <c r="Y27" s="25">
        <v>937.52685092510364</v>
      </c>
      <c r="Z27" s="25">
        <v>0.48612703451721817</v>
      </c>
      <c r="AA27" s="25">
        <v>1928.563491343737</v>
      </c>
      <c r="AB27" s="25">
        <v>8785.0138394192618</v>
      </c>
      <c r="AC27" s="37">
        <f t="shared" si="0"/>
        <v>-632.22097595834748</v>
      </c>
      <c r="AD27" s="75">
        <f t="shared" si="1"/>
        <v>307.33970820221293</v>
      </c>
      <c r="AE27" s="1"/>
      <c r="AF27" s="1"/>
      <c r="AG27" s="9"/>
    </row>
    <row r="28" spans="4:33" x14ac:dyDescent="0.25">
      <c r="D28" s="3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76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37" t="str">
        <f t="shared" si="0"/>
        <v/>
      </c>
      <c r="AD28" s="75" t="str">
        <f t="shared" si="1"/>
        <v/>
      </c>
      <c r="AE28" s="1"/>
      <c r="AF28" s="1"/>
      <c r="AG28" s="9"/>
    </row>
    <row r="29" spans="4:33" x14ac:dyDescent="0.25">
      <c r="D29" s="3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76" t="s">
        <v>73</v>
      </c>
      <c r="R29" s="25">
        <v>0.98</v>
      </c>
      <c r="S29" s="25">
        <v>0.7112144755253601</v>
      </c>
      <c r="T29" s="25">
        <v>1</v>
      </c>
      <c r="U29" s="25">
        <v>1098.6239483211812</v>
      </c>
      <c r="V29" s="25">
        <v>0.17502248705528611</v>
      </c>
      <c r="W29" s="25">
        <v>6277.0445489907124</v>
      </c>
      <c r="X29" s="25">
        <v>2401.8257927845407</v>
      </c>
      <c r="Y29" s="25">
        <v>1098.6239483211812</v>
      </c>
      <c r="Z29" s="25">
        <v>0.50927594092280071</v>
      </c>
      <c r="AA29" s="25">
        <v>2157.2272711930791</v>
      </c>
      <c r="AB29" s="25">
        <v>9086.8948701348418</v>
      </c>
      <c r="AC29" s="37">
        <f t="shared" si="0"/>
        <v>-4119.8172777976333</v>
      </c>
      <c r="AD29" s="75">
        <f t="shared" si="1"/>
        <v>6685.0690773503011</v>
      </c>
      <c r="AE29" s="1"/>
      <c r="AF29" s="1"/>
      <c r="AG29" s="9"/>
    </row>
    <row r="30" spans="4:33" x14ac:dyDescent="0.25">
      <c r="D30" s="3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76" t="s">
        <v>74</v>
      </c>
      <c r="R30" s="25">
        <v>0.56000000000000005</v>
      </c>
      <c r="S30" s="25">
        <v>0.44908935959673879</v>
      </c>
      <c r="T30" s="25">
        <v>0.66797858638814511</v>
      </c>
      <c r="U30" s="25">
        <v>1098.6239483211812</v>
      </c>
      <c r="V30" s="25">
        <v>0.61450003622113147</v>
      </c>
      <c r="W30" s="25">
        <v>1787.8338219101988</v>
      </c>
      <c r="X30" s="25">
        <v>11191.376776101461</v>
      </c>
      <c r="Y30" s="25">
        <v>1098.6239483211812</v>
      </c>
      <c r="Z30" s="25">
        <v>0.36114772501190817</v>
      </c>
      <c r="AA30" s="25">
        <v>3042.0348024757905</v>
      </c>
      <c r="AB30" s="25">
        <v>6124.3305519169662</v>
      </c>
      <c r="AC30" s="37">
        <f t="shared" si="0"/>
        <v>1254.2009805655916</v>
      </c>
      <c r="AD30" s="75">
        <f t="shared" si="1"/>
        <v>-5067.0462241844943</v>
      </c>
      <c r="AE30" s="1"/>
      <c r="AF30" s="1"/>
      <c r="AG30" s="9"/>
    </row>
    <row r="31" spans="4:33" x14ac:dyDescent="0.25">
      <c r="D31" s="3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76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77"/>
      <c r="AE31" s="1"/>
      <c r="AF31" s="1"/>
      <c r="AG31" s="9"/>
    </row>
    <row r="32" spans="4:33" x14ac:dyDescent="0.25"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76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77"/>
      <c r="AE32" s="1"/>
      <c r="AF32" s="1"/>
      <c r="AG32" s="9"/>
    </row>
    <row r="33" spans="4:33" x14ac:dyDescent="0.25"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76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77"/>
      <c r="AE33" s="1"/>
      <c r="AF33" s="1"/>
      <c r="AG33" s="9"/>
    </row>
    <row r="34" spans="4:33" x14ac:dyDescent="0.25"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76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77"/>
      <c r="AE34" s="1"/>
      <c r="AF34" s="1"/>
      <c r="AG34" s="9"/>
    </row>
    <row r="35" spans="4:33" x14ac:dyDescent="0.25"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76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77"/>
      <c r="AE35" s="1"/>
      <c r="AF35" s="1"/>
      <c r="AG35" s="9"/>
    </row>
    <row r="36" spans="4:33" x14ac:dyDescent="0.25"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76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77"/>
      <c r="AE36" s="1"/>
      <c r="AF36" s="1"/>
      <c r="AG36" s="9"/>
    </row>
    <row r="37" spans="4:33" x14ac:dyDescent="0.25"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76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77"/>
      <c r="AE37" s="1"/>
      <c r="AF37" s="1"/>
      <c r="AG37" s="9"/>
    </row>
    <row r="38" spans="4:33" x14ac:dyDescent="0.25"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76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77"/>
      <c r="AE38" s="1"/>
      <c r="AF38" s="1"/>
      <c r="AG38" s="9"/>
    </row>
    <row r="39" spans="4:33" x14ac:dyDescent="0.25">
      <c r="D39" s="3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76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77"/>
      <c r="AE39" s="1"/>
      <c r="AF39" s="1"/>
      <c r="AG39" s="9"/>
    </row>
    <row r="40" spans="4:33" x14ac:dyDescent="0.25"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76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77"/>
      <c r="AE40" s="1"/>
      <c r="AF40" s="1"/>
      <c r="AG40" s="9"/>
    </row>
    <row r="41" spans="4:33" x14ac:dyDescent="0.25">
      <c r="D41" s="3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76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77"/>
      <c r="AE41" s="1"/>
      <c r="AF41" s="1"/>
      <c r="AG41" s="9"/>
    </row>
    <row r="42" spans="4:33" x14ac:dyDescent="0.25">
      <c r="D42" s="3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62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78"/>
      <c r="AE42" s="1"/>
      <c r="AF42" s="1"/>
      <c r="AG42" s="9"/>
    </row>
    <row r="43" spans="4:33" x14ac:dyDescent="0.25">
      <c r="D43" s="3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1"/>
      <c r="AF43" s="1"/>
      <c r="AG43" s="9"/>
    </row>
    <row r="44" spans="4:33" x14ac:dyDescent="0.25">
      <c r="D44" s="3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1"/>
      <c r="AF44" s="1"/>
      <c r="AG44" s="9"/>
    </row>
    <row r="45" spans="4:33" x14ac:dyDescent="0.25">
      <c r="D45" s="3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1"/>
      <c r="AF45" s="1"/>
      <c r="AG45" s="9"/>
    </row>
    <row r="46" spans="4:33" x14ac:dyDescent="0.25">
      <c r="D46" s="3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1"/>
      <c r="AF46" s="1"/>
      <c r="AG46" s="9"/>
    </row>
    <row r="47" spans="4:33" x14ac:dyDescent="0.25">
      <c r="D47" s="3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1"/>
      <c r="AF47" s="1"/>
      <c r="AG47" s="9"/>
    </row>
    <row r="48" spans="4:33" x14ac:dyDescent="0.25">
      <c r="D48" s="3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1"/>
      <c r="AF48" s="1"/>
      <c r="AG48" s="9"/>
    </row>
    <row r="49" spans="4:33" x14ac:dyDescent="0.25">
      <c r="D49" s="3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1"/>
      <c r="AF49" s="1"/>
      <c r="AG49" s="9"/>
    </row>
    <row r="50" spans="4:33" x14ac:dyDescent="0.25">
      <c r="D50" s="3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1"/>
      <c r="AF50" s="1"/>
      <c r="AG50" s="9"/>
    </row>
    <row r="51" spans="4:33" x14ac:dyDescent="0.25"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1"/>
      <c r="AF51" s="1"/>
      <c r="AG51" s="9"/>
    </row>
    <row r="52" spans="4:33" x14ac:dyDescent="0.25"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1"/>
      <c r="AF52" s="1"/>
      <c r="AG52" s="9"/>
    </row>
    <row r="53" spans="4:33" x14ac:dyDescent="0.25"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1"/>
      <c r="AF53" s="1"/>
      <c r="AG53" s="9"/>
    </row>
    <row r="54" spans="4:33" x14ac:dyDescent="0.25"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1"/>
      <c r="AF54" s="1"/>
      <c r="AG54" s="9"/>
    </row>
    <row r="55" spans="4:33" x14ac:dyDescent="0.25">
      <c r="D55" s="3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1"/>
      <c r="AF55" s="1"/>
      <c r="AG55" s="9"/>
    </row>
    <row r="56" spans="4:33" x14ac:dyDescent="0.25">
      <c r="D56" s="3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1"/>
      <c r="AF56" s="1"/>
      <c r="AG56" s="9"/>
    </row>
    <row r="57" spans="4:33" x14ac:dyDescent="0.25">
      <c r="D57" s="3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1"/>
      <c r="AF57" s="1"/>
      <c r="AG57" s="9"/>
    </row>
    <row r="58" spans="4:33" x14ac:dyDescent="0.25">
      <c r="D58" s="3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1"/>
      <c r="AF58" s="1"/>
      <c r="AG58" s="9"/>
    </row>
    <row r="59" spans="4:33" x14ac:dyDescent="0.25">
      <c r="D59" s="3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1"/>
      <c r="AF59" s="1"/>
      <c r="AG59" s="9"/>
    </row>
    <row r="60" spans="4:33" x14ac:dyDescent="0.25">
      <c r="D60" s="3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1"/>
      <c r="AF60" s="1"/>
      <c r="AG60" s="9"/>
    </row>
    <row r="61" spans="4:33" x14ac:dyDescent="0.25">
      <c r="D61" s="3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1"/>
      <c r="AF61" s="1"/>
      <c r="AG61" s="9"/>
    </row>
    <row r="62" spans="4:33" x14ac:dyDescent="0.25">
      <c r="D62" s="3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1"/>
      <c r="AF62" s="1"/>
      <c r="AG62" s="9"/>
    </row>
    <row r="63" spans="4:33" x14ac:dyDescent="0.25">
      <c r="D63" s="3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1"/>
      <c r="AF63" s="1"/>
      <c r="AG63" s="9"/>
    </row>
    <row r="64" spans="4:33" x14ac:dyDescent="0.25"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1"/>
      <c r="AF64" s="1"/>
      <c r="AG64" s="9"/>
    </row>
    <row r="65" spans="4:33" x14ac:dyDescent="0.25"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1"/>
      <c r="AF65" s="1"/>
      <c r="AG65" s="9"/>
    </row>
    <row r="66" spans="4:33" x14ac:dyDescent="0.25">
      <c r="D66" s="3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1"/>
      <c r="AF66" s="1"/>
      <c r="AG66" s="9"/>
    </row>
    <row r="67" spans="4:33" x14ac:dyDescent="0.25">
      <c r="D67" s="3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1"/>
      <c r="AF67" s="1"/>
      <c r="AG67" s="9"/>
    </row>
    <row r="68" spans="4:33" x14ac:dyDescent="0.25">
      <c r="D68" s="3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1"/>
      <c r="AF68" s="1"/>
      <c r="AG68" s="9"/>
    </row>
    <row r="69" spans="4:33" x14ac:dyDescent="0.25">
      <c r="D69" s="3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1"/>
      <c r="AF69" s="1"/>
      <c r="AG69" s="9"/>
    </row>
    <row r="70" spans="4:33" x14ac:dyDescent="0.25">
      <c r="D70" s="3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1"/>
      <c r="AF70" s="1"/>
      <c r="AG70" s="9"/>
    </row>
    <row r="71" spans="4:33" x14ac:dyDescent="0.25">
      <c r="D71" s="3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1"/>
      <c r="AF71" s="1"/>
      <c r="AG71" s="9"/>
    </row>
    <row r="72" spans="4:33" x14ac:dyDescent="0.25">
      <c r="D72" s="3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1"/>
      <c r="AF72" s="1"/>
      <c r="AG72" s="9"/>
    </row>
    <row r="73" spans="4:33" x14ac:dyDescent="0.25">
      <c r="D73" s="3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1"/>
      <c r="AF73" s="1"/>
      <c r="AG73" s="9"/>
    </row>
    <row r="74" spans="4:33" x14ac:dyDescent="0.25">
      <c r="D74" s="3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1"/>
      <c r="AF74" s="1"/>
      <c r="AG74" s="9"/>
    </row>
    <row r="75" spans="4:33" x14ac:dyDescent="0.25">
      <c r="D75" s="3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1"/>
      <c r="AF75" s="1"/>
      <c r="AG75" s="9"/>
    </row>
    <row r="76" spans="4:33" x14ac:dyDescent="0.25"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1"/>
      <c r="AF76" s="1"/>
      <c r="AG76" s="9"/>
    </row>
    <row r="77" spans="4:33" x14ac:dyDescent="0.25"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1"/>
      <c r="AF77" s="1"/>
      <c r="AG77" s="9"/>
    </row>
    <row r="78" spans="4:33" x14ac:dyDescent="0.25">
      <c r="D78" s="6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7"/>
      <c r="AF78" s="7"/>
      <c r="AG78" s="10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A0F5E-31FD-4D77-9B79-7DC0E8B027B6}">
  <sheetPr codeName="Sheet10">
    <tabColor rgb="FFCCCC00"/>
  </sheetPr>
  <dimension ref="B1:MC1016"/>
  <sheetViews>
    <sheetView topLeftCell="B1" workbookViewId="0">
      <selection activeCell="G12" sqref="G12"/>
    </sheetView>
  </sheetViews>
  <sheetFormatPr defaultRowHeight="15" x14ac:dyDescent="0.25"/>
  <cols>
    <col min="1" max="1" width="0" hidden="1" customWidth="1"/>
    <col min="2" max="2" width="10.7109375" customWidth="1"/>
    <col min="6" max="6" width="35.140625" bestFit="1" customWidth="1"/>
    <col min="7" max="7" width="24.140625" customWidth="1"/>
    <col min="8" max="8" width="21.28515625" customWidth="1"/>
    <col min="9" max="9" width="23" customWidth="1"/>
    <col min="12" max="12" width="11.140625" bestFit="1" customWidth="1"/>
    <col min="13" max="13" width="11.42578125" bestFit="1" customWidth="1"/>
    <col min="14" max="14" width="10.28515625" bestFit="1" customWidth="1"/>
    <col min="15" max="15" width="11.42578125" bestFit="1" customWidth="1"/>
    <col min="16" max="16" width="16.7109375" bestFit="1" customWidth="1"/>
    <col min="17" max="17" width="17.85546875" bestFit="1" customWidth="1"/>
    <col min="18" max="19" width="11.42578125" customWidth="1"/>
    <col min="20" max="21" width="12.7109375" customWidth="1"/>
    <col min="23" max="23" width="15.7109375" style="114" customWidth="1"/>
    <col min="24" max="24" width="9.42578125" customWidth="1"/>
    <col min="25" max="25" width="9.5703125" customWidth="1"/>
  </cols>
  <sheetData>
    <row r="1" spans="2:341" s="1" customFormat="1" x14ac:dyDescent="0.25">
      <c r="W1" s="25"/>
    </row>
    <row r="2" spans="2:341" s="1" customFormat="1" ht="26.25" x14ac:dyDescent="0.4">
      <c r="H2" s="13" t="s">
        <v>0</v>
      </c>
      <c r="W2" s="25"/>
    </row>
    <row r="3" spans="2:341" s="1" customFormat="1" x14ac:dyDescent="0.25">
      <c r="W3" s="25"/>
    </row>
    <row r="4" spans="2:341" s="11" customFormat="1" ht="4.5" customHeight="1" x14ac:dyDescent="0.25">
      <c r="W4" s="35"/>
    </row>
    <row r="5" spans="2:341" s="12" customFormat="1" ht="4.5" customHeight="1" x14ac:dyDescent="0.25">
      <c r="W5" s="36"/>
    </row>
    <row r="6" spans="2:341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39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</row>
    <row r="7" spans="2:341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39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</row>
    <row r="8" spans="2:341" x14ac:dyDescent="0.25">
      <c r="B8" s="2"/>
      <c r="C8" s="2"/>
      <c r="D8" s="4"/>
      <c r="E8" s="5"/>
      <c r="F8" s="5"/>
      <c r="G8" s="5"/>
      <c r="H8" s="5"/>
      <c r="I8" s="5" t="s">
        <v>116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37"/>
      <c r="X8" s="5"/>
      <c r="Y8" s="5"/>
      <c r="Z8" s="8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</row>
    <row r="9" spans="2:341" x14ac:dyDescent="0.25">
      <c r="B9" s="2"/>
      <c r="C9" s="2"/>
      <c r="D9" s="3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25"/>
      <c r="X9" s="1"/>
      <c r="Y9" s="1"/>
      <c r="Z9" s="9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</row>
    <row r="10" spans="2:341" x14ac:dyDescent="0.25">
      <c r="B10" s="2"/>
      <c r="C10" s="2"/>
      <c r="D10" s="3"/>
      <c r="E10" s="1"/>
      <c r="F10" s="15" t="s">
        <v>117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25"/>
      <c r="X10" s="1"/>
      <c r="Y10" s="1"/>
      <c r="Z10" s="9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</row>
    <row r="11" spans="2:341" ht="15.75" thickBot="1" x14ac:dyDescent="0.3">
      <c r="B11" s="2"/>
      <c r="C11" s="2"/>
      <c r="D11" s="3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25"/>
      <c r="X11" s="1"/>
      <c r="Y11" s="1"/>
      <c r="Z11" s="9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</row>
    <row r="12" spans="2:341" ht="15.75" thickBot="1" x14ac:dyDescent="0.3">
      <c r="B12" s="2"/>
      <c r="C12" s="2"/>
      <c r="D12" s="3"/>
      <c r="E12" s="1"/>
      <c r="F12" s="111" t="s">
        <v>118</v>
      </c>
      <c r="G12" s="87">
        <v>1000</v>
      </c>
      <c r="H12" s="1"/>
      <c r="I12" s="1"/>
      <c r="J12" s="1"/>
      <c r="K12" s="112"/>
      <c r="L12" s="134" t="s">
        <v>85</v>
      </c>
      <c r="M12" s="134"/>
      <c r="N12" s="134" t="s">
        <v>86</v>
      </c>
      <c r="O12" s="134"/>
      <c r="P12" s="134" t="s">
        <v>93</v>
      </c>
      <c r="Q12" s="134" t="s">
        <v>87</v>
      </c>
      <c r="R12" s="138" t="s">
        <v>95</v>
      </c>
      <c r="S12" s="139"/>
      <c r="T12" s="138" t="s">
        <v>1129</v>
      </c>
      <c r="U12" s="139"/>
      <c r="V12" s="1"/>
      <c r="W12" s="25"/>
      <c r="X12" s="1"/>
      <c r="Y12" s="1"/>
      <c r="Z12" s="9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</row>
    <row r="13" spans="2:341" ht="15.75" thickBot="1" x14ac:dyDescent="0.3">
      <c r="B13" s="2"/>
      <c r="C13" s="2"/>
      <c r="D13" s="3"/>
      <c r="E13" s="1"/>
      <c r="F13" s="1"/>
      <c r="G13" s="1"/>
      <c r="H13" s="1"/>
      <c r="I13" s="1"/>
      <c r="J13" s="1"/>
      <c r="K13" s="112"/>
      <c r="L13" s="112" t="s">
        <v>122</v>
      </c>
      <c r="M13" s="112" t="s">
        <v>123</v>
      </c>
      <c r="N13" s="112" t="s">
        <v>122</v>
      </c>
      <c r="O13" s="112" t="s">
        <v>123</v>
      </c>
      <c r="P13" s="134"/>
      <c r="Q13" s="134"/>
      <c r="R13" s="112" t="s">
        <v>85</v>
      </c>
      <c r="S13" s="112" t="s">
        <v>86</v>
      </c>
      <c r="T13" s="112" t="s">
        <v>85</v>
      </c>
      <c r="U13" s="112" t="s">
        <v>86</v>
      </c>
      <c r="V13" s="1"/>
      <c r="W13" s="135" t="s">
        <v>1128</v>
      </c>
      <c r="X13" s="136"/>
      <c r="Y13" s="137"/>
      <c r="Z13" s="9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</row>
    <row r="14" spans="2:341" ht="15.75" thickBot="1" x14ac:dyDescent="0.3">
      <c r="B14" s="2"/>
      <c r="C14" s="2"/>
      <c r="D14" s="3"/>
      <c r="E14" s="1"/>
      <c r="F14" s="47"/>
      <c r="G14" s="50" t="s">
        <v>83</v>
      </c>
      <c r="H14" s="50" t="s">
        <v>87</v>
      </c>
      <c r="I14" s="51" t="s">
        <v>121</v>
      </c>
      <c r="J14" s="1"/>
      <c r="K14" s="112" t="s">
        <v>124</v>
      </c>
      <c r="L14" s="113">
        <f ca="1">Results!F12</f>
        <v>6833.4877089262864</v>
      </c>
      <c r="M14" s="113">
        <f ca="1">Results!G12</f>
        <v>7.7135028878450171</v>
      </c>
      <c r="N14" s="113">
        <f ca="1">Results!F13</f>
        <v>5326.8753479114775</v>
      </c>
      <c r="O14" s="113">
        <f ca="1">Results!G13</f>
        <v>6.2200342977048786</v>
      </c>
      <c r="P14" s="113">
        <f ca="1">L14-N14</f>
        <v>1506.6123610148088</v>
      </c>
      <c r="Q14" s="113">
        <f ca="1">M14-O14</f>
        <v>1.4934685901401386</v>
      </c>
      <c r="R14" s="113">
        <f ca="1">M14*willingness_to_pay-L14</f>
        <v>147436.57004797406</v>
      </c>
      <c r="S14" s="113">
        <f ca="1">O14*willingness_to_pay-N14</f>
        <v>119073.81060618609</v>
      </c>
      <c r="T14" s="117"/>
      <c r="U14" s="118"/>
      <c r="V14" s="1"/>
      <c r="W14" s="121"/>
      <c r="X14" s="115">
        <f ca="1">AVERAGE(OFFSET(T16,1,0):OFFSET(T16,NumSim+1, 0))</f>
        <v>0.56999999999999995</v>
      </c>
      <c r="Y14" s="116">
        <f ca="1">AVERAGE(OFFSET(U16,1,0):OFFSET(U16,NumSim+1, 0))</f>
        <v>0.43</v>
      </c>
      <c r="Z14" s="9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</row>
    <row r="15" spans="2:341" ht="15.75" thickBot="1" x14ac:dyDescent="0.3">
      <c r="B15" s="2"/>
      <c r="C15" s="2"/>
      <c r="D15" s="3"/>
      <c r="E15" s="1"/>
      <c r="F15" s="48" t="s">
        <v>119</v>
      </c>
      <c r="G15" s="107">
        <f ca="1">Results!I13</f>
        <v>1506.6123610148088</v>
      </c>
      <c r="H15" s="107">
        <f ca="1">Results!J13</f>
        <v>1.4934685901401386</v>
      </c>
      <c r="I15" s="108">
        <f ca="1">G15/H15</f>
        <v>1008.8008351574618</v>
      </c>
      <c r="J15" s="1"/>
      <c r="K15" s="112" t="s">
        <v>125</v>
      </c>
      <c r="L15" s="113">
        <f ca="1">AVERAGE(OFFSET(L16,1,0):OFFSET(L16,NumSim+1, 0))</f>
        <v>8128.1635600684631</v>
      </c>
      <c r="M15" s="113">
        <f ca="1">AVERAGE(OFFSET(M16,1,0):OFFSET(M16,NumSim+1, 0))</f>
        <v>7.5515730557457079</v>
      </c>
      <c r="N15" s="113">
        <f ca="1">AVERAGE(OFFSET(N16,1,0):OFFSET(N16,NumSim+1, 0))</f>
        <v>6935.0245903625255</v>
      </c>
      <c r="O15" s="113">
        <f ca="1">AVERAGE(OFFSET(O16,1,0):OFFSET(O16,NumSim+1, 0))</f>
        <v>6.9982348964249317</v>
      </c>
      <c r="P15" s="113">
        <f ca="1">AVERAGE(OFFSET(P16,1,0):OFFSET(P16,NumSim+1, 0))</f>
        <v>1193.1389697059356</v>
      </c>
      <c r="Q15" s="113">
        <f ca="1">AVERAGE(OFFSET(Q16,1,0):OFFSET(Q16,NumSim+1, 0))</f>
        <v>0.55333815932077568</v>
      </c>
      <c r="R15" s="113">
        <f ca="1">AVERAGE(OFFSET(R16,1,0):OFFSET(R16,NumSim+1, 0))</f>
        <v>142903.29755484586</v>
      </c>
      <c r="S15" s="113">
        <f ca="1">AVERAGE(OFFSET(S16,1,0):OFFSET(S16,NumSim+1, 0))</f>
        <v>133029.67333813637</v>
      </c>
      <c r="T15" s="119"/>
      <c r="U15" s="120"/>
      <c r="V15" s="1"/>
      <c r="W15" s="113" t="s">
        <v>1127</v>
      </c>
      <c r="X15" s="113" t="s">
        <v>85</v>
      </c>
      <c r="Y15" s="113" t="s">
        <v>86</v>
      </c>
      <c r="Z15" s="9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</row>
    <row r="16" spans="2:341" ht="15.75" thickBot="1" x14ac:dyDescent="0.3">
      <c r="B16" s="2"/>
      <c r="C16" s="2"/>
      <c r="D16" s="3"/>
      <c r="E16" s="1"/>
      <c r="F16" s="49" t="s">
        <v>120</v>
      </c>
      <c r="G16" s="109">
        <f ca="1">P15</f>
        <v>1193.1389697059356</v>
      </c>
      <c r="H16" s="109">
        <f ca="1">Q15</f>
        <v>0.55333815932077568</v>
      </c>
      <c r="I16" s="110">
        <f ca="1">G16/H16</f>
        <v>2156.2564403122269</v>
      </c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27">
        <v>1000</v>
      </c>
      <c r="X16" s="128">
        <v>0</v>
      </c>
      <c r="Y16" s="128">
        <v>1</v>
      </c>
      <c r="Z16" s="9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</row>
    <row r="17" spans="2:341" x14ac:dyDescent="0.25">
      <c r="B17" s="2"/>
      <c r="C17" s="2"/>
      <c r="D17" s="3"/>
      <c r="E17" s="1"/>
      <c r="F17" s="1"/>
      <c r="G17" s="1"/>
      <c r="H17" s="1"/>
      <c r="I17" s="1"/>
      <c r="J17" s="1" t="s">
        <v>116</v>
      </c>
      <c r="K17" s="123" t="s">
        <v>126</v>
      </c>
      <c r="L17" s="123">
        <v>9907.0653085598424</v>
      </c>
      <c r="M17" s="123">
        <v>9.0342102192355771</v>
      </c>
      <c r="N17" s="123">
        <v>8769.754159886048</v>
      </c>
      <c r="O17" s="123">
        <v>9.982184947191076</v>
      </c>
      <c r="P17" s="123">
        <f>L17-N17</f>
        <v>1137.3111486737944</v>
      </c>
      <c r="Q17" s="123">
        <f>M17-O17</f>
        <v>-0.94797472795549886</v>
      </c>
      <c r="R17" s="123">
        <f t="shared" ref="R17:R80" si="0">M17*willingness_to_pay-L17</f>
        <v>170777.13907615171</v>
      </c>
      <c r="S17" s="123">
        <f t="shared" ref="S17:S80" si="1">O17*willingness_to_pay-N17</f>
        <v>190873.94478393547</v>
      </c>
      <c r="T17" s="123">
        <f>IF(L17="", "",IF(R17=MAX(R17:S17),1,0))</f>
        <v>0</v>
      </c>
      <c r="U17" s="123">
        <f>IF(N17="", "", IF(S17=MAX(R17:S17),1,0))</f>
        <v>1</v>
      </c>
      <c r="V17" s="1"/>
      <c r="W17" s="122">
        <v>2000</v>
      </c>
      <c r="X17" s="125">
        <v>0.5</v>
      </c>
      <c r="Y17" s="125">
        <v>0.5</v>
      </c>
      <c r="Z17" s="9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</row>
    <row r="18" spans="2:341" x14ac:dyDescent="0.25">
      <c r="B18" s="2"/>
      <c r="C18" s="2"/>
      <c r="D18" s="3"/>
      <c r="E18" s="1"/>
      <c r="F18" s="1"/>
      <c r="G18" s="1"/>
      <c r="H18" s="1"/>
      <c r="I18" s="1"/>
      <c r="J18" s="1"/>
      <c r="K18" s="123" t="s">
        <v>127</v>
      </c>
      <c r="L18" s="123">
        <v>12248.167567913264</v>
      </c>
      <c r="M18" s="123">
        <v>11.180968766493098</v>
      </c>
      <c r="N18" s="123">
        <v>9092.8386920424309</v>
      </c>
      <c r="O18" s="123">
        <v>9.8678424026794449</v>
      </c>
      <c r="P18" s="123">
        <f t="shared" ref="P18:P81" si="2">L18-N18</f>
        <v>3155.3288758708331</v>
      </c>
      <c r="Q18" s="123">
        <f t="shared" ref="Q18:Q81" si="3">M18-O18</f>
        <v>1.3131263638136534</v>
      </c>
      <c r="R18" s="123">
        <f t="shared" si="0"/>
        <v>211371.2077619487</v>
      </c>
      <c r="S18" s="123">
        <f t="shared" si="1"/>
        <v>188264.00936154649</v>
      </c>
      <c r="T18" s="123">
        <f t="shared" ref="T18:T81" si="4">IF(L18="", "",IF(R18=MAX(R18:S18),1,0))</f>
        <v>1</v>
      </c>
      <c r="U18" s="123">
        <f t="shared" ref="U18:U81" si="5">IF(N18="", "", IF(S18=MAX(R18:S18),1,0))</f>
        <v>0</v>
      </c>
      <c r="V18" s="1"/>
      <c r="W18" s="127">
        <v>3000</v>
      </c>
      <c r="X18" s="125">
        <v>0.5</v>
      </c>
      <c r="Y18" s="125">
        <v>0.5</v>
      </c>
      <c r="Z18" s="9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</row>
    <row r="19" spans="2:341" x14ac:dyDescent="0.25">
      <c r="B19" s="2"/>
      <c r="C19" s="2"/>
      <c r="D19" s="3"/>
      <c r="E19" s="1"/>
      <c r="F19" s="1"/>
      <c r="G19" s="1"/>
      <c r="H19" s="1"/>
      <c r="I19" s="1"/>
      <c r="J19" s="1"/>
      <c r="K19" s="123" t="s">
        <v>128</v>
      </c>
      <c r="L19" s="123">
        <v>8381.8308411955877</v>
      </c>
      <c r="M19" s="123">
        <v>7.7964184243966406</v>
      </c>
      <c r="N19" s="123">
        <v>8844.8037793945987</v>
      </c>
      <c r="O19" s="123">
        <v>8.5428676883760364</v>
      </c>
      <c r="P19" s="123">
        <f t="shared" si="2"/>
        <v>-462.97293819901097</v>
      </c>
      <c r="Q19" s="123">
        <f t="shared" si="3"/>
        <v>-0.74644926397939582</v>
      </c>
      <c r="R19" s="123">
        <f t="shared" si="0"/>
        <v>147546.53764673721</v>
      </c>
      <c r="S19" s="123">
        <f t="shared" si="1"/>
        <v>162012.54998812612</v>
      </c>
      <c r="T19" s="123">
        <f t="shared" si="4"/>
        <v>0</v>
      </c>
      <c r="U19" s="123">
        <f t="shared" si="5"/>
        <v>1</v>
      </c>
      <c r="V19" s="1"/>
      <c r="W19" s="122">
        <v>4000</v>
      </c>
      <c r="X19" s="125">
        <v>0.5</v>
      </c>
      <c r="Y19" s="125">
        <v>0.5</v>
      </c>
      <c r="Z19" s="9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</row>
    <row r="20" spans="2:341" x14ac:dyDescent="0.25">
      <c r="B20" s="2"/>
      <c r="C20" s="2"/>
      <c r="D20" s="3"/>
      <c r="E20" s="1"/>
      <c r="F20" s="1"/>
      <c r="G20" s="1"/>
      <c r="H20" s="1"/>
      <c r="I20" s="1"/>
      <c r="J20" s="1"/>
      <c r="K20" s="123" t="s">
        <v>129</v>
      </c>
      <c r="L20" s="123">
        <v>8813.9852693803114</v>
      </c>
      <c r="M20" s="123">
        <v>7.7211378195392841</v>
      </c>
      <c r="N20" s="123">
        <v>7386.5612340746775</v>
      </c>
      <c r="O20" s="123">
        <v>6.8779722873170979</v>
      </c>
      <c r="P20" s="123">
        <f t="shared" si="2"/>
        <v>1427.4240353056339</v>
      </c>
      <c r="Q20" s="123">
        <f t="shared" si="3"/>
        <v>0.84316553222218626</v>
      </c>
      <c r="R20" s="123">
        <f t="shared" si="0"/>
        <v>145608.77112140536</v>
      </c>
      <c r="S20" s="123">
        <f t="shared" si="1"/>
        <v>130172.88451226728</v>
      </c>
      <c r="T20" s="123">
        <f t="shared" si="4"/>
        <v>1</v>
      </c>
      <c r="U20" s="123">
        <f t="shared" si="5"/>
        <v>0</v>
      </c>
      <c r="V20" s="1"/>
      <c r="W20" s="127">
        <v>5000</v>
      </c>
      <c r="X20" s="125">
        <v>0.5</v>
      </c>
      <c r="Y20" s="125">
        <v>0.5</v>
      </c>
      <c r="Z20" s="9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</row>
    <row r="21" spans="2:341" x14ac:dyDescent="0.25">
      <c r="B21" s="2"/>
      <c r="C21" s="2"/>
      <c r="D21" s="3"/>
      <c r="E21" s="1"/>
      <c r="F21" s="1"/>
      <c r="G21" s="1"/>
      <c r="H21" s="1"/>
      <c r="I21" s="1"/>
      <c r="J21" s="1"/>
      <c r="K21" s="123" t="s">
        <v>130</v>
      </c>
      <c r="L21" s="123">
        <v>5465.9243159469661</v>
      </c>
      <c r="M21" s="123">
        <v>4.9113888021160692</v>
      </c>
      <c r="N21" s="123">
        <v>7575.2951834618225</v>
      </c>
      <c r="O21" s="123">
        <v>7.6503892910486204</v>
      </c>
      <c r="P21" s="123">
        <f t="shared" si="2"/>
        <v>-2109.3708675148564</v>
      </c>
      <c r="Q21" s="123">
        <f t="shared" si="3"/>
        <v>-2.7390004889325512</v>
      </c>
      <c r="R21" s="123">
        <f t="shared" si="0"/>
        <v>92761.851726374429</v>
      </c>
      <c r="S21" s="123">
        <f t="shared" si="1"/>
        <v>145432.49063751058</v>
      </c>
      <c r="T21" s="123">
        <f t="shared" si="4"/>
        <v>0</v>
      </c>
      <c r="U21" s="123">
        <f t="shared" si="5"/>
        <v>1</v>
      </c>
      <c r="V21" s="1"/>
      <c r="W21" s="122">
        <v>6000</v>
      </c>
      <c r="X21" s="125">
        <v>0.5</v>
      </c>
      <c r="Y21" s="125">
        <v>0.5</v>
      </c>
      <c r="Z21" s="9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</row>
    <row r="22" spans="2:341" x14ac:dyDescent="0.25">
      <c r="B22" s="2"/>
      <c r="C22" s="2"/>
      <c r="D22" s="3"/>
      <c r="E22" s="1"/>
      <c r="F22" s="1"/>
      <c r="G22" s="1"/>
      <c r="H22" s="1"/>
      <c r="I22" s="1"/>
      <c r="J22" s="1"/>
      <c r="K22" s="123" t="s">
        <v>131</v>
      </c>
      <c r="L22" s="123">
        <v>7448.4339068546415</v>
      </c>
      <c r="M22" s="123">
        <v>6.5877092331547509</v>
      </c>
      <c r="N22" s="123">
        <v>8949.5184302313228</v>
      </c>
      <c r="O22" s="123">
        <v>8.8376982873066918</v>
      </c>
      <c r="P22" s="123">
        <f t="shared" si="2"/>
        <v>-1501.0845233766813</v>
      </c>
      <c r="Q22" s="123">
        <f t="shared" si="3"/>
        <v>-2.2499890541519409</v>
      </c>
      <c r="R22" s="123">
        <f t="shared" si="0"/>
        <v>124305.75075624038</v>
      </c>
      <c r="S22" s="123">
        <f t="shared" si="1"/>
        <v>167804.44731590254</v>
      </c>
      <c r="T22" s="123">
        <f t="shared" si="4"/>
        <v>0</v>
      </c>
      <c r="U22" s="123">
        <f t="shared" si="5"/>
        <v>1</v>
      </c>
      <c r="V22" s="1"/>
      <c r="W22" s="127">
        <v>7000</v>
      </c>
      <c r="X22" s="125">
        <v>0.5</v>
      </c>
      <c r="Y22" s="125">
        <v>0.5</v>
      </c>
      <c r="Z22" s="9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</row>
    <row r="23" spans="2:341" x14ac:dyDescent="0.25">
      <c r="B23" s="2"/>
      <c r="C23" s="2"/>
      <c r="D23" s="3"/>
      <c r="E23" s="1"/>
      <c r="F23" s="1"/>
      <c r="G23" s="1"/>
      <c r="H23" s="1"/>
      <c r="I23" s="1"/>
      <c r="J23" s="1"/>
      <c r="K23" s="123" t="s">
        <v>132</v>
      </c>
      <c r="L23" s="123">
        <v>6440.5979573717268</v>
      </c>
      <c r="M23" s="123">
        <v>6.0900460054827033</v>
      </c>
      <c r="N23" s="123">
        <v>7846.6242616739519</v>
      </c>
      <c r="O23" s="123">
        <v>7.8130940581850119</v>
      </c>
      <c r="P23" s="123">
        <f t="shared" si="2"/>
        <v>-1406.0263043022251</v>
      </c>
      <c r="Q23" s="123">
        <f t="shared" si="3"/>
        <v>-1.7230480527023087</v>
      </c>
      <c r="R23" s="123">
        <f t="shared" si="0"/>
        <v>115360.32215228234</v>
      </c>
      <c r="S23" s="123">
        <f t="shared" si="1"/>
        <v>148415.2569020263</v>
      </c>
      <c r="T23" s="123">
        <f t="shared" si="4"/>
        <v>0</v>
      </c>
      <c r="U23" s="123">
        <f t="shared" si="5"/>
        <v>1</v>
      </c>
      <c r="V23" s="1"/>
      <c r="W23" s="122">
        <v>8000</v>
      </c>
      <c r="X23" s="125">
        <v>0.5</v>
      </c>
      <c r="Y23" s="125">
        <v>0.5</v>
      </c>
      <c r="Z23" s="9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</row>
    <row r="24" spans="2:341" x14ac:dyDescent="0.25">
      <c r="B24" s="2"/>
      <c r="C24" s="2"/>
      <c r="D24" s="3"/>
      <c r="E24" s="1"/>
      <c r="F24" s="1"/>
      <c r="G24" s="1"/>
      <c r="H24" s="1"/>
      <c r="I24" s="1" t="s">
        <v>1126</v>
      </c>
      <c r="J24" s="1"/>
      <c r="K24" s="123" t="s">
        <v>133</v>
      </c>
      <c r="L24" s="123">
        <v>11775.328524136756</v>
      </c>
      <c r="M24" s="123">
        <v>9.8100467373155045</v>
      </c>
      <c r="N24" s="123">
        <v>7825.8505171859342</v>
      </c>
      <c r="O24" s="123">
        <v>7.6399993015819385</v>
      </c>
      <c r="P24" s="123">
        <f t="shared" si="2"/>
        <v>3949.4780069508215</v>
      </c>
      <c r="Q24" s="123">
        <f t="shared" si="3"/>
        <v>2.170047435733566</v>
      </c>
      <c r="R24" s="123">
        <f t="shared" si="0"/>
        <v>184425.60622217332</v>
      </c>
      <c r="S24" s="123">
        <f t="shared" si="1"/>
        <v>144974.13551445285</v>
      </c>
      <c r="T24" s="123">
        <f t="shared" si="4"/>
        <v>1</v>
      </c>
      <c r="U24" s="123">
        <f t="shared" si="5"/>
        <v>0</v>
      </c>
      <c r="V24" s="1"/>
      <c r="W24" s="127">
        <v>9000</v>
      </c>
      <c r="X24" s="125">
        <v>0.5</v>
      </c>
      <c r="Y24" s="125">
        <v>0.5</v>
      </c>
      <c r="Z24" s="9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</row>
    <row r="25" spans="2:341" x14ac:dyDescent="0.25">
      <c r="B25" s="2"/>
      <c r="C25" s="2"/>
      <c r="D25" s="3"/>
      <c r="E25" s="1"/>
      <c r="F25" s="1"/>
      <c r="G25" s="1"/>
      <c r="H25" s="1"/>
      <c r="I25" s="1"/>
      <c r="J25" s="1"/>
      <c r="K25" s="123" t="s">
        <v>134</v>
      </c>
      <c r="L25" s="123">
        <v>11005.473268945516</v>
      </c>
      <c r="M25" s="123">
        <v>10.191937712045874</v>
      </c>
      <c r="N25" s="123">
        <v>7511.4533122284483</v>
      </c>
      <c r="O25" s="123">
        <v>7.2469506998311966</v>
      </c>
      <c r="P25" s="123">
        <f t="shared" si="2"/>
        <v>3494.0199567170675</v>
      </c>
      <c r="Q25" s="123">
        <f t="shared" si="3"/>
        <v>2.9449870122146775</v>
      </c>
      <c r="R25" s="123">
        <f t="shared" si="0"/>
        <v>192833.28097197195</v>
      </c>
      <c r="S25" s="123">
        <f t="shared" si="1"/>
        <v>137427.56068439549</v>
      </c>
      <c r="T25" s="123">
        <f t="shared" si="4"/>
        <v>1</v>
      </c>
      <c r="U25" s="123">
        <f t="shared" si="5"/>
        <v>0</v>
      </c>
      <c r="V25" s="1"/>
      <c r="W25" s="122">
        <v>10000</v>
      </c>
      <c r="X25" s="125">
        <v>0.5</v>
      </c>
      <c r="Y25" s="125">
        <v>0.5</v>
      </c>
      <c r="Z25" s="9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</row>
    <row r="26" spans="2:341" x14ac:dyDescent="0.25">
      <c r="B26" s="2"/>
      <c r="C26" s="2"/>
      <c r="D26" s="3"/>
      <c r="E26" s="1"/>
      <c r="F26" s="1"/>
      <c r="G26" s="1"/>
      <c r="H26" s="1"/>
      <c r="I26" s="1"/>
      <c r="J26" s="1"/>
      <c r="K26" s="123" t="s">
        <v>135</v>
      </c>
      <c r="L26" s="123">
        <v>5474.0415641602385</v>
      </c>
      <c r="M26" s="123">
        <v>5.3249117202608769</v>
      </c>
      <c r="N26" s="123">
        <v>7065.7418628520591</v>
      </c>
      <c r="O26" s="123">
        <v>7.6534102428174222</v>
      </c>
      <c r="P26" s="123">
        <f t="shared" si="2"/>
        <v>-1591.7002986918205</v>
      </c>
      <c r="Q26" s="123">
        <f t="shared" si="3"/>
        <v>-2.3284985225565453</v>
      </c>
      <c r="R26" s="123">
        <f t="shared" si="0"/>
        <v>101024.19284105729</v>
      </c>
      <c r="S26" s="123">
        <f t="shared" si="1"/>
        <v>146002.46299349639</v>
      </c>
      <c r="T26" s="123">
        <f t="shared" si="4"/>
        <v>0</v>
      </c>
      <c r="U26" s="123">
        <f t="shared" si="5"/>
        <v>1</v>
      </c>
      <c r="V26" s="1"/>
      <c r="W26" s="127">
        <v>11000</v>
      </c>
      <c r="X26" s="125">
        <v>0.5</v>
      </c>
      <c r="Y26" s="125">
        <v>0.5</v>
      </c>
      <c r="Z26" s="9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/>
      <c r="JO26" s="2"/>
      <c r="JP26" s="2"/>
      <c r="JQ26" s="2"/>
      <c r="JR26" s="2"/>
      <c r="JS26" s="2"/>
      <c r="JT26" s="2"/>
      <c r="JU26" s="2"/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/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</row>
    <row r="27" spans="2:341" x14ac:dyDescent="0.25">
      <c r="B27" s="2"/>
      <c r="C27" s="2"/>
      <c r="D27" s="3"/>
      <c r="E27" s="1"/>
      <c r="F27" s="1"/>
      <c r="G27" s="1"/>
      <c r="H27" s="1"/>
      <c r="I27" s="1"/>
      <c r="J27" s="1"/>
      <c r="K27" s="123" t="s">
        <v>136</v>
      </c>
      <c r="L27" s="123">
        <v>9444.5498008299619</v>
      </c>
      <c r="M27" s="123">
        <v>8.4834951972836521</v>
      </c>
      <c r="N27" s="123">
        <v>6376.5747629344323</v>
      </c>
      <c r="O27" s="123">
        <v>6.0178222745309879</v>
      </c>
      <c r="P27" s="123">
        <f t="shared" si="2"/>
        <v>3067.9750378955296</v>
      </c>
      <c r="Q27" s="123">
        <f t="shared" si="3"/>
        <v>2.4656729227526641</v>
      </c>
      <c r="R27" s="123">
        <f t="shared" si="0"/>
        <v>160225.35414484309</v>
      </c>
      <c r="S27" s="123">
        <f t="shared" si="1"/>
        <v>113979.87072768534</v>
      </c>
      <c r="T27" s="123">
        <f t="shared" si="4"/>
        <v>1</v>
      </c>
      <c r="U27" s="123">
        <f t="shared" si="5"/>
        <v>0</v>
      </c>
      <c r="V27" s="1"/>
      <c r="W27" s="122">
        <v>12000</v>
      </c>
      <c r="X27" s="125">
        <v>0.5</v>
      </c>
      <c r="Y27" s="125">
        <v>0.5</v>
      </c>
      <c r="Z27" s="9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/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</row>
    <row r="28" spans="2:341" x14ac:dyDescent="0.25">
      <c r="B28" s="2"/>
      <c r="C28" s="2"/>
      <c r="D28" s="3"/>
      <c r="E28" s="1"/>
      <c r="F28" s="1"/>
      <c r="G28" s="1"/>
      <c r="H28" s="1"/>
      <c r="I28" s="1"/>
      <c r="J28" s="1"/>
      <c r="K28" s="123" t="s">
        <v>137</v>
      </c>
      <c r="L28" s="123">
        <v>11887.106511765011</v>
      </c>
      <c r="M28" s="123">
        <v>10.268295345672431</v>
      </c>
      <c r="N28" s="123">
        <v>5333.2745476126502</v>
      </c>
      <c r="O28" s="123">
        <v>4.7455171938219172</v>
      </c>
      <c r="P28" s="123">
        <f t="shared" si="2"/>
        <v>6553.8319641523603</v>
      </c>
      <c r="Q28" s="123">
        <f t="shared" si="3"/>
        <v>5.5227781518505141</v>
      </c>
      <c r="R28" s="123">
        <f t="shared" si="0"/>
        <v>193478.80040168361</v>
      </c>
      <c r="S28" s="123">
        <f t="shared" si="1"/>
        <v>89577.069328825703</v>
      </c>
      <c r="T28" s="123">
        <f t="shared" si="4"/>
        <v>1</v>
      </c>
      <c r="U28" s="123">
        <f t="shared" si="5"/>
        <v>0</v>
      </c>
      <c r="V28" s="1"/>
      <c r="W28" s="127">
        <v>13000</v>
      </c>
      <c r="X28" s="125">
        <v>0.5</v>
      </c>
      <c r="Y28" s="125">
        <v>0.5</v>
      </c>
      <c r="Z28" s="9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/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</row>
    <row r="29" spans="2:341" x14ac:dyDescent="0.25">
      <c r="B29" s="2"/>
      <c r="C29" s="2"/>
      <c r="D29" s="3"/>
      <c r="E29" s="1"/>
      <c r="F29" s="1"/>
      <c r="G29" s="1"/>
      <c r="H29" s="1"/>
      <c r="I29" s="1"/>
      <c r="J29" s="1"/>
      <c r="K29" s="123" t="s">
        <v>138</v>
      </c>
      <c r="L29" s="123">
        <v>9866.2527928479594</v>
      </c>
      <c r="M29" s="123">
        <v>4.9777289667130189</v>
      </c>
      <c r="N29" s="123">
        <v>8561.500640976923</v>
      </c>
      <c r="O29" s="123">
        <v>5.4198860567295206</v>
      </c>
      <c r="P29" s="123">
        <f t="shared" si="2"/>
        <v>1304.7521518710364</v>
      </c>
      <c r="Q29" s="123">
        <f t="shared" si="3"/>
        <v>-0.44215709001650172</v>
      </c>
      <c r="R29" s="123">
        <f t="shared" si="0"/>
        <v>89688.326541412418</v>
      </c>
      <c r="S29" s="123">
        <f t="shared" si="1"/>
        <v>99836.22049361348</v>
      </c>
      <c r="T29" s="123">
        <f t="shared" si="4"/>
        <v>0</v>
      </c>
      <c r="U29" s="123">
        <f t="shared" si="5"/>
        <v>1</v>
      </c>
      <c r="V29" s="1"/>
      <c r="W29" s="122">
        <v>14000</v>
      </c>
      <c r="X29" s="125">
        <v>0.5</v>
      </c>
      <c r="Y29" s="125">
        <v>0.5</v>
      </c>
      <c r="Z29" s="9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/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</row>
    <row r="30" spans="2:341" x14ac:dyDescent="0.25">
      <c r="B30" s="2"/>
      <c r="C30" s="2"/>
      <c r="D30" s="3"/>
      <c r="E30" s="1"/>
      <c r="F30" s="1"/>
      <c r="G30" s="1"/>
      <c r="H30" s="1"/>
      <c r="I30" s="1"/>
      <c r="J30" s="1"/>
      <c r="K30" s="123" t="s">
        <v>139</v>
      </c>
      <c r="L30" s="123">
        <v>7661.0262500336103</v>
      </c>
      <c r="M30" s="123">
        <v>6.9594481279613642</v>
      </c>
      <c r="N30" s="123">
        <v>5944.5589384941359</v>
      </c>
      <c r="O30" s="123">
        <v>5.6146302685815046</v>
      </c>
      <c r="P30" s="123">
        <f t="shared" si="2"/>
        <v>1716.4673115394744</v>
      </c>
      <c r="Q30" s="123">
        <f t="shared" si="3"/>
        <v>1.3448178593798596</v>
      </c>
      <c r="R30" s="123">
        <f t="shared" si="0"/>
        <v>131527.93630919367</v>
      </c>
      <c r="S30" s="123">
        <f t="shared" si="1"/>
        <v>106348.04643313595</v>
      </c>
      <c r="T30" s="123">
        <f t="shared" si="4"/>
        <v>1</v>
      </c>
      <c r="U30" s="123">
        <f t="shared" si="5"/>
        <v>0</v>
      </c>
      <c r="V30" s="1"/>
      <c r="W30" s="127">
        <v>15000</v>
      </c>
      <c r="X30" s="125">
        <v>0.5</v>
      </c>
      <c r="Y30" s="125">
        <v>0.5</v>
      </c>
      <c r="Z30" s="9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/>
      <c r="JO30" s="2"/>
      <c r="JP30" s="2"/>
      <c r="JQ30" s="2"/>
      <c r="JR30" s="2"/>
      <c r="JS30" s="2"/>
      <c r="JT30" s="2"/>
      <c r="JU30" s="2"/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/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</row>
    <row r="31" spans="2:341" x14ac:dyDescent="0.25">
      <c r="B31" s="2"/>
      <c r="C31" s="2"/>
      <c r="D31" s="3"/>
      <c r="E31" s="1"/>
      <c r="F31" s="1"/>
      <c r="G31" s="1"/>
      <c r="H31" s="1"/>
      <c r="I31" s="1"/>
      <c r="J31" s="1"/>
      <c r="K31" s="123" t="s">
        <v>140</v>
      </c>
      <c r="L31" s="123">
        <v>7660.4946526016665</v>
      </c>
      <c r="M31" s="123">
        <v>4.7262165376249161</v>
      </c>
      <c r="N31" s="123">
        <v>5089.8453464965623</v>
      </c>
      <c r="O31" s="123">
        <v>3.8222994981110321</v>
      </c>
      <c r="P31" s="123">
        <f t="shared" si="2"/>
        <v>2570.6493061051042</v>
      </c>
      <c r="Q31" s="123">
        <f t="shared" si="3"/>
        <v>0.90391703951388402</v>
      </c>
      <c r="R31" s="123">
        <f t="shared" si="0"/>
        <v>86863.836099896653</v>
      </c>
      <c r="S31" s="123">
        <f t="shared" si="1"/>
        <v>71356.144615724086</v>
      </c>
      <c r="T31" s="123">
        <f t="shared" si="4"/>
        <v>1</v>
      </c>
      <c r="U31" s="123">
        <f t="shared" si="5"/>
        <v>0</v>
      </c>
      <c r="V31" s="1"/>
      <c r="W31" s="122">
        <v>16000</v>
      </c>
      <c r="X31" s="125">
        <v>0.5</v>
      </c>
      <c r="Y31" s="125">
        <v>0.5</v>
      </c>
      <c r="Z31" s="9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/>
      <c r="JO31" s="2"/>
      <c r="JP31" s="2"/>
      <c r="JQ31" s="2"/>
      <c r="JR31" s="2"/>
      <c r="JS31" s="2"/>
      <c r="JT31" s="2"/>
      <c r="JU31" s="2"/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/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</row>
    <row r="32" spans="2:341" x14ac:dyDescent="0.25">
      <c r="B32" s="2"/>
      <c r="C32" s="2"/>
      <c r="D32" s="3"/>
      <c r="E32" s="1"/>
      <c r="F32" s="1"/>
      <c r="G32" s="1"/>
      <c r="H32" s="1"/>
      <c r="I32" s="1"/>
      <c r="J32" s="1"/>
      <c r="K32" s="123" t="s">
        <v>141</v>
      </c>
      <c r="L32" s="123">
        <v>7778.9200991348553</v>
      </c>
      <c r="M32" s="123">
        <v>6.664137474835278</v>
      </c>
      <c r="N32" s="123">
        <v>6498.066368343395</v>
      </c>
      <c r="O32" s="123">
        <v>5.9985867000944078</v>
      </c>
      <c r="P32" s="123">
        <f t="shared" si="2"/>
        <v>1280.8537307914603</v>
      </c>
      <c r="Q32" s="123">
        <f t="shared" si="3"/>
        <v>0.66555077474087021</v>
      </c>
      <c r="R32" s="123">
        <f t="shared" si="0"/>
        <v>125503.82939757072</v>
      </c>
      <c r="S32" s="123">
        <f t="shared" si="1"/>
        <v>113473.66763354476</v>
      </c>
      <c r="T32" s="123">
        <f t="shared" si="4"/>
        <v>1</v>
      </c>
      <c r="U32" s="123">
        <f t="shared" si="5"/>
        <v>0</v>
      </c>
      <c r="V32" s="1"/>
      <c r="W32" s="127">
        <v>17000</v>
      </c>
      <c r="X32" s="125">
        <v>0.5</v>
      </c>
      <c r="Y32" s="125">
        <v>0.5</v>
      </c>
      <c r="Z32" s="9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/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</row>
    <row r="33" spans="2:341" x14ac:dyDescent="0.25">
      <c r="B33" s="2"/>
      <c r="C33" s="2"/>
      <c r="D33" s="3"/>
      <c r="E33" s="1"/>
      <c r="F33" s="1"/>
      <c r="G33" s="1"/>
      <c r="H33" s="1"/>
      <c r="I33" s="1"/>
      <c r="J33" s="1"/>
      <c r="K33" s="123" t="s">
        <v>142</v>
      </c>
      <c r="L33" s="123">
        <v>9502.8236982980525</v>
      </c>
      <c r="M33" s="123">
        <v>8.9490244628475821</v>
      </c>
      <c r="N33" s="123">
        <v>5278.7122052437062</v>
      </c>
      <c r="O33" s="123">
        <v>5.4392444036044081</v>
      </c>
      <c r="P33" s="123">
        <f t="shared" si="2"/>
        <v>4224.1114930543463</v>
      </c>
      <c r="Q33" s="123">
        <f t="shared" si="3"/>
        <v>3.509780059243174</v>
      </c>
      <c r="R33" s="123">
        <f t="shared" si="0"/>
        <v>169477.66555865359</v>
      </c>
      <c r="S33" s="123">
        <f t="shared" si="1"/>
        <v>103506.17586684445</v>
      </c>
      <c r="T33" s="123">
        <f t="shared" si="4"/>
        <v>1</v>
      </c>
      <c r="U33" s="123">
        <f t="shared" si="5"/>
        <v>0</v>
      </c>
      <c r="V33" s="1"/>
      <c r="W33" s="122">
        <v>18000</v>
      </c>
      <c r="X33" s="125">
        <v>0.5</v>
      </c>
      <c r="Y33" s="125">
        <v>0.5</v>
      </c>
      <c r="Z33" s="9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</row>
    <row r="34" spans="2:341" x14ac:dyDescent="0.25">
      <c r="B34" s="2"/>
      <c r="C34" s="2"/>
      <c r="D34" s="3"/>
      <c r="E34" s="1"/>
      <c r="F34" s="1"/>
      <c r="G34" s="1"/>
      <c r="H34" s="1"/>
      <c r="I34" s="1"/>
      <c r="J34" s="1"/>
      <c r="K34" s="123" t="s">
        <v>143</v>
      </c>
      <c r="L34" s="123">
        <v>10579.679896670772</v>
      </c>
      <c r="M34" s="123">
        <v>9.1514054234110045</v>
      </c>
      <c r="N34" s="123">
        <v>6189.1590282894776</v>
      </c>
      <c r="O34" s="123">
        <v>5.3687837062038719</v>
      </c>
      <c r="P34" s="123">
        <f t="shared" si="2"/>
        <v>4390.5208683812943</v>
      </c>
      <c r="Q34" s="123">
        <f t="shared" si="3"/>
        <v>3.7826217172071326</v>
      </c>
      <c r="R34" s="123">
        <f t="shared" si="0"/>
        <v>172448.42857154933</v>
      </c>
      <c r="S34" s="123">
        <f t="shared" si="1"/>
        <v>101186.51509578797</v>
      </c>
      <c r="T34" s="123">
        <f t="shared" si="4"/>
        <v>1</v>
      </c>
      <c r="U34" s="123">
        <f t="shared" si="5"/>
        <v>0</v>
      </c>
      <c r="V34" s="1"/>
      <c r="W34" s="127">
        <v>19000</v>
      </c>
      <c r="X34" s="125">
        <v>0.5</v>
      </c>
      <c r="Y34" s="125">
        <v>0.5</v>
      </c>
      <c r="Z34" s="9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</row>
    <row r="35" spans="2:341" x14ac:dyDescent="0.25">
      <c r="B35" s="2"/>
      <c r="C35" s="2"/>
      <c r="D35" s="3"/>
      <c r="E35" s="1"/>
      <c r="F35" s="1"/>
      <c r="G35" s="1"/>
      <c r="H35" s="1"/>
      <c r="I35" s="1"/>
      <c r="J35" s="1"/>
      <c r="K35" s="123" t="s">
        <v>144</v>
      </c>
      <c r="L35" s="123">
        <v>7104.4487798451428</v>
      </c>
      <c r="M35" s="123">
        <v>7.694511641423615</v>
      </c>
      <c r="N35" s="123">
        <v>5636.3460888809886</v>
      </c>
      <c r="O35" s="123">
        <v>6.0640766674578437</v>
      </c>
      <c r="P35" s="123">
        <f t="shared" si="2"/>
        <v>1468.1026909641541</v>
      </c>
      <c r="Q35" s="123">
        <f t="shared" si="3"/>
        <v>1.6304349739657713</v>
      </c>
      <c r="R35" s="123">
        <f t="shared" si="0"/>
        <v>146785.78404862716</v>
      </c>
      <c r="S35" s="123">
        <f t="shared" si="1"/>
        <v>115645.18726027588</v>
      </c>
      <c r="T35" s="123">
        <f t="shared" si="4"/>
        <v>1</v>
      </c>
      <c r="U35" s="123">
        <f t="shared" si="5"/>
        <v>0</v>
      </c>
      <c r="V35" s="1"/>
      <c r="W35" s="122">
        <v>20000</v>
      </c>
      <c r="X35" s="125">
        <v>0.5</v>
      </c>
      <c r="Y35" s="125">
        <v>0.5</v>
      </c>
      <c r="Z35" s="9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</row>
    <row r="36" spans="2:341" x14ac:dyDescent="0.25">
      <c r="B36" s="2"/>
      <c r="C36" s="2"/>
      <c r="D36" s="3"/>
      <c r="E36" s="1"/>
      <c r="F36" s="1"/>
      <c r="G36" s="1"/>
      <c r="H36" s="1"/>
      <c r="I36" s="1"/>
      <c r="J36" s="1"/>
      <c r="K36" s="123" t="s">
        <v>145</v>
      </c>
      <c r="L36" s="123">
        <v>11042.30010662066</v>
      </c>
      <c r="M36" s="123">
        <v>10.876032077608315</v>
      </c>
      <c r="N36" s="123">
        <v>6476.8248910824232</v>
      </c>
      <c r="O36" s="123">
        <v>7.0655573118624062</v>
      </c>
      <c r="P36" s="123">
        <f t="shared" si="2"/>
        <v>4565.4752155382366</v>
      </c>
      <c r="Q36" s="123">
        <f t="shared" si="3"/>
        <v>3.8104747657459086</v>
      </c>
      <c r="R36" s="123">
        <f t="shared" si="0"/>
        <v>206478.34144554564</v>
      </c>
      <c r="S36" s="123">
        <f t="shared" si="1"/>
        <v>134834.3213461657</v>
      </c>
      <c r="T36" s="123">
        <f t="shared" si="4"/>
        <v>1</v>
      </c>
      <c r="U36" s="123">
        <f t="shared" si="5"/>
        <v>0</v>
      </c>
      <c r="V36" s="1"/>
      <c r="W36" s="127">
        <v>21000</v>
      </c>
      <c r="X36" s="125">
        <v>0.5</v>
      </c>
      <c r="Y36" s="125">
        <v>0.5</v>
      </c>
      <c r="Z36" s="9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</row>
    <row r="37" spans="2:341" x14ac:dyDescent="0.25">
      <c r="B37" s="2"/>
      <c r="C37" s="2"/>
      <c r="D37" s="3"/>
      <c r="E37" s="1"/>
      <c r="F37" s="1"/>
      <c r="G37" s="1"/>
      <c r="H37" s="1"/>
      <c r="I37" s="1"/>
      <c r="J37" s="1"/>
      <c r="K37" s="123" t="s">
        <v>146</v>
      </c>
      <c r="L37" s="123">
        <v>7831.2501964960993</v>
      </c>
      <c r="M37" s="123">
        <v>8.497305598991101</v>
      </c>
      <c r="N37" s="123">
        <v>9128.6433261634793</v>
      </c>
      <c r="O37" s="123">
        <v>11.054336904481241</v>
      </c>
      <c r="P37" s="123">
        <f t="shared" si="2"/>
        <v>-1297.39312966738</v>
      </c>
      <c r="Q37" s="123">
        <f t="shared" si="3"/>
        <v>-2.5570313054901401</v>
      </c>
      <c r="R37" s="123">
        <f t="shared" si="0"/>
        <v>162114.8617833259</v>
      </c>
      <c r="S37" s="123">
        <f t="shared" si="1"/>
        <v>211958.09476346135</v>
      </c>
      <c r="T37" s="123">
        <f t="shared" si="4"/>
        <v>0</v>
      </c>
      <c r="U37" s="123">
        <f t="shared" si="5"/>
        <v>1</v>
      </c>
      <c r="V37" s="1"/>
      <c r="W37" s="122">
        <v>22000</v>
      </c>
      <c r="X37" s="125">
        <v>0.5</v>
      </c>
      <c r="Y37" s="125">
        <v>0.5</v>
      </c>
      <c r="Z37" s="9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</row>
    <row r="38" spans="2:341" x14ac:dyDescent="0.25">
      <c r="B38" s="2"/>
      <c r="C38" s="2"/>
      <c r="D38" s="3"/>
      <c r="E38" s="1"/>
      <c r="F38" s="1"/>
      <c r="G38" s="1"/>
      <c r="H38" s="1"/>
      <c r="I38" s="1"/>
      <c r="J38" s="1"/>
      <c r="K38" s="123" t="s">
        <v>147</v>
      </c>
      <c r="L38" s="123">
        <v>9499.7599899449851</v>
      </c>
      <c r="M38" s="123">
        <v>9.6842093514785432</v>
      </c>
      <c r="N38" s="123">
        <v>5468.831899616127</v>
      </c>
      <c r="O38" s="123">
        <v>6.8849637024239092</v>
      </c>
      <c r="P38" s="123">
        <f t="shared" si="2"/>
        <v>4030.9280903288582</v>
      </c>
      <c r="Q38" s="123">
        <f t="shared" si="3"/>
        <v>2.799245649054634</v>
      </c>
      <c r="R38" s="123">
        <f t="shared" si="0"/>
        <v>184184.42703962588</v>
      </c>
      <c r="S38" s="123">
        <f t="shared" si="1"/>
        <v>132230.44214886206</v>
      </c>
      <c r="T38" s="123">
        <f t="shared" si="4"/>
        <v>1</v>
      </c>
      <c r="U38" s="123">
        <f t="shared" si="5"/>
        <v>0</v>
      </c>
      <c r="V38" s="1"/>
      <c r="W38" s="127">
        <v>23000</v>
      </c>
      <c r="X38" s="125">
        <v>0.5</v>
      </c>
      <c r="Y38" s="125">
        <v>0.5</v>
      </c>
      <c r="Z38" s="9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</row>
    <row r="39" spans="2:341" x14ac:dyDescent="0.25">
      <c r="B39" s="2"/>
      <c r="C39" s="2"/>
      <c r="D39" s="3"/>
      <c r="E39" s="1"/>
      <c r="F39" s="1"/>
      <c r="G39" s="1"/>
      <c r="H39" s="1"/>
      <c r="I39" s="1"/>
      <c r="J39" s="1"/>
      <c r="K39" s="123" t="s">
        <v>148</v>
      </c>
      <c r="L39" s="123">
        <v>9704.4360668383924</v>
      </c>
      <c r="M39" s="123">
        <v>8.4209645232583128</v>
      </c>
      <c r="N39" s="123">
        <v>7211.5775041411453</v>
      </c>
      <c r="O39" s="123">
        <v>6.3289443702956207</v>
      </c>
      <c r="P39" s="123">
        <f t="shared" si="2"/>
        <v>2492.8585626972472</v>
      </c>
      <c r="Q39" s="123">
        <f t="shared" si="3"/>
        <v>2.0920201529626921</v>
      </c>
      <c r="R39" s="123">
        <f t="shared" si="0"/>
        <v>158714.85439832788</v>
      </c>
      <c r="S39" s="123">
        <f t="shared" si="1"/>
        <v>119367.30990177128</v>
      </c>
      <c r="T39" s="123">
        <f t="shared" si="4"/>
        <v>1</v>
      </c>
      <c r="U39" s="123">
        <f t="shared" si="5"/>
        <v>0</v>
      </c>
      <c r="V39" s="1"/>
      <c r="W39" s="122">
        <v>24000</v>
      </c>
      <c r="X39" s="125">
        <v>0.5</v>
      </c>
      <c r="Y39" s="125">
        <v>0.5</v>
      </c>
      <c r="Z39" s="9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</row>
    <row r="40" spans="2:341" x14ac:dyDescent="0.25">
      <c r="B40" s="2"/>
      <c r="C40" s="2"/>
      <c r="D40" s="3"/>
      <c r="E40" s="1"/>
      <c r="F40" s="1"/>
      <c r="G40" s="1"/>
      <c r="H40" s="1"/>
      <c r="I40" s="1"/>
      <c r="J40" s="1"/>
      <c r="K40" s="123" t="s">
        <v>149</v>
      </c>
      <c r="L40" s="123">
        <v>10093.337297173943</v>
      </c>
      <c r="M40" s="123">
        <v>8.3540913076018235</v>
      </c>
      <c r="N40" s="123">
        <v>6609.6410274029649</v>
      </c>
      <c r="O40" s="123">
        <v>5.64332071206299</v>
      </c>
      <c r="P40" s="123">
        <f t="shared" si="2"/>
        <v>3483.6962697709778</v>
      </c>
      <c r="Q40" s="123">
        <f t="shared" si="3"/>
        <v>2.7107705955388335</v>
      </c>
      <c r="R40" s="123">
        <f t="shared" si="0"/>
        <v>156988.48885486252</v>
      </c>
      <c r="S40" s="123">
        <f t="shared" si="1"/>
        <v>106256.77321385684</v>
      </c>
      <c r="T40" s="123">
        <f t="shared" si="4"/>
        <v>1</v>
      </c>
      <c r="U40" s="123">
        <f t="shared" si="5"/>
        <v>0</v>
      </c>
      <c r="V40" s="1"/>
      <c r="W40" s="127">
        <v>25000</v>
      </c>
      <c r="X40" s="125">
        <v>0.5</v>
      </c>
      <c r="Y40" s="125">
        <v>0.5</v>
      </c>
      <c r="Z40" s="9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</row>
    <row r="41" spans="2:341" x14ac:dyDescent="0.25">
      <c r="B41" s="2"/>
      <c r="C41" s="2"/>
      <c r="D41" s="3"/>
      <c r="E41" s="1"/>
      <c r="F41" s="1"/>
      <c r="G41" s="1"/>
      <c r="H41" s="1"/>
      <c r="I41" s="1"/>
      <c r="J41" s="1"/>
      <c r="K41" s="123" t="s">
        <v>150</v>
      </c>
      <c r="L41" s="123">
        <v>9537.1731760828843</v>
      </c>
      <c r="M41" s="123">
        <v>8.7877253239807693</v>
      </c>
      <c r="N41" s="123">
        <v>7473.9705756720605</v>
      </c>
      <c r="O41" s="123">
        <v>7.158460249191311</v>
      </c>
      <c r="P41" s="123">
        <f t="shared" si="2"/>
        <v>2063.2026004108238</v>
      </c>
      <c r="Q41" s="123">
        <f t="shared" si="3"/>
        <v>1.6292650747894584</v>
      </c>
      <c r="R41" s="123">
        <f t="shared" si="0"/>
        <v>166217.3333035325</v>
      </c>
      <c r="S41" s="123">
        <f t="shared" si="1"/>
        <v>135695.23440815418</v>
      </c>
      <c r="T41" s="123">
        <f t="shared" si="4"/>
        <v>1</v>
      </c>
      <c r="U41" s="123">
        <f t="shared" si="5"/>
        <v>0</v>
      </c>
      <c r="V41" s="1"/>
      <c r="W41" s="122">
        <v>26000</v>
      </c>
      <c r="X41" s="125">
        <v>0.5</v>
      </c>
      <c r="Y41" s="125">
        <v>0.5</v>
      </c>
      <c r="Z41" s="9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</row>
    <row r="42" spans="2:341" x14ac:dyDescent="0.25">
      <c r="B42" s="2"/>
      <c r="C42" s="2"/>
      <c r="D42" s="3"/>
      <c r="E42" s="1"/>
      <c r="F42" s="1"/>
      <c r="G42" s="1"/>
      <c r="H42" s="1"/>
      <c r="I42" s="1"/>
      <c r="J42" s="1"/>
      <c r="K42" s="123" t="s">
        <v>151</v>
      </c>
      <c r="L42" s="123">
        <v>5045.3041106531718</v>
      </c>
      <c r="M42" s="123">
        <v>4.6983752178217246</v>
      </c>
      <c r="N42" s="123">
        <v>7625.6126045764231</v>
      </c>
      <c r="O42" s="123">
        <v>8.0475750361075029</v>
      </c>
      <c r="P42" s="123">
        <f t="shared" si="2"/>
        <v>-2580.3084939232513</v>
      </c>
      <c r="Q42" s="123">
        <f t="shared" si="3"/>
        <v>-3.3491998182857783</v>
      </c>
      <c r="R42" s="123">
        <f t="shared" si="0"/>
        <v>88922.200245781321</v>
      </c>
      <c r="S42" s="123">
        <f t="shared" si="1"/>
        <v>153325.88811757363</v>
      </c>
      <c r="T42" s="123">
        <f t="shared" si="4"/>
        <v>0</v>
      </c>
      <c r="U42" s="123">
        <f t="shared" si="5"/>
        <v>1</v>
      </c>
      <c r="V42" s="1"/>
      <c r="W42" s="127">
        <v>27000</v>
      </c>
      <c r="X42" s="125">
        <v>0.5</v>
      </c>
      <c r="Y42" s="125">
        <v>0.5</v>
      </c>
      <c r="Z42" s="9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</row>
    <row r="43" spans="2:341" x14ac:dyDescent="0.25">
      <c r="B43" s="2"/>
      <c r="C43" s="2"/>
      <c r="D43" s="3"/>
      <c r="E43" s="1"/>
      <c r="F43" s="1"/>
      <c r="G43" s="1"/>
      <c r="H43" s="1"/>
      <c r="I43" s="1"/>
      <c r="J43" s="1"/>
      <c r="K43" s="123" t="s">
        <v>152</v>
      </c>
      <c r="L43" s="123">
        <v>9575.9689133884058</v>
      </c>
      <c r="M43" s="123">
        <v>8.8223754094026692</v>
      </c>
      <c r="N43" s="123">
        <v>8980.8554179413022</v>
      </c>
      <c r="O43" s="123">
        <v>9.2514678452549965</v>
      </c>
      <c r="P43" s="123">
        <f t="shared" si="2"/>
        <v>595.11349544710356</v>
      </c>
      <c r="Q43" s="123">
        <f t="shared" si="3"/>
        <v>-0.42909243585232737</v>
      </c>
      <c r="R43" s="123">
        <f t="shared" si="0"/>
        <v>166871.53927466497</v>
      </c>
      <c r="S43" s="123">
        <f t="shared" si="1"/>
        <v>176048.50148715865</v>
      </c>
      <c r="T43" s="123">
        <f t="shared" si="4"/>
        <v>0</v>
      </c>
      <c r="U43" s="123">
        <f t="shared" si="5"/>
        <v>1</v>
      </c>
      <c r="V43" s="1"/>
      <c r="W43" s="122">
        <v>28000</v>
      </c>
      <c r="X43" s="125">
        <v>0.5</v>
      </c>
      <c r="Y43" s="125">
        <v>0.5</v>
      </c>
      <c r="Z43" s="9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</row>
    <row r="44" spans="2:341" x14ac:dyDescent="0.25">
      <c r="B44" s="2"/>
      <c r="C44" s="2"/>
      <c r="D44" s="3"/>
      <c r="E44" s="1"/>
      <c r="F44" s="1"/>
      <c r="G44" s="1"/>
      <c r="H44" s="1"/>
      <c r="I44" s="1"/>
      <c r="J44" s="1"/>
      <c r="K44" s="123" t="s">
        <v>153</v>
      </c>
      <c r="L44" s="123">
        <v>8411.4701939002298</v>
      </c>
      <c r="M44" s="123">
        <v>8.4479643463472414</v>
      </c>
      <c r="N44" s="123">
        <v>5617.2326273354274</v>
      </c>
      <c r="O44" s="123">
        <v>6.0259701157454995</v>
      </c>
      <c r="P44" s="123">
        <f t="shared" si="2"/>
        <v>2794.2375665648024</v>
      </c>
      <c r="Q44" s="123">
        <f t="shared" si="3"/>
        <v>2.4219942306017419</v>
      </c>
      <c r="R44" s="123">
        <f t="shared" si="0"/>
        <v>160547.8167330446</v>
      </c>
      <c r="S44" s="123">
        <f t="shared" si="1"/>
        <v>114902.16968757457</v>
      </c>
      <c r="T44" s="123">
        <f t="shared" si="4"/>
        <v>1</v>
      </c>
      <c r="U44" s="123">
        <f t="shared" si="5"/>
        <v>0</v>
      </c>
      <c r="V44" s="1"/>
      <c r="W44" s="127">
        <v>29000</v>
      </c>
      <c r="X44" s="125">
        <v>0.5</v>
      </c>
      <c r="Y44" s="125">
        <v>0.5</v>
      </c>
      <c r="Z44" s="9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/>
      <c r="JJ44" s="2"/>
      <c r="JK44" s="2"/>
      <c r="JL44" s="2"/>
      <c r="JM44" s="2"/>
      <c r="JN44" s="2"/>
      <c r="JO44" s="2"/>
      <c r="JP44" s="2"/>
      <c r="JQ44" s="2"/>
      <c r="JR44" s="2"/>
      <c r="JS44" s="2"/>
      <c r="JT44" s="2"/>
      <c r="JU44" s="2"/>
      <c r="JV44" s="2"/>
      <c r="JW44" s="2"/>
      <c r="JX44" s="2"/>
      <c r="JY44" s="2"/>
      <c r="JZ44" s="2"/>
      <c r="KA44" s="2"/>
      <c r="KB44" s="2"/>
      <c r="KC44" s="2"/>
      <c r="KD44" s="2"/>
      <c r="KE44" s="2"/>
      <c r="KF44" s="2"/>
      <c r="KG44" s="2"/>
      <c r="KH44" s="2"/>
      <c r="KI44" s="2"/>
      <c r="KJ44" s="2"/>
      <c r="KK44" s="2"/>
      <c r="KL44" s="2"/>
      <c r="KM44" s="2"/>
      <c r="KN44" s="2"/>
      <c r="KO44" s="2"/>
      <c r="KP44" s="2"/>
      <c r="KQ44" s="2"/>
      <c r="KR44" s="2"/>
      <c r="KS44" s="2"/>
      <c r="KT44" s="2"/>
      <c r="KU44" s="2"/>
      <c r="KV44" s="2"/>
      <c r="KW44" s="2"/>
      <c r="KX44" s="2"/>
      <c r="KY44" s="2"/>
      <c r="KZ44" s="2"/>
      <c r="LA44" s="2"/>
      <c r="LB44" s="2"/>
      <c r="LC44" s="2"/>
      <c r="LD44" s="2"/>
      <c r="LE44" s="2"/>
      <c r="LF44" s="2"/>
      <c r="LG44" s="2"/>
      <c r="LH44" s="2"/>
      <c r="LI44" s="2"/>
      <c r="LJ44" s="2"/>
      <c r="LK44" s="2"/>
      <c r="LL44" s="2"/>
      <c r="LM44" s="2"/>
      <c r="LN44" s="2"/>
      <c r="LO44" s="2"/>
      <c r="LP44" s="2"/>
      <c r="LQ44" s="2"/>
      <c r="LR44" s="2"/>
      <c r="LS44" s="2"/>
      <c r="LT44" s="2"/>
      <c r="LU44" s="2"/>
      <c r="LV44" s="2"/>
      <c r="LW44" s="2"/>
      <c r="LX44" s="2"/>
      <c r="LY44" s="2"/>
      <c r="LZ44" s="2"/>
      <c r="MA44" s="2"/>
      <c r="MB44" s="2"/>
      <c r="MC44" s="2"/>
    </row>
    <row r="45" spans="2:341" x14ac:dyDescent="0.25">
      <c r="B45" s="2"/>
      <c r="C45" s="2"/>
      <c r="D45" s="3"/>
      <c r="E45" s="1"/>
      <c r="F45" s="1"/>
      <c r="G45" s="1"/>
      <c r="H45" s="1"/>
      <c r="I45" s="1"/>
      <c r="J45" s="1"/>
      <c r="K45" s="123" t="s">
        <v>154</v>
      </c>
      <c r="L45" s="123">
        <v>4944.5500425544378</v>
      </c>
      <c r="M45" s="123">
        <v>4.706553843454965</v>
      </c>
      <c r="N45" s="123">
        <v>6395.7381868948733</v>
      </c>
      <c r="O45" s="123">
        <v>6.4429317992015536</v>
      </c>
      <c r="P45" s="123">
        <f t="shared" si="2"/>
        <v>-1451.1881443404354</v>
      </c>
      <c r="Q45" s="123">
        <f t="shared" si="3"/>
        <v>-1.7363779557465886</v>
      </c>
      <c r="R45" s="123">
        <f t="shared" si="0"/>
        <v>89186.526826544869</v>
      </c>
      <c r="S45" s="123">
        <f t="shared" si="1"/>
        <v>122462.8977971362</v>
      </c>
      <c r="T45" s="123">
        <f t="shared" si="4"/>
        <v>0</v>
      </c>
      <c r="U45" s="123">
        <f t="shared" si="5"/>
        <v>1</v>
      </c>
      <c r="V45" s="1"/>
      <c r="W45" s="122">
        <v>30000</v>
      </c>
      <c r="X45" s="125">
        <v>0.5</v>
      </c>
      <c r="Y45" s="125">
        <v>0.5</v>
      </c>
      <c r="Z45" s="9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2"/>
      <c r="JL45" s="2"/>
      <c r="JM45" s="2"/>
      <c r="JN45" s="2"/>
      <c r="JO45" s="2"/>
      <c r="JP45" s="2"/>
      <c r="JQ45" s="2"/>
      <c r="JR45" s="2"/>
      <c r="JS45" s="2"/>
      <c r="JT45" s="2"/>
      <c r="JU45" s="2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  <c r="KO45" s="2"/>
      <c r="KP45" s="2"/>
      <c r="KQ45" s="2"/>
      <c r="KR45" s="2"/>
      <c r="KS45" s="2"/>
      <c r="KT45" s="2"/>
      <c r="KU45" s="2"/>
      <c r="KV45" s="2"/>
      <c r="KW45" s="2"/>
      <c r="KX45" s="2"/>
      <c r="KY45" s="2"/>
      <c r="KZ45" s="2"/>
      <c r="LA45" s="2"/>
      <c r="LB45" s="2"/>
      <c r="LC45" s="2"/>
      <c r="LD45" s="2"/>
      <c r="LE45" s="2"/>
      <c r="LF45" s="2"/>
      <c r="LG45" s="2"/>
      <c r="LH45" s="2"/>
      <c r="LI45" s="2"/>
      <c r="LJ45" s="2"/>
      <c r="LK45" s="2"/>
      <c r="LL45" s="2"/>
      <c r="LM45" s="2"/>
      <c r="LN45" s="2"/>
      <c r="LO45" s="2"/>
      <c r="LP45" s="2"/>
      <c r="LQ45" s="2"/>
      <c r="LR45" s="2"/>
      <c r="LS45" s="2"/>
      <c r="LT45" s="2"/>
      <c r="LU45" s="2"/>
      <c r="LV45" s="2"/>
      <c r="LW45" s="2"/>
      <c r="LX45" s="2"/>
      <c r="LY45" s="2"/>
      <c r="LZ45" s="2"/>
      <c r="MA45" s="2"/>
      <c r="MB45" s="2"/>
      <c r="MC45" s="2"/>
    </row>
    <row r="46" spans="2:341" x14ac:dyDescent="0.25">
      <c r="B46" s="2"/>
      <c r="C46" s="2"/>
      <c r="D46" s="3"/>
      <c r="E46" s="1"/>
      <c r="F46" s="1"/>
      <c r="G46" s="1"/>
      <c r="H46" s="1"/>
      <c r="I46" s="1"/>
      <c r="J46" s="1"/>
      <c r="K46" s="123" t="s">
        <v>155</v>
      </c>
      <c r="L46" s="123">
        <v>6192.963710191877</v>
      </c>
      <c r="M46" s="123">
        <v>6.0267653770580347</v>
      </c>
      <c r="N46" s="123">
        <v>5532.9327479160247</v>
      </c>
      <c r="O46" s="123">
        <v>5.6622260933520172</v>
      </c>
      <c r="P46" s="123">
        <f t="shared" si="2"/>
        <v>660.03096227585229</v>
      </c>
      <c r="Q46" s="123">
        <f t="shared" si="3"/>
        <v>0.36453928370601751</v>
      </c>
      <c r="R46" s="123">
        <f t="shared" si="0"/>
        <v>114342.34383096882</v>
      </c>
      <c r="S46" s="123">
        <f t="shared" si="1"/>
        <v>107711.58911912431</v>
      </c>
      <c r="T46" s="123">
        <f t="shared" si="4"/>
        <v>1</v>
      </c>
      <c r="U46" s="123">
        <f t="shared" si="5"/>
        <v>0</v>
      </c>
      <c r="V46" s="1"/>
      <c r="W46" s="127">
        <v>31000</v>
      </c>
      <c r="X46" s="125">
        <v>0.5</v>
      </c>
      <c r="Y46" s="125">
        <v>0.5</v>
      </c>
      <c r="Z46" s="9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2"/>
      <c r="JL46" s="2"/>
      <c r="JM46" s="2"/>
      <c r="JN46" s="2"/>
      <c r="JO46" s="2"/>
      <c r="JP46" s="2"/>
      <c r="JQ46" s="2"/>
      <c r="JR46" s="2"/>
      <c r="JS46" s="2"/>
      <c r="JT46" s="2"/>
      <c r="JU46" s="2"/>
      <c r="JV46" s="2"/>
      <c r="JW46" s="2"/>
      <c r="JX46" s="2"/>
      <c r="JY46" s="2"/>
      <c r="JZ46" s="2"/>
      <c r="KA46" s="2"/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  <c r="KO46" s="2"/>
      <c r="KP46" s="2"/>
      <c r="KQ46" s="2"/>
      <c r="KR46" s="2"/>
      <c r="KS46" s="2"/>
      <c r="KT46" s="2"/>
      <c r="KU46" s="2"/>
      <c r="KV46" s="2"/>
      <c r="KW46" s="2"/>
      <c r="KX46" s="2"/>
      <c r="KY46" s="2"/>
      <c r="KZ46" s="2"/>
      <c r="LA46" s="2"/>
      <c r="LB46" s="2"/>
      <c r="LC46" s="2"/>
      <c r="LD46" s="2"/>
      <c r="LE46" s="2"/>
      <c r="LF46" s="2"/>
      <c r="LG46" s="2"/>
      <c r="LH46" s="2"/>
      <c r="LI46" s="2"/>
      <c r="LJ46" s="2"/>
      <c r="LK46" s="2"/>
      <c r="LL46" s="2"/>
      <c r="LM46" s="2"/>
      <c r="LN46" s="2"/>
      <c r="LO46" s="2"/>
      <c r="LP46" s="2"/>
      <c r="LQ46" s="2"/>
      <c r="LR46" s="2"/>
      <c r="LS46" s="2"/>
      <c r="LT46" s="2"/>
      <c r="LU46" s="2"/>
      <c r="LV46" s="2"/>
      <c r="LW46" s="2"/>
      <c r="LX46" s="2"/>
      <c r="LY46" s="2"/>
      <c r="LZ46" s="2"/>
      <c r="MA46" s="2"/>
      <c r="MB46" s="2"/>
      <c r="MC46" s="2"/>
    </row>
    <row r="47" spans="2:341" x14ac:dyDescent="0.25">
      <c r="B47" s="2"/>
      <c r="C47" s="2"/>
      <c r="D47" s="3"/>
      <c r="E47" s="1"/>
      <c r="F47" s="1"/>
      <c r="G47" s="1"/>
      <c r="H47" s="1"/>
      <c r="I47" s="1"/>
      <c r="J47" s="1"/>
      <c r="K47" s="123" t="s">
        <v>156</v>
      </c>
      <c r="L47" s="123">
        <v>6761.2322060356655</v>
      </c>
      <c r="M47" s="123">
        <v>6.5330967653058041</v>
      </c>
      <c r="N47" s="123">
        <v>8048.0120191002188</v>
      </c>
      <c r="O47" s="123">
        <v>8.5663439076075747</v>
      </c>
      <c r="P47" s="123">
        <f t="shared" si="2"/>
        <v>-1286.7798130645533</v>
      </c>
      <c r="Q47" s="123">
        <f t="shared" si="3"/>
        <v>-2.0332471423017706</v>
      </c>
      <c r="R47" s="123">
        <f t="shared" si="0"/>
        <v>123900.70310008041</v>
      </c>
      <c r="S47" s="123">
        <f t="shared" si="1"/>
        <v>163278.86613305128</v>
      </c>
      <c r="T47" s="123">
        <f t="shared" si="4"/>
        <v>0</v>
      </c>
      <c r="U47" s="123">
        <f t="shared" si="5"/>
        <v>1</v>
      </c>
      <c r="V47" s="1"/>
      <c r="W47" s="122">
        <v>32000</v>
      </c>
      <c r="X47" s="125">
        <v>0.5</v>
      </c>
      <c r="Y47" s="125">
        <v>0.5</v>
      </c>
      <c r="Z47" s="9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/>
      <c r="JO47" s="2"/>
      <c r="JP47" s="2"/>
      <c r="JQ47" s="2"/>
      <c r="JR47" s="2"/>
      <c r="JS47" s="2"/>
      <c r="JT47" s="2"/>
      <c r="JU47" s="2"/>
      <c r="JV47" s="2"/>
      <c r="JW47" s="2"/>
      <c r="JX47" s="2"/>
      <c r="JY47" s="2"/>
      <c r="JZ47" s="2"/>
      <c r="KA47" s="2"/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</row>
    <row r="48" spans="2:341" x14ac:dyDescent="0.25">
      <c r="B48" s="2"/>
      <c r="C48" s="2"/>
      <c r="D48" s="3"/>
      <c r="E48" s="1"/>
      <c r="F48" s="1"/>
      <c r="G48" s="1"/>
      <c r="H48" s="1"/>
      <c r="I48" s="1"/>
      <c r="J48" s="1"/>
      <c r="K48" s="123" t="s">
        <v>157</v>
      </c>
      <c r="L48" s="123">
        <v>8074.9164348213653</v>
      </c>
      <c r="M48" s="123">
        <v>6.7857315902398003</v>
      </c>
      <c r="N48" s="123">
        <v>6991.1406153832513</v>
      </c>
      <c r="O48" s="123">
        <v>5.9683231438653017</v>
      </c>
      <c r="P48" s="123">
        <f t="shared" si="2"/>
        <v>1083.775819438114</v>
      </c>
      <c r="Q48" s="123">
        <f t="shared" si="3"/>
        <v>0.81740844637449861</v>
      </c>
      <c r="R48" s="123">
        <f t="shared" si="0"/>
        <v>127639.71536997463</v>
      </c>
      <c r="S48" s="123">
        <f t="shared" si="1"/>
        <v>112375.32226192279</v>
      </c>
      <c r="T48" s="123">
        <f t="shared" si="4"/>
        <v>1</v>
      </c>
      <c r="U48" s="123">
        <f t="shared" si="5"/>
        <v>0</v>
      </c>
      <c r="V48" s="1"/>
      <c r="W48" s="127">
        <v>33000</v>
      </c>
      <c r="X48" s="125">
        <v>0.5</v>
      </c>
      <c r="Y48" s="125">
        <v>0.5</v>
      </c>
      <c r="Z48" s="9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/>
      <c r="JO48" s="2"/>
      <c r="JP48" s="2"/>
      <c r="JQ48" s="2"/>
      <c r="JR48" s="2"/>
      <c r="JS48" s="2"/>
      <c r="JT48" s="2"/>
      <c r="JU48" s="2"/>
      <c r="JV48" s="2"/>
      <c r="JW48" s="2"/>
      <c r="JX48" s="2"/>
      <c r="JY48" s="2"/>
      <c r="JZ48" s="2"/>
      <c r="KA48" s="2"/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</row>
    <row r="49" spans="2:341" x14ac:dyDescent="0.25">
      <c r="B49" s="2"/>
      <c r="C49" s="2"/>
      <c r="D49" s="3"/>
      <c r="E49" s="1"/>
      <c r="F49" s="1"/>
      <c r="G49" s="1"/>
      <c r="H49" s="1"/>
      <c r="I49" s="1"/>
      <c r="J49" s="1"/>
      <c r="K49" s="123" t="s">
        <v>158</v>
      </c>
      <c r="L49" s="123">
        <v>7771.8404177782122</v>
      </c>
      <c r="M49" s="123">
        <v>3.4222892501046176</v>
      </c>
      <c r="N49" s="123">
        <v>5351.7178340511209</v>
      </c>
      <c r="O49" s="123">
        <v>3.1698793216118335</v>
      </c>
      <c r="P49" s="123">
        <f t="shared" si="2"/>
        <v>2420.1225837270913</v>
      </c>
      <c r="Q49" s="123">
        <f t="shared" si="3"/>
        <v>0.2524099284927841</v>
      </c>
      <c r="R49" s="123">
        <f t="shared" si="0"/>
        <v>60673.944584314137</v>
      </c>
      <c r="S49" s="123">
        <f t="shared" si="1"/>
        <v>58045.868598185545</v>
      </c>
      <c r="T49" s="123">
        <f t="shared" si="4"/>
        <v>1</v>
      </c>
      <c r="U49" s="123">
        <f t="shared" si="5"/>
        <v>0</v>
      </c>
      <c r="V49" s="1"/>
      <c r="W49" s="122">
        <v>34000</v>
      </c>
      <c r="X49" s="125">
        <v>0.5</v>
      </c>
      <c r="Y49" s="125">
        <v>0.5</v>
      </c>
      <c r="Z49" s="9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/>
      <c r="JO49" s="2"/>
      <c r="JP49" s="2"/>
      <c r="JQ49" s="2"/>
      <c r="JR49" s="2"/>
      <c r="JS49" s="2"/>
      <c r="JT49" s="2"/>
      <c r="JU49" s="2"/>
      <c r="JV49" s="2"/>
      <c r="JW49" s="2"/>
      <c r="JX49" s="2"/>
      <c r="JY49" s="2"/>
      <c r="JZ49" s="2"/>
      <c r="KA49" s="2"/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</row>
    <row r="50" spans="2:341" x14ac:dyDescent="0.25">
      <c r="B50" s="2"/>
      <c r="C50" s="2"/>
      <c r="D50" s="3"/>
      <c r="E50" s="1"/>
      <c r="F50" s="1"/>
      <c r="G50" s="1"/>
      <c r="H50" s="1"/>
      <c r="I50" s="1"/>
      <c r="J50" s="1"/>
      <c r="K50" s="123" t="s">
        <v>159</v>
      </c>
      <c r="L50" s="123">
        <v>8623.3777049042037</v>
      </c>
      <c r="M50" s="123">
        <v>7.1654504855400569</v>
      </c>
      <c r="N50" s="123">
        <v>8318.7291286447089</v>
      </c>
      <c r="O50" s="123">
        <v>7.5023432614676606</v>
      </c>
      <c r="P50" s="123">
        <f t="shared" si="2"/>
        <v>304.6485762594948</v>
      </c>
      <c r="Q50" s="123">
        <f t="shared" si="3"/>
        <v>-0.33689277592760369</v>
      </c>
      <c r="R50" s="123">
        <f t="shared" si="0"/>
        <v>134685.63200589691</v>
      </c>
      <c r="S50" s="123">
        <f t="shared" si="1"/>
        <v>141728.13610070851</v>
      </c>
      <c r="T50" s="123">
        <f t="shared" si="4"/>
        <v>0</v>
      </c>
      <c r="U50" s="123">
        <f t="shared" si="5"/>
        <v>1</v>
      </c>
      <c r="V50" s="1"/>
      <c r="W50" s="127">
        <v>35000</v>
      </c>
      <c r="X50" s="125">
        <v>0.5</v>
      </c>
      <c r="Y50" s="125">
        <v>0.5</v>
      </c>
      <c r="Z50" s="9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/>
      <c r="JO50" s="2"/>
      <c r="JP50" s="2"/>
      <c r="JQ50" s="2"/>
      <c r="JR50" s="2"/>
      <c r="JS50" s="2"/>
      <c r="JT50" s="2"/>
      <c r="JU50" s="2"/>
      <c r="JV50" s="2"/>
      <c r="JW50" s="2"/>
      <c r="JX50" s="2"/>
      <c r="JY50" s="2"/>
      <c r="JZ50" s="2"/>
      <c r="KA50" s="2"/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</row>
    <row r="51" spans="2:341" x14ac:dyDescent="0.25">
      <c r="B51" s="2"/>
      <c r="C51" s="2"/>
      <c r="D51" s="3"/>
      <c r="E51" s="1"/>
      <c r="F51" s="1"/>
      <c r="G51" s="1"/>
      <c r="H51" s="1"/>
      <c r="I51" s="1"/>
      <c r="J51" s="1"/>
      <c r="K51" s="123" t="s">
        <v>160</v>
      </c>
      <c r="L51" s="123">
        <v>6898.0578356022615</v>
      </c>
      <c r="M51" s="123">
        <v>6.121677368964006</v>
      </c>
      <c r="N51" s="123">
        <v>8181.4636006984001</v>
      </c>
      <c r="O51" s="123">
        <v>8.0633526163621401</v>
      </c>
      <c r="P51" s="123">
        <f t="shared" si="2"/>
        <v>-1283.4057650961386</v>
      </c>
      <c r="Q51" s="123">
        <f t="shared" si="3"/>
        <v>-1.941675247398134</v>
      </c>
      <c r="R51" s="123">
        <f t="shared" si="0"/>
        <v>115535.48954367786</v>
      </c>
      <c r="S51" s="123">
        <f t="shared" si="1"/>
        <v>153085.5887265444</v>
      </c>
      <c r="T51" s="123">
        <f t="shared" si="4"/>
        <v>0</v>
      </c>
      <c r="U51" s="123">
        <f t="shared" si="5"/>
        <v>1</v>
      </c>
      <c r="V51" s="1"/>
      <c r="W51" s="122">
        <v>36000</v>
      </c>
      <c r="X51" s="125">
        <v>0.5</v>
      </c>
      <c r="Y51" s="125">
        <v>0.5</v>
      </c>
      <c r="Z51" s="9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/>
      <c r="JO51" s="2"/>
      <c r="JP51" s="2"/>
      <c r="JQ51" s="2"/>
      <c r="JR51" s="2"/>
      <c r="JS51" s="2"/>
      <c r="JT51" s="2"/>
      <c r="JU51" s="2"/>
      <c r="JV51" s="2"/>
      <c r="JW51" s="2"/>
      <c r="JX51" s="2"/>
      <c r="JY51" s="2"/>
      <c r="JZ51" s="2"/>
      <c r="KA51" s="2"/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</row>
    <row r="52" spans="2:341" x14ac:dyDescent="0.25">
      <c r="B52" s="2"/>
      <c r="C52" s="2"/>
      <c r="D52" s="3"/>
      <c r="E52" s="1"/>
      <c r="F52" s="1"/>
      <c r="G52" s="1"/>
      <c r="H52" s="1"/>
      <c r="I52" s="1"/>
      <c r="J52" s="1"/>
      <c r="K52" s="123" t="s">
        <v>161</v>
      </c>
      <c r="L52" s="123">
        <v>7690.5884282407278</v>
      </c>
      <c r="M52" s="123">
        <v>7.9192628163310141</v>
      </c>
      <c r="N52" s="123">
        <v>7421.0410339911277</v>
      </c>
      <c r="O52" s="123">
        <v>9.1130756383754612</v>
      </c>
      <c r="P52" s="123">
        <f t="shared" si="2"/>
        <v>269.54739424960007</v>
      </c>
      <c r="Q52" s="123">
        <f t="shared" si="3"/>
        <v>-1.1938128220444471</v>
      </c>
      <c r="R52" s="123">
        <f t="shared" si="0"/>
        <v>150694.66789837956</v>
      </c>
      <c r="S52" s="123">
        <f t="shared" si="1"/>
        <v>174840.47173351812</v>
      </c>
      <c r="T52" s="123">
        <f t="shared" si="4"/>
        <v>0</v>
      </c>
      <c r="U52" s="123">
        <f t="shared" si="5"/>
        <v>1</v>
      </c>
      <c r="V52" s="1"/>
      <c r="W52" s="127">
        <v>37000</v>
      </c>
      <c r="X52" s="125">
        <v>0.5</v>
      </c>
      <c r="Y52" s="125">
        <v>0.5</v>
      </c>
      <c r="Z52" s="9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2"/>
      <c r="JL52" s="2"/>
      <c r="JM52" s="2"/>
      <c r="JN52" s="2"/>
      <c r="JO52" s="2"/>
      <c r="JP52" s="2"/>
      <c r="JQ52" s="2"/>
      <c r="JR52" s="2"/>
      <c r="JS52" s="2"/>
      <c r="JT52" s="2"/>
      <c r="JU52" s="2"/>
      <c r="JV52" s="2"/>
      <c r="JW52" s="2"/>
      <c r="JX52" s="2"/>
      <c r="JY52" s="2"/>
      <c r="JZ52" s="2"/>
      <c r="KA52" s="2"/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  <c r="KO52" s="2"/>
      <c r="KP52" s="2"/>
      <c r="KQ52" s="2"/>
      <c r="KR52" s="2"/>
      <c r="KS52" s="2"/>
      <c r="KT52" s="2"/>
      <c r="KU52" s="2"/>
      <c r="KV52" s="2"/>
      <c r="KW52" s="2"/>
      <c r="KX52" s="2"/>
      <c r="KY52" s="2"/>
      <c r="KZ52" s="2"/>
      <c r="LA52" s="2"/>
      <c r="LB52" s="2"/>
      <c r="LC52" s="2"/>
      <c r="LD52" s="2"/>
      <c r="LE52" s="2"/>
      <c r="LF52" s="2"/>
      <c r="LG52" s="2"/>
      <c r="LH52" s="2"/>
      <c r="LI52" s="2"/>
      <c r="LJ52" s="2"/>
      <c r="LK52" s="2"/>
      <c r="LL52" s="2"/>
      <c r="LM52" s="2"/>
      <c r="LN52" s="2"/>
      <c r="LO52" s="2"/>
      <c r="LP52" s="2"/>
      <c r="LQ52" s="2"/>
      <c r="LR52" s="2"/>
      <c r="LS52" s="2"/>
      <c r="LT52" s="2"/>
      <c r="LU52" s="2"/>
      <c r="LV52" s="2"/>
      <c r="LW52" s="2"/>
      <c r="LX52" s="2"/>
      <c r="LY52" s="2"/>
      <c r="LZ52" s="2"/>
      <c r="MA52" s="2"/>
      <c r="MB52" s="2"/>
      <c r="MC52" s="2"/>
    </row>
    <row r="53" spans="2:341" x14ac:dyDescent="0.25">
      <c r="B53" s="2"/>
      <c r="C53" s="2"/>
      <c r="D53" s="3"/>
      <c r="E53" s="1"/>
      <c r="F53" s="1"/>
      <c r="G53" s="1"/>
      <c r="H53" s="1"/>
      <c r="I53" s="1"/>
      <c r="J53" s="1"/>
      <c r="K53" s="123" t="s">
        <v>162</v>
      </c>
      <c r="L53" s="123">
        <v>8039.6069508576929</v>
      </c>
      <c r="M53" s="123">
        <v>7.8196173711705601</v>
      </c>
      <c r="N53" s="123">
        <v>7463.5587252008936</v>
      </c>
      <c r="O53" s="123">
        <v>8.6206515708499083</v>
      </c>
      <c r="P53" s="123">
        <f t="shared" si="2"/>
        <v>576.04822565679933</v>
      </c>
      <c r="Q53" s="123">
        <f t="shared" si="3"/>
        <v>-0.80103419967934819</v>
      </c>
      <c r="R53" s="123">
        <f t="shared" si="0"/>
        <v>148352.7404725535</v>
      </c>
      <c r="S53" s="123">
        <f t="shared" si="1"/>
        <v>164949.47269179727</v>
      </c>
      <c r="T53" s="123">
        <f t="shared" si="4"/>
        <v>0</v>
      </c>
      <c r="U53" s="123">
        <f t="shared" si="5"/>
        <v>1</v>
      </c>
      <c r="V53" s="1"/>
      <c r="W53" s="122">
        <v>38000</v>
      </c>
      <c r="X53" s="125">
        <v>0.5</v>
      </c>
      <c r="Y53" s="125">
        <v>0.5</v>
      </c>
      <c r="Z53" s="9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  <c r="JJ53" s="2"/>
      <c r="JK53" s="2"/>
      <c r="JL53" s="2"/>
      <c r="JM53" s="2"/>
      <c r="JN53" s="2"/>
      <c r="JO53" s="2"/>
      <c r="JP53" s="2"/>
      <c r="JQ53" s="2"/>
      <c r="JR53" s="2"/>
      <c r="JS53" s="2"/>
      <c r="JT53" s="2"/>
      <c r="JU53" s="2"/>
      <c r="JV53" s="2"/>
      <c r="JW53" s="2"/>
      <c r="JX53" s="2"/>
      <c r="JY53" s="2"/>
      <c r="JZ53" s="2"/>
      <c r="KA53" s="2"/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/>
      <c r="KW53" s="2"/>
      <c r="KX53" s="2"/>
      <c r="KY53" s="2"/>
      <c r="KZ53" s="2"/>
      <c r="LA53" s="2"/>
      <c r="LB53" s="2"/>
      <c r="LC53" s="2"/>
      <c r="LD53" s="2"/>
      <c r="LE53" s="2"/>
      <c r="LF53" s="2"/>
      <c r="LG53" s="2"/>
      <c r="LH53" s="2"/>
      <c r="LI53" s="2"/>
      <c r="LJ53" s="2"/>
      <c r="LK53" s="2"/>
      <c r="LL53" s="2"/>
      <c r="LM53" s="2"/>
      <c r="LN53" s="2"/>
      <c r="LO53" s="2"/>
      <c r="LP53" s="2"/>
      <c r="LQ53" s="2"/>
      <c r="LR53" s="2"/>
      <c r="LS53" s="2"/>
      <c r="LT53" s="2"/>
      <c r="LU53" s="2"/>
      <c r="LV53" s="2"/>
      <c r="LW53" s="2"/>
      <c r="LX53" s="2"/>
      <c r="LY53" s="2"/>
      <c r="LZ53" s="2"/>
      <c r="MA53" s="2"/>
      <c r="MB53" s="2"/>
      <c r="MC53" s="2"/>
    </row>
    <row r="54" spans="2:341" x14ac:dyDescent="0.25">
      <c r="B54" s="2"/>
      <c r="C54" s="2"/>
      <c r="D54" s="3"/>
      <c r="E54" s="1"/>
      <c r="F54" s="1"/>
      <c r="G54" s="1"/>
      <c r="H54" s="1"/>
      <c r="I54" s="1"/>
      <c r="J54" s="1"/>
      <c r="K54" s="123" t="s">
        <v>163</v>
      </c>
      <c r="L54" s="123">
        <v>6160.8241622760142</v>
      </c>
      <c r="M54" s="123">
        <v>6.3985634697396918</v>
      </c>
      <c r="N54" s="123">
        <v>7017.7532954908584</v>
      </c>
      <c r="O54" s="123">
        <v>8.6031804743024214</v>
      </c>
      <c r="P54" s="123">
        <f t="shared" si="2"/>
        <v>-856.92913321484411</v>
      </c>
      <c r="Q54" s="123">
        <f t="shared" si="3"/>
        <v>-2.2046170045627296</v>
      </c>
      <c r="R54" s="123">
        <f t="shared" si="0"/>
        <v>121810.44523251783</v>
      </c>
      <c r="S54" s="123">
        <f t="shared" si="1"/>
        <v>165045.85619055756</v>
      </c>
      <c r="T54" s="123">
        <f t="shared" si="4"/>
        <v>0</v>
      </c>
      <c r="U54" s="123">
        <f t="shared" si="5"/>
        <v>1</v>
      </c>
      <c r="V54" s="1"/>
      <c r="W54" s="127">
        <v>39000</v>
      </c>
      <c r="X54" s="125">
        <v>0.5</v>
      </c>
      <c r="Y54" s="125">
        <v>0.5</v>
      </c>
      <c r="Z54" s="9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  <c r="JJ54" s="2"/>
      <c r="JK54" s="2"/>
      <c r="JL54" s="2"/>
      <c r="JM54" s="2"/>
      <c r="JN54" s="2"/>
      <c r="JO54" s="2"/>
      <c r="JP54" s="2"/>
      <c r="JQ54" s="2"/>
      <c r="JR54" s="2"/>
      <c r="JS54" s="2"/>
      <c r="JT54" s="2"/>
      <c r="JU54" s="2"/>
      <c r="JV54" s="2"/>
      <c r="JW54" s="2"/>
      <c r="JX54" s="2"/>
      <c r="JY54" s="2"/>
      <c r="JZ54" s="2"/>
      <c r="KA54" s="2"/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  <c r="KO54" s="2"/>
      <c r="KP54" s="2"/>
      <c r="KQ54" s="2"/>
      <c r="KR54" s="2"/>
      <c r="KS54" s="2"/>
      <c r="KT54" s="2"/>
      <c r="KU54" s="2"/>
      <c r="KV54" s="2"/>
      <c r="KW54" s="2"/>
      <c r="KX54" s="2"/>
      <c r="KY54" s="2"/>
      <c r="KZ54" s="2"/>
      <c r="LA54" s="2"/>
      <c r="LB54" s="2"/>
      <c r="LC54" s="2"/>
      <c r="LD54" s="2"/>
      <c r="LE54" s="2"/>
      <c r="LF54" s="2"/>
      <c r="LG54" s="2"/>
      <c r="LH54" s="2"/>
      <c r="LI54" s="2"/>
      <c r="LJ54" s="2"/>
      <c r="LK54" s="2"/>
      <c r="LL54" s="2"/>
      <c r="LM54" s="2"/>
      <c r="LN54" s="2"/>
      <c r="LO54" s="2"/>
      <c r="LP54" s="2"/>
      <c r="LQ54" s="2"/>
      <c r="LR54" s="2"/>
      <c r="LS54" s="2"/>
      <c r="LT54" s="2"/>
      <c r="LU54" s="2"/>
      <c r="LV54" s="2"/>
      <c r="LW54" s="2"/>
      <c r="LX54" s="2"/>
      <c r="LY54" s="2"/>
      <c r="LZ54" s="2"/>
      <c r="MA54" s="2"/>
      <c r="MB54" s="2"/>
      <c r="MC54" s="2"/>
    </row>
    <row r="55" spans="2:341" x14ac:dyDescent="0.25">
      <c r="B55" s="2"/>
      <c r="C55" s="2"/>
      <c r="D55" s="3"/>
      <c r="E55" s="1"/>
      <c r="F55" s="1"/>
      <c r="G55" s="1"/>
      <c r="H55" s="1"/>
      <c r="I55" s="1"/>
      <c r="J55" s="1"/>
      <c r="K55" s="123" t="s">
        <v>164</v>
      </c>
      <c r="L55" s="123">
        <v>7535.4185314877213</v>
      </c>
      <c r="M55" s="123">
        <v>6.9543127105310605</v>
      </c>
      <c r="N55" s="123">
        <v>7040.905125657423</v>
      </c>
      <c r="O55" s="123">
        <v>6.6766429393184863</v>
      </c>
      <c r="P55" s="123">
        <f t="shared" si="2"/>
        <v>494.51340583029832</v>
      </c>
      <c r="Q55" s="123">
        <f t="shared" si="3"/>
        <v>0.27766977121257419</v>
      </c>
      <c r="R55" s="123">
        <f t="shared" si="0"/>
        <v>131550.83567913348</v>
      </c>
      <c r="S55" s="123">
        <f t="shared" si="1"/>
        <v>126491.95366071232</v>
      </c>
      <c r="T55" s="123">
        <f t="shared" si="4"/>
        <v>1</v>
      </c>
      <c r="U55" s="123">
        <f t="shared" si="5"/>
        <v>0</v>
      </c>
      <c r="V55" s="1"/>
      <c r="W55" s="122">
        <v>40000</v>
      </c>
      <c r="X55" s="125">
        <v>0.5</v>
      </c>
      <c r="Y55" s="125">
        <v>0.5</v>
      </c>
      <c r="Z55" s="9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  <c r="JJ55" s="2"/>
      <c r="JK55" s="2"/>
      <c r="JL55" s="2"/>
      <c r="JM55" s="2"/>
      <c r="JN55" s="2"/>
      <c r="JO55" s="2"/>
      <c r="JP55" s="2"/>
      <c r="JQ55" s="2"/>
      <c r="JR55" s="2"/>
      <c r="JS55" s="2"/>
      <c r="JT55" s="2"/>
      <c r="JU55" s="2"/>
      <c r="JV55" s="2"/>
      <c r="JW55" s="2"/>
      <c r="JX55" s="2"/>
      <c r="JY55" s="2"/>
      <c r="JZ55" s="2"/>
      <c r="KA55" s="2"/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  <c r="KO55" s="2"/>
      <c r="KP55" s="2"/>
      <c r="KQ55" s="2"/>
      <c r="KR55" s="2"/>
      <c r="KS55" s="2"/>
      <c r="KT55" s="2"/>
      <c r="KU55" s="2"/>
      <c r="KV55" s="2"/>
      <c r="KW55" s="2"/>
      <c r="KX55" s="2"/>
      <c r="KY55" s="2"/>
      <c r="KZ55" s="2"/>
      <c r="LA55" s="2"/>
      <c r="LB55" s="2"/>
      <c r="LC55" s="2"/>
      <c r="LD55" s="2"/>
      <c r="LE55" s="2"/>
      <c r="LF55" s="2"/>
      <c r="LG55" s="2"/>
      <c r="LH55" s="2"/>
      <c r="LI55" s="2"/>
      <c r="LJ55" s="2"/>
      <c r="LK55" s="2"/>
      <c r="LL55" s="2"/>
      <c r="LM55" s="2"/>
      <c r="LN55" s="2"/>
      <c r="LO55" s="2"/>
      <c r="LP55" s="2"/>
      <c r="LQ55" s="2"/>
      <c r="LR55" s="2"/>
      <c r="LS55" s="2"/>
      <c r="LT55" s="2"/>
      <c r="LU55" s="2"/>
      <c r="LV55" s="2"/>
      <c r="LW55" s="2"/>
      <c r="LX55" s="2"/>
      <c r="LY55" s="2"/>
      <c r="LZ55" s="2"/>
      <c r="MA55" s="2"/>
      <c r="MB55" s="2"/>
      <c r="MC55" s="2"/>
    </row>
    <row r="56" spans="2:341" x14ac:dyDescent="0.25">
      <c r="B56" s="2"/>
      <c r="C56" s="2"/>
      <c r="D56" s="3"/>
      <c r="E56" s="1"/>
      <c r="F56" s="1"/>
      <c r="G56" s="1"/>
      <c r="H56" s="1"/>
      <c r="I56" s="1"/>
      <c r="J56" s="1"/>
      <c r="K56" s="123" t="s">
        <v>165</v>
      </c>
      <c r="L56" s="123">
        <v>8426.9892912888863</v>
      </c>
      <c r="M56" s="123">
        <v>8.2209738752238302</v>
      </c>
      <c r="N56" s="123">
        <v>6372.6069053742667</v>
      </c>
      <c r="O56" s="123">
        <v>6.5831251862984121</v>
      </c>
      <c r="P56" s="123">
        <f t="shared" si="2"/>
        <v>2054.3823859146196</v>
      </c>
      <c r="Q56" s="123">
        <f t="shared" si="3"/>
        <v>1.637848688925418</v>
      </c>
      <c r="R56" s="123">
        <f t="shared" si="0"/>
        <v>155992.48821318772</v>
      </c>
      <c r="S56" s="123">
        <f t="shared" si="1"/>
        <v>125289.89682059397</v>
      </c>
      <c r="T56" s="123">
        <f t="shared" si="4"/>
        <v>1</v>
      </c>
      <c r="U56" s="123">
        <f t="shared" si="5"/>
        <v>0</v>
      </c>
      <c r="V56" s="1"/>
      <c r="W56" s="127">
        <v>41000</v>
      </c>
      <c r="X56" s="125">
        <v>0.5</v>
      </c>
      <c r="Y56" s="125">
        <v>0.5</v>
      </c>
      <c r="Z56" s="9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  <c r="JJ56" s="2"/>
      <c r="JK56" s="2"/>
      <c r="JL56" s="2"/>
      <c r="JM56" s="2"/>
      <c r="JN56" s="2"/>
      <c r="JO56" s="2"/>
      <c r="JP56" s="2"/>
      <c r="JQ56" s="2"/>
      <c r="JR56" s="2"/>
      <c r="JS56" s="2"/>
      <c r="JT56" s="2"/>
      <c r="JU56" s="2"/>
      <c r="JV56" s="2"/>
      <c r="JW56" s="2"/>
      <c r="JX56" s="2"/>
      <c r="JY56" s="2"/>
      <c r="JZ56" s="2"/>
      <c r="KA56" s="2"/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2"/>
      <c r="KR56" s="2"/>
      <c r="KS56" s="2"/>
      <c r="KT56" s="2"/>
      <c r="KU56" s="2"/>
      <c r="KV56" s="2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2"/>
      <c r="LO56" s="2"/>
      <c r="LP56" s="2"/>
      <c r="LQ56" s="2"/>
      <c r="LR56" s="2"/>
      <c r="LS56" s="2"/>
      <c r="LT56" s="2"/>
      <c r="LU56" s="2"/>
      <c r="LV56" s="2"/>
      <c r="LW56" s="2"/>
      <c r="LX56" s="2"/>
      <c r="LY56" s="2"/>
      <c r="LZ56" s="2"/>
      <c r="MA56" s="2"/>
      <c r="MB56" s="2"/>
      <c r="MC56" s="2"/>
    </row>
    <row r="57" spans="2:341" x14ac:dyDescent="0.25">
      <c r="B57" s="2"/>
      <c r="C57" s="2"/>
      <c r="D57" s="3"/>
      <c r="E57" s="1"/>
      <c r="F57" s="1"/>
      <c r="G57" s="1"/>
      <c r="H57" s="1"/>
      <c r="I57" s="1"/>
      <c r="J57" s="1"/>
      <c r="K57" s="123" t="s">
        <v>166</v>
      </c>
      <c r="L57" s="123">
        <v>6367.363232637299</v>
      </c>
      <c r="M57" s="123">
        <v>6.4492389828910834</v>
      </c>
      <c r="N57" s="123">
        <v>5608.1366081909891</v>
      </c>
      <c r="O57" s="123">
        <v>6.3337757315781111</v>
      </c>
      <c r="P57" s="123">
        <f t="shared" si="2"/>
        <v>759.22662444630987</v>
      </c>
      <c r="Q57" s="123">
        <f t="shared" si="3"/>
        <v>0.1154632513129723</v>
      </c>
      <c r="R57" s="123">
        <f t="shared" si="0"/>
        <v>122617.41642518436</v>
      </c>
      <c r="S57" s="123">
        <f t="shared" si="1"/>
        <v>121067.37802337123</v>
      </c>
      <c r="T57" s="123">
        <f t="shared" si="4"/>
        <v>1</v>
      </c>
      <c r="U57" s="123">
        <f t="shared" si="5"/>
        <v>0</v>
      </c>
      <c r="V57" s="1"/>
      <c r="W57" s="122">
        <v>42000</v>
      </c>
      <c r="X57" s="125">
        <v>0.5</v>
      </c>
      <c r="Y57" s="125">
        <v>0.5</v>
      </c>
      <c r="Z57" s="9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  <c r="JJ57" s="2"/>
      <c r="JK57" s="2"/>
      <c r="JL57" s="2"/>
      <c r="JM57" s="2"/>
      <c r="JN57" s="2"/>
      <c r="JO57" s="2"/>
      <c r="JP57" s="2"/>
      <c r="JQ57" s="2"/>
      <c r="JR57" s="2"/>
      <c r="JS57" s="2"/>
      <c r="JT57" s="2"/>
      <c r="JU57" s="2"/>
      <c r="JV57" s="2"/>
      <c r="JW57" s="2"/>
      <c r="JX57" s="2"/>
      <c r="JY57" s="2"/>
      <c r="JZ57" s="2"/>
      <c r="KA57" s="2"/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  <c r="KO57" s="2"/>
      <c r="KP57" s="2"/>
      <c r="KQ57" s="2"/>
      <c r="KR57" s="2"/>
      <c r="KS57" s="2"/>
      <c r="KT57" s="2"/>
      <c r="KU57" s="2"/>
      <c r="KV57" s="2"/>
      <c r="KW57" s="2"/>
      <c r="KX57" s="2"/>
      <c r="KY57" s="2"/>
      <c r="KZ57" s="2"/>
      <c r="LA57" s="2"/>
      <c r="LB57" s="2"/>
      <c r="LC57" s="2"/>
      <c r="LD57" s="2"/>
      <c r="LE57" s="2"/>
      <c r="LF57" s="2"/>
      <c r="LG57" s="2"/>
      <c r="LH57" s="2"/>
      <c r="LI57" s="2"/>
      <c r="LJ57" s="2"/>
      <c r="LK57" s="2"/>
      <c r="LL57" s="2"/>
      <c r="LM57" s="2"/>
      <c r="LN57" s="2"/>
      <c r="LO57" s="2"/>
      <c r="LP57" s="2"/>
      <c r="LQ57" s="2"/>
      <c r="LR57" s="2"/>
      <c r="LS57" s="2"/>
      <c r="LT57" s="2"/>
      <c r="LU57" s="2"/>
      <c r="LV57" s="2"/>
      <c r="LW57" s="2"/>
      <c r="LX57" s="2"/>
      <c r="LY57" s="2"/>
      <c r="LZ57" s="2"/>
      <c r="MA57" s="2"/>
      <c r="MB57" s="2"/>
      <c r="MC57" s="2"/>
    </row>
    <row r="58" spans="2:341" x14ac:dyDescent="0.25">
      <c r="B58" s="2"/>
      <c r="C58" s="2"/>
      <c r="D58" s="3"/>
      <c r="E58" s="1"/>
      <c r="F58" s="1"/>
      <c r="G58" s="1"/>
      <c r="H58" s="1"/>
      <c r="I58" s="1"/>
      <c r="J58" s="1"/>
      <c r="K58" s="123" t="s">
        <v>167</v>
      </c>
      <c r="L58" s="123">
        <v>9420.005416214075</v>
      </c>
      <c r="M58" s="123">
        <v>8.6316036514467456</v>
      </c>
      <c r="N58" s="123">
        <v>6999.3250608104845</v>
      </c>
      <c r="O58" s="123">
        <v>7.6158457464512495</v>
      </c>
      <c r="P58" s="123">
        <f t="shared" si="2"/>
        <v>2420.6803554035905</v>
      </c>
      <c r="Q58" s="123">
        <f t="shared" si="3"/>
        <v>1.0157579049954961</v>
      </c>
      <c r="R58" s="123">
        <f t="shared" si="0"/>
        <v>163212.06761272083</v>
      </c>
      <c r="S58" s="123">
        <f t="shared" si="1"/>
        <v>145317.58986821451</v>
      </c>
      <c r="T58" s="123">
        <f t="shared" si="4"/>
        <v>1</v>
      </c>
      <c r="U58" s="123">
        <f t="shared" si="5"/>
        <v>0</v>
      </c>
      <c r="V58" s="1"/>
      <c r="W58" s="127">
        <v>43000</v>
      </c>
      <c r="X58" s="125">
        <v>0.5</v>
      </c>
      <c r="Y58" s="125">
        <v>0.5</v>
      </c>
      <c r="Z58" s="9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/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  <c r="JJ58" s="2"/>
      <c r="JK58" s="2"/>
      <c r="JL58" s="2"/>
      <c r="JM58" s="2"/>
      <c r="JN58" s="2"/>
      <c r="JO58" s="2"/>
      <c r="JP58" s="2"/>
      <c r="JQ58" s="2"/>
      <c r="JR58" s="2"/>
      <c r="JS58" s="2"/>
      <c r="JT58" s="2"/>
      <c r="JU58" s="2"/>
      <c r="JV58" s="2"/>
      <c r="JW58" s="2"/>
      <c r="JX58" s="2"/>
      <c r="JY58" s="2"/>
      <c r="JZ58" s="2"/>
      <c r="KA58" s="2"/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  <c r="KO58" s="2"/>
      <c r="KP58" s="2"/>
      <c r="KQ58" s="2"/>
      <c r="KR58" s="2"/>
      <c r="KS58" s="2"/>
      <c r="KT58" s="2"/>
      <c r="KU58" s="2"/>
      <c r="KV58" s="2"/>
      <c r="KW58" s="2"/>
      <c r="KX58" s="2"/>
      <c r="KY58" s="2"/>
      <c r="KZ58" s="2"/>
      <c r="LA58" s="2"/>
      <c r="LB58" s="2"/>
      <c r="LC58" s="2"/>
      <c r="LD58" s="2"/>
      <c r="LE58" s="2"/>
      <c r="LF58" s="2"/>
      <c r="LG58" s="2"/>
      <c r="LH58" s="2"/>
      <c r="LI58" s="2"/>
      <c r="LJ58" s="2"/>
      <c r="LK58" s="2"/>
      <c r="LL58" s="2"/>
      <c r="LM58" s="2"/>
      <c r="LN58" s="2"/>
      <c r="LO58" s="2"/>
      <c r="LP58" s="2"/>
      <c r="LQ58" s="2"/>
      <c r="LR58" s="2"/>
      <c r="LS58" s="2"/>
      <c r="LT58" s="2"/>
      <c r="LU58" s="2"/>
      <c r="LV58" s="2"/>
      <c r="LW58" s="2"/>
      <c r="LX58" s="2"/>
      <c r="LY58" s="2"/>
      <c r="LZ58" s="2"/>
      <c r="MA58" s="2"/>
      <c r="MB58" s="2"/>
      <c r="MC58" s="2"/>
    </row>
    <row r="59" spans="2:341" x14ac:dyDescent="0.25">
      <c r="B59" s="2"/>
      <c r="C59" s="2"/>
      <c r="D59" s="3"/>
      <c r="E59" s="1"/>
      <c r="F59" s="1"/>
      <c r="G59" s="1"/>
      <c r="H59" s="1"/>
      <c r="I59" s="1"/>
      <c r="J59" s="1"/>
      <c r="K59" s="123" t="s">
        <v>168</v>
      </c>
      <c r="L59" s="123">
        <v>10765.834223619388</v>
      </c>
      <c r="M59" s="123">
        <v>11.119241441821906</v>
      </c>
      <c r="N59" s="123">
        <v>4995.7172720104718</v>
      </c>
      <c r="O59" s="123">
        <v>5.1769408667495549</v>
      </c>
      <c r="P59" s="123">
        <f t="shared" si="2"/>
        <v>5770.1169516089158</v>
      </c>
      <c r="Q59" s="123">
        <f t="shared" si="3"/>
        <v>5.942300575072351</v>
      </c>
      <c r="R59" s="123">
        <f t="shared" si="0"/>
        <v>211618.99461281873</v>
      </c>
      <c r="S59" s="123">
        <f t="shared" si="1"/>
        <v>98543.100062980622</v>
      </c>
      <c r="T59" s="123">
        <f t="shared" si="4"/>
        <v>1</v>
      </c>
      <c r="U59" s="123">
        <f t="shared" si="5"/>
        <v>0</v>
      </c>
      <c r="V59" s="1"/>
      <c r="W59" s="122">
        <v>44000</v>
      </c>
      <c r="X59" s="125">
        <v>0.5</v>
      </c>
      <c r="Y59" s="125">
        <v>0.5</v>
      </c>
      <c r="Z59" s="9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/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/>
      <c r="JO59" s="2"/>
      <c r="JP59" s="2"/>
      <c r="JQ59" s="2"/>
      <c r="JR59" s="2"/>
      <c r="JS59" s="2"/>
      <c r="JT59" s="2"/>
      <c r="JU59" s="2"/>
      <c r="JV59" s="2"/>
      <c r="JW59" s="2"/>
      <c r="JX59" s="2"/>
      <c r="JY59" s="2"/>
      <c r="JZ59" s="2"/>
      <c r="KA59" s="2"/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  <c r="KO59" s="2"/>
      <c r="KP59" s="2"/>
      <c r="KQ59" s="2"/>
      <c r="KR59" s="2"/>
      <c r="KS59" s="2"/>
      <c r="KT59" s="2"/>
      <c r="KU59" s="2"/>
      <c r="KV59" s="2"/>
      <c r="KW59" s="2"/>
      <c r="KX59" s="2"/>
      <c r="KY59" s="2"/>
      <c r="KZ59" s="2"/>
      <c r="LA59" s="2"/>
      <c r="LB59" s="2"/>
      <c r="LC59" s="2"/>
      <c r="LD59" s="2"/>
      <c r="LE59" s="2"/>
      <c r="LF59" s="2"/>
      <c r="LG59" s="2"/>
      <c r="LH59" s="2"/>
      <c r="LI59" s="2"/>
      <c r="LJ59" s="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</row>
    <row r="60" spans="2:341" x14ac:dyDescent="0.25">
      <c r="B60" s="2"/>
      <c r="C60" s="2"/>
      <c r="D60" s="3"/>
      <c r="E60" s="1"/>
      <c r="F60" s="1"/>
      <c r="G60" s="1"/>
      <c r="H60" s="1"/>
      <c r="I60" s="1"/>
      <c r="J60" s="1"/>
      <c r="K60" s="123" t="s">
        <v>169</v>
      </c>
      <c r="L60" s="123">
        <v>9100.1500840733661</v>
      </c>
      <c r="M60" s="123">
        <v>8.848718405508416</v>
      </c>
      <c r="N60" s="123">
        <v>5837.4848679593106</v>
      </c>
      <c r="O60" s="123">
        <v>6.3682137293215453</v>
      </c>
      <c r="P60" s="123">
        <f t="shared" si="2"/>
        <v>3262.6652161140555</v>
      </c>
      <c r="Q60" s="123">
        <f t="shared" si="3"/>
        <v>2.4805046761868708</v>
      </c>
      <c r="R60" s="123">
        <f t="shared" si="0"/>
        <v>167874.21802609495</v>
      </c>
      <c r="S60" s="123">
        <f t="shared" si="1"/>
        <v>121526.7897184716</v>
      </c>
      <c r="T60" s="123">
        <f t="shared" si="4"/>
        <v>1</v>
      </c>
      <c r="U60" s="123">
        <f t="shared" si="5"/>
        <v>0</v>
      </c>
      <c r="V60" s="1"/>
      <c r="W60" s="127">
        <v>45000</v>
      </c>
      <c r="X60" s="125">
        <v>0.5</v>
      </c>
      <c r="Y60" s="125">
        <v>0.5</v>
      </c>
      <c r="Z60" s="9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/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  <c r="IW60" s="2"/>
      <c r="IX60" s="2"/>
      <c r="IY60" s="2"/>
      <c r="IZ60" s="2"/>
      <c r="JA60" s="2"/>
      <c r="JB60" s="2"/>
      <c r="JC60" s="2"/>
      <c r="JD60" s="2"/>
      <c r="JE60" s="2"/>
      <c r="JF60" s="2"/>
      <c r="JG60" s="2"/>
      <c r="JH60" s="2"/>
      <c r="JI60" s="2"/>
      <c r="JJ60" s="2"/>
      <c r="JK60" s="2"/>
      <c r="JL60" s="2"/>
      <c r="JM60" s="2"/>
      <c r="JN60" s="2"/>
      <c r="JO60" s="2"/>
      <c r="JP60" s="2"/>
      <c r="JQ60" s="2"/>
      <c r="JR60" s="2"/>
      <c r="JS60" s="2"/>
      <c r="JT60" s="2"/>
      <c r="JU60" s="2"/>
      <c r="JV60" s="2"/>
      <c r="JW60" s="2"/>
      <c r="JX60" s="2"/>
      <c r="JY60" s="2"/>
      <c r="JZ60" s="2"/>
      <c r="KA60" s="2"/>
      <c r="KB60" s="2"/>
      <c r="KC60" s="2"/>
      <c r="KD60" s="2"/>
      <c r="KE60" s="2"/>
      <c r="KF60" s="2"/>
      <c r="KG60" s="2"/>
      <c r="KH60" s="2"/>
      <c r="KI60" s="2"/>
      <c r="KJ60" s="2"/>
      <c r="KK60" s="2"/>
      <c r="KL60" s="2"/>
      <c r="KM60" s="2"/>
      <c r="KN60" s="2"/>
      <c r="KO60" s="2"/>
      <c r="KP60" s="2"/>
      <c r="KQ60" s="2"/>
      <c r="KR60" s="2"/>
      <c r="KS60" s="2"/>
      <c r="KT60" s="2"/>
      <c r="KU60" s="2"/>
      <c r="KV60" s="2"/>
      <c r="KW60" s="2"/>
      <c r="KX60" s="2"/>
      <c r="KY60" s="2"/>
      <c r="KZ60" s="2"/>
      <c r="LA60" s="2"/>
      <c r="LB60" s="2"/>
      <c r="LC60" s="2"/>
      <c r="LD60" s="2"/>
      <c r="LE60" s="2"/>
      <c r="LF60" s="2"/>
      <c r="LG60" s="2"/>
      <c r="LH60" s="2"/>
      <c r="LI60" s="2"/>
      <c r="LJ60" s="2"/>
      <c r="LK60" s="2"/>
      <c r="LL60" s="2"/>
      <c r="LM60" s="2"/>
      <c r="LN60" s="2"/>
      <c r="LO60" s="2"/>
      <c r="LP60" s="2"/>
      <c r="LQ60" s="2"/>
      <c r="LR60" s="2"/>
      <c r="LS60" s="2"/>
      <c r="LT60" s="2"/>
      <c r="LU60" s="2"/>
      <c r="LV60" s="2"/>
      <c r="LW60" s="2"/>
      <c r="LX60" s="2"/>
      <c r="LY60" s="2"/>
      <c r="LZ60" s="2"/>
      <c r="MA60" s="2"/>
      <c r="MB60" s="2"/>
      <c r="MC60" s="2"/>
    </row>
    <row r="61" spans="2:341" x14ac:dyDescent="0.25">
      <c r="B61" s="2"/>
      <c r="C61" s="2"/>
      <c r="D61" s="3"/>
      <c r="E61" s="1"/>
      <c r="F61" s="1"/>
      <c r="G61" s="1"/>
      <c r="H61" s="1"/>
      <c r="I61" s="1"/>
      <c r="J61" s="1"/>
      <c r="K61" s="123" t="s">
        <v>170</v>
      </c>
      <c r="L61" s="123">
        <v>10160.202347531103</v>
      </c>
      <c r="M61" s="123">
        <v>10.154096393646871</v>
      </c>
      <c r="N61" s="123">
        <v>7965.1746636211374</v>
      </c>
      <c r="O61" s="123">
        <v>7.7984962244061844</v>
      </c>
      <c r="P61" s="123">
        <f t="shared" si="2"/>
        <v>2195.0276839099661</v>
      </c>
      <c r="Q61" s="123">
        <f t="shared" si="3"/>
        <v>2.3556001692406863</v>
      </c>
      <c r="R61" s="123">
        <f t="shared" si="0"/>
        <v>192921.72552540631</v>
      </c>
      <c r="S61" s="123">
        <f t="shared" si="1"/>
        <v>148004.74982450253</v>
      </c>
      <c r="T61" s="123">
        <f t="shared" si="4"/>
        <v>1</v>
      </c>
      <c r="U61" s="123">
        <f t="shared" si="5"/>
        <v>0</v>
      </c>
      <c r="V61" s="1"/>
      <c r="W61" s="122">
        <v>46000</v>
      </c>
      <c r="X61" s="125">
        <v>0.5</v>
      </c>
      <c r="Y61" s="125">
        <v>0.5</v>
      </c>
      <c r="Z61" s="9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/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/>
      <c r="JO61" s="2"/>
      <c r="JP61" s="2"/>
      <c r="JQ61" s="2"/>
      <c r="JR61" s="2"/>
      <c r="JS61" s="2"/>
      <c r="JT61" s="2"/>
      <c r="JU61" s="2"/>
      <c r="JV61" s="2"/>
      <c r="JW61" s="2"/>
      <c r="JX61" s="2"/>
      <c r="JY61" s="2"/>
      <c r="JZ61" s="2"/>
      <c r="KA61" s="2"/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  <c r="KO61" s="2"/>
      <c r="KP61" s="2"/>
      <c r="KQ61" s="2"/>
      <c r="KR61" s="2"/>
      <c r="KS61" s="2"/>
      <c r="KT61" s="2"/>
      <c r="KU61" s="2"/>
      <c r="KV61" s="2"/>
      <c r="KW61" s="2"/>
      <c r="KX61" s="2"/>
      <c r="KY61" s="2"/>
      <c r="KZ61" s="2"/>
      <c r="LA61" s="2"/>
      <c r="LB61" s="2"/>
      <c r="LC61" s="2"/>
      <c r="LD61" s="2"/>
      <c r="LE61" s="2"/>
      <c r="LF61" s="2"/>
      <c r="LG61" s="2"/>
      <c r="LH61" s="2"/>
      <c r="LI61" s="2"/>
      <c r="LJ61" s="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</row>
    <row r="62" spans="2:341" x14ac:dyDescent="0.25">
      <c r="B62" s="2"/>
      <c r="C62" s="2"/>
      <c r="D62" s="3"/>
      <c r="E62" s="1"/>
      <c r="F62" s="1"/>
      <c r="G62" s="1"/>
      <c r="H62" s="1"/>
      <c r="I62" s="1"/>
      <c r="J62" s="1"/>
      <c r="K62" s="123" t="s">
        <v>171</v>
      </c>
      <c r="L62" s="123">
        <v>8987.3952256266857</v>
      </c>
      <c r="M62" s="123">
        <v>7.9299991601030859</v>
      </c>
      <c r="N62" s="123">
        <v>9128.3850125207355</v>
      </c>
      <c r="O62" s="123">
        <v>9.1206476991097762</v>
      </c>
      <c r="P62" s="123">
        <f t="shared" si="2"/>
        <v>-140.98978689404976</v>
      </c>
      <c r="Q62" s="123">
        <f t="shared" si="3"/>
        <v>-1.1906485390066903</v>
      </c>
      <c r="R62" s="123">
        <f t="shared" si="0"/>
        <v>149612.58797643505</v>
      </c>
      <c r="S62" s="123">
        <f t="shared" si="1"/>
        <v>173284.56896967479</v>
      </c>
      <c r="T62" s="123">
        <f t="shared" si="4"/>
        <v>0</v>
      </c>
      <c r="U62" s="123">
        <f t="shared" si="5"/>
        <v>1</v>
      </c>
      <c r="V62" s="1"/>
      <c r="W62" s="127">
        <v>47000</v>
      </c>
      <c r="X62" s="125">
        <v>0.5</v>
      </c>
      <c r="Y62" s="125">
        <v>0.5</v>
      </c>
      <c r="Z62" s="9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/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  <c r="IW62" s="2"/>
      <c r="IX62" s="2"/>
      <c r="IY62" s="2"/>
      <c r="IZ62" s="2"/>
      <c r="JA62" s="2"/>
      <c r="JB62" s="2"/>
      <c r="JC62" s="2"/>
      <c r="JD62" s="2"/>
      <c r="JE62" s="2"/>
      <c r="JF62" s="2"/>
      <c r="JG62" s="2"/>
      <c r="JH62" s="2"/>
      <c r="JI62" s="2"/>
      <c r="JJ62" s="2"/>
      <c r="JK62" s="2"/>
      <c r="JL62" s="2"/>
      <c r="JM62" s="2"/>
      <c r="JN62" s="2"/>
      <c r="JO62" s="2"/>
      <c r="JP62" s="2"/>
      <c r="JQ62" s="2"/>
      <c r="JR62" s="2"/>
      <c r="JS62" s="2"/>
      <c r="JT62" s="2"/>
      <c r="JU62" s="2"/>
      <c r="JV62" s="2"/>
      <c r="JW62" s="2"/>
      <c r="JX62" s="2"/>
      <c r="JY62" s="2"/>
      <c r="JZ62" s="2"/>
      <c r="KA62" s="2"/>
      <c r="KB62" s="2"/>
      <c r="KC62" s="2"/>
      <c r="KD62" s="2"/>
      <c r="KE62" s="2"/>
      <c r="KF62" s="2"/>
      <c r="KG62" s="2"/>
      <c r="KH62" s="2"/>
      <c r="KI62" s="2"/>
      <c r="KJ62" s="2"/>
      <c r="KK62" s="2"/>
      <c r="KL62" s="2"/>
      <c r="KM62" s="2"/>
      <c r="KN62" s="2"/>
      <c r="KO62" s="2"/>
      <c r="KP62" s="2"/>
      <c r="KQ62" s="2"/>
      <c r="KR62" s="2"/>
      <c r="KS62" s="2"/>
      <c r="KT62" s="2"/>
      <c r="KU62" s="2"/>
      <c r="KV62" s="2"/>
      <c r="KW62" s="2"/>
      <c r="KX62" s="2"/>
      <c r="KY62" s="2"/>
      <c r="KZ62" s="2"/>
      <c r="LA62" s="2"/>
      <c r="LB62" s="2"/>
      <c r="LC62" s="2"/>
      <c r="LD62" s="2"/>
      <c r="LE62" s="2"/>
      <c r="LF62" s="2"/>
      <c r="LG62" s="2"/>
      <c r="LH62" s="2"/>
      <c r="LI62" s="2"/>
      <c r="LJ62" s="2"/>
      <c r="LK62" s="2"/>
      <c r="LL62" s="2"/>
      <c r="LM62" s="2"/>
      <c r="LN62" s="2"/>
      <c r="LO62" s="2"/>
      <c r="LP62" s="2"/>
      <c r="LQ62" s="2"/>
      <c r="LR62" s="2"/>
      <c r="LS62" s="2"/>
      <c r="LT62" s="2"/>
      <c r="LU62" s="2"/>
      <c r="LV62" s="2"/>
      <c r="LW62" s="2"/>
      <c r="LX62" s="2"/>
      <c r="LY62" s="2"/>
      <c r="LZ62" s="2"/>
      <c r="MA62" s="2"/>
      <c r="MB62" s="2"/>
      <c r="MC62" s="2"/>
    </row>
    <row r="63" spans="2:341" x14ac:dyDescent="0.25">
      <c r="B63" s="2"/>
      <c r="C63" s="2"/>
      <c r="D63" s="3"/>
      <c r="E63" s="1"/>
      <c r="F63" s="1"/>
      <c r="G63" s="1"/>
      <c r="H63" s="1"/>
      <c r="I63" s="1"/>
      <c r="J63" s="1"/>
      <c r="K63" s="123" t="s">
        <v>172</v>
      </c>
      <c r="L63" s="123">
        <v>10288.976331388627</v>
      </c>
      <c r="M63" s="123">
        <v>8.5057290283241951</v>
      </c>
      <c r="N63" s="123">
        <v>7894.0724580737042</v>
      </c>
      <c r="O63" s="123">
        <v>6.9257567136665594</v>
      </c>
      <c r="P63" s="123">
        <f t="shared" si="2"/>
        <v>2394.9038733149227</v>
      </c>
      <c r="Q63" s="123">
        <f t="shared" si="3"/>
        <v>1.5799723146576357</v>
      </c>
      <c r="R63" s="123">
        <f t="shared" si="0"/>
        <v>159825.60423509526</v>
      </c>
      <c r="S63" s="123">
        <f t="shared" si="1"/>
        <v>130621.06181525748</v>
      </c>
      <c r="T63" s="123">
        <f t="shared" si="4"/>
        <v>1</v>
      </c>
      <c r="U63" s="123">
        <f t="shared" si="5"/>
        <v>0</v>
      </c>
      <c r="V63" s="1"/>
      <c r="W63" s="122">
        <v>48000</v>
      </c>
      <c r="X63" s="125">
        <v>0.5</v>
      </c>
      <c r="Y63" s="125">
        <v>0.5</v>
      </c>
      <c r="Z63" s="9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/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/>
      <c r="JO63" s="2"/>
      <c r="JP63" s="2"/>
      <c r="JQ63" s="2"/>
      <c r="JR63" s="2"/>
      <c r="JS63" s="2"/>
      <c r="JT63" s="2"/>
      <c r="JU63" s="2"/>
      <c r="JV63" s="2"/>
      <c r="JW63" s="2"/>
      <c r="JX63" s="2"/>
      <c r="JY63" s="2"/>
      <c r="JZ63" s="2"/>
      <c r="KA63" s="2"/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2"/>
      <c r="KR63" s="2"/>
      <c r="KS63" s="2"/>
      <c r="KT63" s="2"/>
      <c r="KU63" s="2"/>
      <c r="KV63" s="2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2"/>
      <c r="LO63" s="2"/>
      <c r="LP63" s="2"/>
      <c r="LQ63" s="2"/>
      <c r="LR63" s="2"/>
      <c r="LS63" s="2"/>
      <c r="LT63" s="2"/>
      <c r="LU63" s="2"/>
      <c r="LV63" s="2"/>
      <c r="LW63" s="2"/>
      <c r="LX63" s="2"/>
      <c r="LY63" s="2"/>
      <c r="LZ63" s="2"/>
      <c r="MA63" s="2"/>
      <c r="MB63" s="2"/>
      <c r="MC63" s="2"/>
    </row>
    <row r="64" spans="2:341" x14ac:dyDescent="0.25">
      <c r="B64" s="2"/>
      <c r="C64" s="2"/>
      <c r="D64" s="3"/>
      <c r="E64" s="1"/>
      <c r="F64" s="1"/>
      <c r="G64" s="1"/>
      <c r="H64" s="1"/>
      <c r="I64" s="1"/>
      <c r="J64" s="1"/>
      <c r="K64" s="123" t="s">
        <v>173</v>
      </c>
      <c r="L64" s="123">
        <v>6651.9091417219952</v>
      </c>
      <c r="M64" s="123">
        <v>6.609529830629306</v>
      </c>
      <c r="N64" s="123">
        <v>6869.8226747750668</v>
      </c>
      <c r="O64" s="123">
        <v>7.4604443553954294</v>
      </c>
      <c r="P64" s="123">
        <f t="shared" si="2"/>
        <v>-217.91353305307166</v>
      </c>
      <c r="Q64" s="123">
        <f t="shared" si="3"/>
        <v>-0.85091452476612339</v>
      </c>
      <c r="R64" s="123">
        <f t="shared" si="0"/>
        <v>125538.68747086413</v>
      </c>
      <c r="S64" s="123">
        <f t="shared" si="1"/>
        <v>142339.06443313352</v>
      </c>
      <c r="T64" s="123">
        <f t="shared" si="4"/>
        <v>0</v>
      </c>
      <c r="U64" s="123">
        <f t="shared" si="5"/>
        <v>1</v>
      </c>
      <c r="V64" s="1"/>
      <c r="W64" s="127">
        <v>49000</v>
      </c>
      <c r="X64" s="125">
        <v>0.5</v>
      </c>
      <c r="Y64" s="125">
        <v>0.5</v>
      </c>
      <c r="Z64" s="9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/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D64" s="2"/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  <c r="IV64" s="2"/>
      <c r="IW64" s="2"/>
      <c r="IX64" s="2"/>
      <c r="IY64" s="2"/>
      <c r="IZ64" s="2"/>
      <c r="JA64" s="2"/>
      <c r="JB64" s="2"/>
      <c r="JC64" s="2"/>
      <c r="JD64" s="2"/>
      <c r="JE64" s="2"/>
      <c r="JF64" s="2"/>
      <c r="JG64" s="2"/>
      <c r="JH64" s="2"/>
      <c r="JI64" s="2"/>
      <c r="JJ64" s="2"/>
      <c r="JK64" s="2"/>
      <c r="JL64" s="2"/>
      <c r="JM64" s="2"/>
      <c r="JN64" s="2"/>
      <c r="JO64" s="2"/>
      <c r="JP64" s="2"/>
      <c r="JQ64" s="2"/>
      <c r="JR64" s="2"/>
      <c r="JS64" s="2"/>
      <c r="JT64" s="2"/>
      <c r="JU64" s="2"/>
      <c r="JV64" s="2"/>
      <c r="JW64" s="2"/>
      <c r="JX64" s="2"/>
      <c r="JY64" s="2"/>
      <c r="JZ64" s="2"/>
      <c r="KA64" s="2"/>
      <c r="KB64" s="2"/>
      <c r="KC64" s="2"/>
      <c r="KD64" s="2"/>
      <c r="KE64" s="2"/>
      <c r="KF64" s="2"/>
      <c r="KG64" s="2"/>
      <c r="KH64" s="2"/>
      <c r="KI64" s="2"/>
      <c r="KJ64" s="2"/>
      <c r="KK64" s="2"/>
      <c r="KL64" s="2"/>
      <c r="KM64" s="2"/>
      <c r="KN64" s="2"/>
      <c r="KO64" s="2"/>
      <c r="KP64" s="2"/>
      <c r="KQ64" s="2"/>
      <c r="KR64" s="2"/>
      <c r="KS64" s="2"/>
      <c r="KT64" s="2"/>
      <c r="KU64" s="2"/>
      <c r="KV64" s="2"/>
      <c r="KW64" s="2"/>
      <c r="KX64" s="2"/>
      <c r="KY64" s="2"/>
      <c r="KZ64" s="2"/>
      <c r="LA64" s="2"/>
      <c r="LB64" s="2"/>
      <c r="LC64" s="2"/>
      <c r="LD64" s="2"/>
      <c r="LE64" s="2"/>
      <c r="LF64" s="2"/>
      <c r="LG64" s="2"/>
      <c r="LH64" s="2"/>
      <c r="LI64" s="2"/>
      <c r="LJ64" s="2"/>
      <c r="LK64" s="2"/>
      <c r="LL64" s="2"/>
      <c r="LM64" s="2"/>
      <c r="LN64" s="2"/>
      <c r="LO64" s="2"/>
      <c r="LP64" s="2"/>
      <c r="LQ64" s="2"/>
      <c r="LR64" s="2"/>
      <c r="LS64" s="2"/>
      <c r="LT64" s="2"/>
      <c r="LU64" s="2"/>
      <c r="LV64" s="2"/>
      <c r="LW64" s="2"/>
      <c r="LX64" s="2"/>
      <c r="LY64" s="2"/>
      <c r="LZ64" s="2"/>
      <c r="MA64" s="2"/>
      <c r="MB64" s="2"/>
      <c r="MC64" s="2"/>
    </row>
    <row r="65" spans="2:341" x14ac:dyDescent="0.25">
      <c r="B65" s="2"/>
      <c r="C65" s="2"/>
      <c r="D65" s="3"/>
      <c r="E65" s="1"/>
      <c r="F65" s="1"/>
      <c r="G65" s="1"/>
      <c r="H65" s="1"/>
      <c r="I65" s="1"/>
      <c r="J65" s="1"/>
      <c r="K65" s="123" t="s">
        <v>174</v>
      </c>
      <c r="L65" s="123">
        <v>6294.3518808330728</v>
      </c>
      <c r="M65" s="123">
        <v>6.2793716421795409</v>
      </c>
      <c r="N65" s="123">
        <v>8399.3529630257708</v>
      </c>
      <c r="O65" s="123">
        <v>9.6458597817935949</v>
      </c>
      <c r="P65" s="123">
        <f t="shared" si="2"/>
        <v>-2105.001082192698</v>
      </c>
      <c r="Q65" s="123">
        <f t="shared" si="3"/>
        <v>-3.366488139614054</v>
      </c>
      <c r="R65" s="123">
        <f t="shared" si="0"/>
        <v>119293.08096275775</v>
      </c>
      <c r="S65" s="123">
        <f t="shared" si="1"/>
        <v>184517.84267284613</v>
      </c>
      <c r="T65" s="123">
        <f t="shared" si="4"/>
        <v>0</v>
      </c>
      <c r="U65" s="123">
        <f t="shared" si="5"/>
        <v>1</v>
      </c>
      <c r="V65" s="1"/>
      <c r="W65" s="122">
        <v>50000</v>
      </c>
      <c r="X65" s="125">
        <v>0.5</v>
      </c>
      <c r="Y65" s="125">
        <v>0.5</v>
      </c>
      <c r="Z65" s="9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/>
      <c r="HL65" s="2"/>
      <c r="HM65" s="2"/>
      <c r="HN65" s="2"/>
      <c r="HO65" s="2"/>
      <c r="HP65" s="2"/>
      <c r="HQ65" s="2"/>
      <c r="HR65" s="2"/>
      <c r="HS65" s="2"/>
      <c r="HT65" s="2"/>
      <c r="HU65" s="2"/>
      <c r="HV65" s="2"/>
      <c r="HW65" s="2"/>
      <c r="HX65" s="2"/>
      <c r="HY65" s="2"/>
      <c r="HZ65" s="2"/>
      <c r="IA65" s="2"/>
      <c r="IB65" s="2"/>
      <c r="IC65" s="2"/>
      <c r="ID65" s="2"/>
      <c r="IE65" s="2"/>
      <c r="IF65" s="2"/>
      <c r="IG65" s="2"/>
      <c r="IH65" s="2"/>
      <c r="II65" s="2"/>
      <c r="IJ65" s="2"/>
      <c r="IK65" s="2"/>
      <c r="IL65" s="2"/>
      <c r="IM65" s="2"/>
      <c r="IN65" s="2"/>
      <c r="IO65" s="2"/>
      <c r="IP65" s="2"/>
      <c r="IQ65" s="2"/>
      <c r="IR65" s="2"/>
      <c r="IS65" s="2"/>
      <c r="IT65" s="2"/>
      <c r="IU65" s="2"/>
      <c r="IV65" s="2"/>
      <c r="IW65" s="2"/>
      <c r="IX65" s="2"/>
      <c r="IY65" s="2"/>
      <c r="IZ65" s="2"/>
      <c r="JA65" s="2"/>
      <c r="JB65" s="2"/>
      <c r="JC65" s="2"/>
      <c r="JD65" s="2"/>
      <c r="JE65" s="2"/>
      <c r="JF65" s="2"/>
      <c r="JG65" s="2"/>
      <c r="JH65" s="2"/>
      <c r="JI65" s="2"/>
      <c r="JJ65" s="2"/>
      <c r="JK65" s="2"/>
      <c r="JL65" s="2"/>
      <c r="JM65" s="2"/>
      <c r="JN65" s="2"/>
      <c r="JO65" s="2"/>
      <c r="JP65" s="2"/>
      <c r="JQ65" s="2"/>
      <c r="JR65" s="2"/>
      <c r="JS65" s="2"/>
      <c r="JT65" s="2"/>
      <c r="JU65" s="2"/>
      <c r="JV65" s="2"/>
      <c r="JW65" s="2"/>
      <c r="JX65" s="2"/>
      <c r="JY65" s="2"/>
      <c r="JZ65" s="2"/>
      <c r="KA65" s="2"/>
      <c r="KB65" s="2"/>
      <c r="KC65" s="2"/>
      <c r="KD65" s="2"/>
      <c r="KE65" s="2"/>
      <c r="KF65" s="2"/>
      <c r="KG65" s="2"/>
      <c r="KH65" s="2"/>
      <c r="KI65" s="2"/>
      <c r="KJ65" s="2"/>
      <c r="KK65" s="2"/>
      <c r="KL65" s="2"/>
      <c r="KM65" s="2"/>
      <c r="KN65" s="2"/>
      <c r="KO65" s="2"/>
      <c r="KP65" s="2"/>
      <c r="KQ65" s="2"/>
      <c r="KR65" s="2"/>
      <c r="KS65" s="2"/>
      <c r="KT65" s="2"/>
      <c r="KU65" s="2"/>
      <c r="KV65" s="2"/>
      <c r="KW65" s="2"/>
      <c r="KX65" s="2"/>
      <c r="KY65" s="2"/>
      <c r="KZ65" s="2"/>
      <c r="LA65" s="2"/>
      <c r="LB65" s="2"/>
      <c r="LC65" s="2"/>
      <c r="LD65" s="2"/>
      <c r="LE65" s="2"/>
      <c r="LF65" s="2"/>
      <c r="LG65" s="2"/>
      <c r="LH65" s="2"/>
      <c r="LI65" s="2"/>
      <c r="LJ65" s="2"/>
      <c r="LK65" s="2"/>
      <c r="LL65" s="2"/>
      <c r="LM65" s="2"/>
      <c r="LN65" s="2"/>
      <c r="LO65" s="2"/>
      <c r="LP65" s="2"/>
      <c r="LQ65" s="2"/>
      <c r="LR65" s="2"/>
      <c r="LS65" s="2"/>
      <c r="LT65" s="2"/>
      <c r="LU65" s="2"/>
      <c r="LV65" s="2"/>
      <c r="LW65" s="2"/>
      <c r="LX65" s="2"/>
      <c r="LY65" s="2"/>
      <c r="LZ65" s="2"/>
      <c r="MA65" s="2"/>
      <c r="MB65" s="2"/>
      <c r="MC65" s="2"/>
    </row>
    <row r="66" spans="2:341" x14ac:dyDescent="0.25">
      <c r="B66" s="2"/>
      <c r="C66" s="2"/>
      <c r="D66" s="3"/>
      <c r="E66" s="1"/>
      <c r="F66" s="1"/>
      <c r="G66" s="1"/>
      <c r="H66" s="1"/>
      <c r="I66" s="1"/>
      <c r="J66" s="1"/>
      <c r="K66" s="123" t="s">
        <v>175</v>
      </c>
      <c r="L66" s="123">
        <v>6427.6122165939132</v>
      </c>
      <c r="M66" s="123">
        <v>5.5471810949871507</v>
      </c>
      <c r="N66" s="123">
        <v>4909.6910038868482</v>
      </c>
      <c r="O66" s="123">
        <v>4.5536042465116866</v>
      </c>
      <c r="P66" s="123">
        <f t="shared" si="2"/>
        <v>1517.921212707065</v>
      </c>
      <c r="Q66" s="123">
        <f t="shared" si="3"/>
        <v>0.99357684847546412</v>
      </c>
      <c r="R66" s="123">
        <f t="shared" si="0"/>
        <v>104516.0096831491</v>
      </c>
      <c r="S66" s="123">
        <f t="shared" si="1"/>
        <v>86162.393926346878</v>
      </c>
      <c r="T66" s="123">
        <f t="shared" si="4"/>
        <v>1</v>
      </c>
      <c r="U66" s="123">
        <f t="shared" si="5"/>
        <v>0</v>
      </c>
      <c r="V66" s="1"/>
      <c r="W66" s="127">
        <v>51000</v>
      </c>
      <c r="X66" s="125">
        <v>0.5</v>
      </c>
      <c r="Y66" s="125">
        <v>0.5</v>
      </c>
      <c r="Z66" s="9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GS66" s="2"/>
      <c r="GT66" s="2"/>
      <c r="GU66" s="2"/>
      <c r="GV66" s="2"/>
      <c r="GW66" s="2"/>
      <c r="GX66" s="2"/>
      <c r="GY66" s="2"/>
      <c r="GZ66" s="2"/>
      <c r="HA66" s="2"/>
      <c r="HB66" s="2"/>
      <c r="HC66" s="2"/>
      <c r="HD66" s="2"/>
      <c r="HE66" s="2"/>
      <c r="HF66" s="2"/>
      <c r="HG66" s="2"/>
      <c r="HH66" s="2"/>
      <c r="HI66" s="2"/>
      <c r="HJ66" s="2"/>
      <c r="HK66" s="2"/>
      <c r="HL66" s="2"/>
      <c r="HM66" s="2"/>
      <c r="HN66" s="2"/>
      <c r="HO66" s="2"/>
      <c r="HP66" s="2"/>
      <c r="HQ66" s="2"/>
      <c r="HR66" s="2"/>
      <c r="HS66" s="2"/>
      <c r="HT66" s="2"/>
      <c r="HU66" s="2"/>
      <c r="HV66" s="2"/>
      <c r="HW66" s="2"/>
      <c r="HX66" s="2"/>
      <c r="HY66" s="2"/>
      <c r="HZ66" s="2"/>
      <c r="IA66" s="2"/>
      <c r="IB66" s="2"/>
      <c r="IC66" s="2"/>
      <c r="ID66" s="2"/>
      <c r="IE66" s="2"/>
      <c r="IF66" s="2"/>
      <c r="IG66" s="2"/>
      <c r="IH66" s="2"/>
      <c r="II66" s="2"/>
      <c r="IJ66" s="2"/>
      <c r="IK66" s="2"/>
      <c r="IL66" s="2"/>
      <c r="IM66" s="2"/>
      <c r="IN66" s="2"/>
      <c r="IO66" s="2"/>
      <c r="IP66" s="2"/>
      <c r="IQ66" s="2"/>
      <c r="IR66" s="2"/>
      <c r="IS66" s="2"/>
      <c r="IT66" s="2"/>
      <c r="IU66" s="2"/>
      <c r="IV66" s="2"/>
      <c r="IW66" s="2"/>
      <c r="IX66" s="2"/>
      <c r="IY66" s="2"/>
      <c r="IZ66" s="2"/>
      <c r="JA66" s="2"/>
      <c r="JB66" s="2"/>
      <c r="JC66" s="2"/>
      <c r="JD66" s="2"/>
      <c r="JE66" s="2"/>
      <c r="JF66" s="2"/>
      <c r="JG66" s="2"/>
      <c r="JH66" s="2"/>
      <c r="JI66" s="2"/>
      <c r="JJ66" s="2"/>
      <c r="JK66" s="2"/>
      <c r="JL66" s="2"/>
      <c r="JM66" s="2"/>
      <c r="JN66" s="2"/>
      <c r="JO66" s="2"/>
      <c r="JP66" s="2"/>
      <c r="JQ66" s="2"/>
      <c r="JR66" s="2"/>
      <c r="JS66" s="2"/>
      <c r="JT66" s="2"/>
      <c r="JU66" s="2"/>
      <c r="JV66" s="2"/>
      <c r="JW66" s="2"/>
      <c r="JX66" s="2"/>
      <c r="JY66" s="2"/>
      <c r="JZ66" s="2"/>
      <c r="KA66" s="2"/>
      <c r="KB66" s="2"/>
      <c r="KC66" s="2"/>
      <c r="KD66" s="2"/>
      <c r="KE66" s="2"/>
      <c r="KF66" s="2"/>
      <c r="KG66" s="2"/>
      <c r="KH66" s="2"/>
      <c r="KI66" s="2"/>
      <c r="KJ66" s="2"/>
      <c r="KK66" s="2"/>
      <c r="KL66" s="2"/>
      <c r="KM66" s="2"/>
      <c r="KN66" s="2"/>
      <c r="KO66" s="2"/>
      <c r="KP66" s="2"/>
      <c r="KQ66" s="2"/>
      <c r="KR66" s="2"/>
      <c r="KS66" s="2"/>
      <c r="KT66" s="2"/>
      <c r="KU66" s="2"/>
      <c r="KV66" s="2"/>
      <c r="KW66" s="2"/>
      <c r="KX66" s="2"/>
      <c r="KY66" s="2"/>
      <c r="KZ66" s="2"/>
      <c r="LA66" s="2"/>
      <c r="LB66" s="2"/>
      <c r="LC66" s="2"/>
      <c r="LD66" s="2"/>
      <c r="LE66" s="2"/>
      <c r="LF66" s="2"/>
      <c r="LG66" s="2"/>
      <c r="LH66" s="2"/>
      <c r="LI66" s="2"/>
      <c r="LJ66" s="2"/>
      <c r="LK66" s="2"/>
      <c r="LL66" s="2"/>
      <c r="LM66" s="2"/>
      <c r="LN66" s="2"/>
      <c r="LO66" s="2"/>
      <c r="LP66" s="2"/>
      <c r="LQ66" s="2"/>
      <c r="LR66" s="2"/>
      <c r="LS66" s="2"/>
      <c r="LT66" s="2"/>
      <c r="LU66" s="2"/>
      <c r="LV66" s="2"/>
      <c r="LW66" s="2"/>
      <c r="LX66" s="2"/>
      <c r="LY66" s="2"/>
      <c r="LZ66" s="2"/>
      <c r="MA66" s="2"/>
      <c r="MB66" s="2"/>
      <c r="MC66" s="2"/>
    </row>
    <row r="67" spans="2:341" x14ac:dyDescent="0.25">
      <c r="B67" s="2"/>
      <c r="C67" s="2"/>
      <c r="D67" s="3"/>
      <c r="E67" s="1"/>
      <c r="F67" s="1"/>
      <c r="G67" s="1"/>
      <c r="H67" s="1"/>
      <c r="I67" s="1"/>
      <c r="J67" s="1"/>
      <c r="K67" s="123" t="s">
        <v>176</v>
      </c>
      <c r="L67" s="123">
        <v>7974.2380079743998</v>
      </c>
      <c r="M67" s="123">
        <v>7.6241594603645391</v>
      </c>
      <c r="N67" s="123">
        <v>8935.963340506627</v>
      </c>
      <c r="O67" s="123">
        <v>9.3299224094907416</v>
      </c>
      <c r="P67" s="123">
        <f t="shared" si="2"/>
        <v>-961.72533253222718</v>
      </c>
      <c r="Q67" s="123">
        <f t="shared" si="3"/>
        <v>-1.7057629491262025</v>
      </c>
      <c r="R67" s="123">
        <f t="shared" si="0"/>
        <v>144508.95119931639</v>
      </c>
      <c r="S67" s="123">
        <f t="shared" si="1"/>
        <v>177662.48484930821</v>
      </c>
      <c r="T67" s="123">
        <f t="shared" si="4"/>
        <v>0</v>
      </c>
      <c r="U67" s="123">
        <f t="shared" si="5"/>
        <v>1</v>
      </c>
      <c r="V67" s="1"/>
      <c r="W67" s="122">
        <v>52000</v>
      </c>
      <c r="X67" s="125">
        <v>0.5</v>
      </c>
      <c r="Y67" s="125">
        <v>0.5</v>
      </c>
      <c r="Z67" s="9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GS67" s="2"/>
      <c r="GT67" s="2"/>
      <c r="GU67" s="2"/>
      <c r="GV67" s="2"/>
      <c r="GW67" s="2"/>
      <c r="GX67" s="2"/>
      <c r="GY67" s="2"/>
      <c r="GZ67" s="2"/>
      <c r="HA67" s="2"/>
      <c r="HB67" s="2"/>
      <c r="HC67" s="2"/>
      <c r="HD67" s="2"/>
      <c r="HE67" s="2"/>
      <c r="HF67" s="2"/>
      <c r="HG67" s="2"/>
      <c r="HH67" s="2"/>
      <c r="HI67" s="2"/>
      <c r="HJ67" s="2"/>
      <c r="HK67" s="2"/>
      <c r="HL67" s="2"/>
      <c r="HM67" s="2"/>
      <c r="HN67" s="2"/>
      <c r="HO67" s="2"/>
      <c r="HP67" s="2"/>
      <c r="HQ67" s="2"/>
      <c r="HR67" s="2"/>
      <c r="HS67" s="2"/>
      <c r="HT67" s="2"/>
      <c r="HU67" s="2"/>
      <c r="HV67" s="2"/>
      <c r="HW67" s="2"/>
      <c r="HX67" s="2"/>
      <c r="HY67" s="2"/>
      <c r="HZ67" s="2"/>
      <c r="IA67" s="2"/>
      <c r="IB67" s="2"/>
      <c r="IC67" s="2"/>
      <c r="ID67" s="2"/>
      <c r="IE67" s="2"/>
      <c r="IF67" s="2"/>
      <c r="IG67" s="2"/>
      <c r="IH67" s="2"/>
      <c r="II67" s="2"/>
      <c r="IJ67" s="2"/>
      <c r="IK67" s="2"/>
      <c r="IL67" s="2"/>
      <c r="IM67" s="2"/>
      <c r="IN67" s="2"/>
      <c r="IO67" s="2"/>
      <c r="IP67" s="2"/>
      <c r="IQ67" s="2"/>
      <c r="IR67" s="2"/>
      <c r="IS67" s="2"/>
      <c r="IT67" s="2"/>
      <c r="IU67" s="2"/>
      <c r="IV67" s="2"/>
      <c r="IW67" s="2"/>
      <c r="IX67" s="2"/>
      <c r="IY67" s="2"/>
      <c r="IZ67" s="2"/>
      <c r="JA67" s="2"/>
      <c r="JB67" s="2"/>
      <c r="JC67" s="2"/>
      <c r="JD67" s="2"/>
      <c r="JE67" s="2"/>
      <c r="JF67" s="2"/>
      <c r="JG67" s="2"/>
      <c r="JH67" s="2"/>
      <c r="JI67" s="2"/>
      <c r="JJ67" s="2"/>
      <c r="JK67" s="2"/>
      <c r="JL67" s="2"/>
      <c r="JM67" s="2"/>
      <c r="JN67" s="2"/>
      <c r="JO67" s="2"/>
      <c r="JP67" s="2"/>
      <c r="JQ67" s="2"/>
      <c r="JR67" s="2"/>
      <c r="JS67" s="2"/>
      <c r="JT67" s="2"/>
      <c r="JU67" s="2"/>
      <c r="JV67" s="2"/>
      <c r="JW67" s="2"/>
      <c r="JX67" s="2"/>
      <c r="JY67" s="2"/>
      <c r="JZ67" s="2"/>
      <c r="KA67" s="2"/>
      <c r="KB67" s="2"/>
      <c r="KC67" s="2"/>
      <c r="KD67" s="2"/>
      <c r="KE67" s="2"/>
      <c r="KF67" s="2"/>
      <c r="KG67" s="2"/>
      <c r="KH67" s="2"/>
      <c r="KI67" s="2"/>
      <c r="KJ67" s="2"/>
      <c r="KK67" s="2"/>
      <c r="KL67" s="2"/>
      <c r="KM67" s="2"/>
      <c r="KN67" s="2"/>
      <c r="KO67" s="2"/>
      <c r="KP67" s="2"/>
      <c r="KQ67" s="2"/>
      <c r="KR67" s="2"/>
      <c r="KS67" s="2"/>
      <c r="KT67" s="2"/>
      <c r="KU67" s="2"/>
      <c r="KV67" s="2"/>
      <c r="KW67" s="2"/>
      <c r="KX67" s="2"/>
      <c r="KY67" s="2"/>
      <c r="KZ67" s="2"/>
      <c r="LA67" s="2"/>
      <c r="LB67" s="2"/>
      <c r="LC67" s="2"/>
      <c r="LD67" s="2"/>
      <c r="LE67" s="2"/>
      <c r="LF67" s="2"/>
      <c r="LG67" s="2"/>
      <c r="LH67" s="2"/>
      <c r="LI67" s="2"/>
      <c r="LJ67" s="2"/>
      <c r="LK67" s="2"/>
      <c r="LL67" s="2"/>
      <c r="LM67" s="2"/>
      <c r="LN67" s="2"/>
      <c r="LO67" s="2"/>
      <c r="LP67" s="2"/>
      <c r="LQ67" s="2"/>
      <c r="LR67" s="2"/>
      <c r="LS67" s="2"/>
      <c r="LT67" s="2"/>
      <c r="LU67" s="2"/>
      <c r="LV67" s="2"/>
      <c r="LW67" s="2"/>
      <c r="LX67" s="2"/>
      <c r="LY67" s="2"/>
      <c r="LZ67" s="2"/>
      <c r="MA67" s="2"/>
      <c r="MB67" s="2"/>
      <c r="MC67" s="2"/>
    </row>
    <row r="68" spans="2:341" x14ac:dyDescent="0.25">
      <c r="B68" s="2"/>
      <c r="C68" s="2"/>
      <c r="D68" s="3"/>
      <c r="E68" s="1"/>
      <c r="F68" s="1"/>
      <c r="G68" s="1"/>
      <c r="H68" s="1"/>
      <c r="I68" s="1"/>
      <c r="J68" s="1"/>
      <c r="K68" s="123" t="s">
        <v>177</v>
      </c>
      <c r="L68" s="123">
        <v>10645.877568406055</v>
      </c>
      <c r="M68" s="123">
        <v>10.34055218548375</v>
      </c>
      <c r="N68" s="123">
        <v>8015.5731773243551</v>
      </c>
      <c r="O68" s="123">
        <v>8.6621278462356948</v>
      </c>
      <c r="P68" s="123">
        <f t="shared" si="2"/>
        <v>2630.3043910816996</v>
      </c>
      <c r="Q68" s="123">
        <f t="shared" si="3"/>
        <v>1.6784243392480551</v>
      </c>
      <c r="R68" s="123">
        <f t="shared" si="0"/>
        <v>196165.16614126894</v>
      </c>
      <c r="S68" s="123">
        <f t="shared" si="1"/>
        <v>165226.98374738955</v>
      </c>
      <c r="T68" s="123">
        <f t="shared" si="4"/>
        <v>1</v>
      </c>
      <c r="U68" s="123">
        <f t="shared" si="5"/>
        <v>0</v>
      </c>
      <c r="V68" s="1"/>
      <c r="W68" s="127">
        <v>53000</v>
      </c>
      <c r="X68" s="125">
        <v>0.5</v>
      </c>
      <c r="Y68" s="125">
        <v>0.5</v>
      </c>
      <c r="Z68" s="9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2"/>
      <c r="GG68" s="2"/>
      <c r="GH68" s="2"/>
      <c r="GI68" s="2"/>
      <c r="GJ68" s="2"/>
      <c r="GK68" s="2"/>
      <c r="GL68" s="2"/>
      <c r="GM68" s="2"/>
      <c r="GN68" s="2"/>
      <c r="GO68" s="2"/>
      <c r="GP68" s="2"/>
      <c r="GQ68" s="2"/>
      <c r="GR68" s="2"/>
      <c r="GS68" s="2"/>
      <c r="GT68" s="2"/>
      <c r="GU68" s="2"/>
      <c r="GV68" s="2"/>
      <c r="GW68" s="2"/>
      <c r="GX68" s="2"/>
      <c r="GY68" s="2"/>
      <c r="GZ68" s="2"/>
      <c r="HA68" s="2"/>
      <c r="HB68" s="2"/>
      <c r="HC68" s="2"/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D68" s="2"/>
      <c r="IE68" s="2"/>
      <c r="IF68" s="2"/>
      <c r="IG68" s="2"/>
      <c r="IH68" s="2"/>
      <c r="II68" s="2"/>
      <c r="IJ68" s="2"/>
      <c r="IK68" s="2"/>
      <c r="IL68" s="2"/>
      <c r="IM68" s="2"/>
      <c r="IN68" s="2"/>
      <c r="IO68" s="2"/>
      <c r="IP68" s="2"/>
      <c r="IQ68" s="2"/>
      <c r="IR68" s="2"/>
      <c r="IS68" s="2"/>
      <c r="IT68" s="2"/>
      <c r="IU68" s="2"/>
      <c r="IV68" s="2"/>
      <c r="IW68" s="2"/>
      <c r="IX68" s="2"/>
      <c r="IY68" s="2"/>
      <c r="IZ68" s="2"/>
      <c r="JA68" s="2"/>
      <c r="JB68" s="2"/>
      <c r="JC68" s="2"/>
      <c r="JD68" s="2"/>
      <c r="JE68" s="2"/>
      <c r="JF68" s="2"/>
      <c r="JG68" s="2"/>
      <c r="JH68" s="2"/>
      <c r="JI68" s="2"/>
      <c r="JJ68" s="2"/>
      <c r="JK68" s="2"/>
      <c r="JL68" s="2"/>
      <c r="JM68" s="2"/>
      <c r="JN68" s="2"/>
      <c r="JO68" s="2"/>
      <c r="JP68" s="2"/>
      <c r="JQ68" s="2"/>
      <c r="JR68" s="2"/>
      <c r="JS68" s="2"/>
      <c r="JT68" s="2"/>
      <c r="JU68" s="2"/>
      <c r="JV68" s="2"/>
      <c r="JW68" s="2"/>
      <c r="JX68" s="2"/>
      <c r="JY68" s="2"/>
      <c r="JZ68" s="2"/>
      <c r="KA68" s="2"/>
      <c r="KB68" s="2"/>
      <c r="KC68" s="2"/>
      <c r="KD68" s="2"/>
      <c r="KE68" s="2"/>
      <c r="KF68" s="2"/>
      <c r="KG68" s="2"/>
      <c r="KH68" s="2"/>
      <c r="KI68" s="2"/>
      <c r="KJ68" s="2"/>
      <c r="KK68" s="2"/>
      <c r="KL68" s="2"/>
      <c r="KM68" s="2"/>
      <c r="KN68" s="2"/>
      <c r="KO68" s="2"/>
      <c r="KP68" s="2"/>
      <c r="KQ68" s="2"/>
      <c r="KR68" s="2"/>
      <c r="KS68" s="2"/>
      <c r="KT68" s="2"/>
      <c r="KU68" s="2"/>
      <c r="KV68" s="2"/>
      <c r="KW68" s="2"/>
      <c r="KX68" s="2"/>
      <c r="KY68" s="2"/>
      <c r="KZ68" s="2"/>
      <c r="LA68" s="2"/>
      <c r="LB68" s="2"/>
      <c r="LC68" s="2"/>
      <c r="LD68" s="2"/>
      <c r="LE68" s="2"/>
      <c r="LF68" s="2"/>
      <c r="LG68" s="2"/>
      <c r="LH68" s="2"/>
      <c r="LI68" s="2"/>
      <c r="LJ68" s="2"/>
      <c r="LK68" s="2"/>
      <c r="LL68" s="2"/>
      <c r="LM68" s="2"/>
      <c r="LN68" s="2"/>
      <c r="LO68" s="2"/>
      <c r="LP68" s="2"/>
      <c r="LQ68" s="2"/>
      <c r="LR68" s="2"/>
      <c r="LS68" s="2"/>
      <c r="LT68" s="2"/>
      <c r="LU68" s="2"/>
      <c r="LV68" s="2"/>
      <c r="LW68" s="2"/>
      <c r="LX68" s="2"/>
      <c r="LY68" s="2"/>
      <c r="LZ68" s="2"/>
      <c r="MA68" s="2"/>
      <c r="MB68" s="2"/>
      <c r="MC68" s="2"/>
    </row>
    <row r="69" spans="2:341" x14ac:dyDescent="0.25">
      <c r="B69" s="2"/>
      <c r="C69" s="2"/>
      <c r="D69" s="3"/>
      <c r="E69" s="1"/>
      <c r="F69" s="1"/>
      <c r="G69" s="1"/>
      <c r="H69" s="1"/>
      <c r="I69" s="1"/>
      <c r="J69" s="1"/>
      <c r="K69" s="123" t="s">
        <v>178</v>
      </c>
      <c r="L69" s="123">
        <v>6283.4328117970126</v>
      </c>
      <c r="M69" s="123">
        <v>6.9928434949214733</v>
      </c>
      <c r="N69" s="123">
        <v>5090.0603510157489</v>
      </c>
      <c r="O69" s="123">
        <v>5.9768287280483392</v>
      </c>
      <c r="P69" s="123">
        <f t="shared" si="2"/>
        <v>1193.3724607812637</v>
      </c>
      <c r="Q69" s="123">
        <f t="shared" si="3"/>
        <v>1.0160147668731341</v>
      </c>
      <c r="R69" s="123">
        <f t="shared" si="0"/>
        <v>133573.43708663245</v>
      </c>
      <c r="S69" s="123">
        <f t="shared" si="1"/>
        <v>114446.51420995103</v>
      </c>
      <c r="T69" s="123">
        <f t="shared" si="4"/>
        <v>1</v>
      </c>
      <c r="U69" s="123">
        <f t="shared" si="5"/>
        <v>0</v>
      </c>
      <c r="V69" s="1"/>
      <c r="W69" s="122">
        <v>54000</v>
      </c>
      <c r="X69" s="125">
        <v>0.5</v>
      </c>
      <c r="Y69" s="125">
        <v>0.5</v>
      </c>
      <c r="Z69" s="9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GS69" s="2"/>
      <c r="GT69" s="2"/>
      <c r="GU69" s="2"/>
      <c r="GV69" s="2"/>
      <c r="GW69" s="2"/>
      <c r="GX69" s="2"/>
      <c r="GY69" s="2"/>
      <c r="GZ69" s="2"/>
      <c r="HA69" s="2"/>
      <c r="HB69" s="2"/>
      <c r="HC69" s="2"/>
      <c r="HD69" s="2"/>
      <c r="HE69" s="2"/>
      <c r="HF69" s="2"/>
      <c r="HG69" s="2"/>
      <c r="HH69" s="2"/>
      <c r="HI69" s="2"/>
      <c r="HJ69" s="2"/>
      <c r="HK69" s="2"/>
      <c r="HL69" s="2"/>
      <c r="HM69" s="2"/>
      <c r="HN69" s="2"/>
      <c r="HO69" s="2"/>
      <c r="HP69" s="2"/>
      <c r="HQ69" s="2"/>
      <c r="HR69" s="2"/>
      <c r="HS69" s="2"/>
      <c r="HT69" s="2"/>
      <c r="HU69" s="2"/>
      <c r="HV69" s="2"/>
      <c r="HW69" s="2"/>
      <c r="HX69" s="2"/>
      <c r="HY69" s="2"/>
      <c r="HZ69" s="2"/>
      <c r="IA69" s="2"/>
      <c r="IB69" s="2"/>
      <c r="IC69" s="2"/>
      <c r="ID69" s="2"/>
      <c r="IE69" s="2"/>
      <c r="IF69" s="2"/>
      <c r="IG69" s="2"/>
      <c r="IH69" s="2"/>
      <c r="II69" s="2"/>
      <c r="IJ69" s="2"/>
      <c r="IK69" s="2"/>
      <c r="IL69" s="2"/>
      <c r="IM69" s="2"/>
      <c r="IN69" s="2"/>
      <c r="IO69" s="2"/>
      <c r="IP69" s="2"/>
      <c r="IQ69" s="2"/>
      <c r="IR69" s="2"/>
      <c r="IS69" s="2"/>
      <c r="IT69" s="2"/>
      <c r="IU69" s="2"/>
      <c r="IV69" s="2"/>
      <c r="IW69" s="2"/>
      <c r="IX69" s="2"/>
      <c r="IY69" s="2"/>
      <c r="IZ69" s="2"/>
      <c r="JA69" s="2"/>
      <c r="JB69" s="2"/>
      <c r="JC69" s="2"/>
      <c r="JD69" s="2"/>
      <c r="JE69" s="2"/>
      <c r="JF69" s="2"/>
      <c r="JG69" s="2"/>
      <c r="JH69" s="2"/>
      <c r="JI69" s="2"/>
      <c r="JJ69" s="2"/>
      <c r="JK69" s="2"/>
      <c r="JL69" s="2"/>
      <c r="JM69" s="2"/>
      <c r="JN69" s="2"/>
      <c r="JO69" s="2"/>
      <c r="JP69" s="2"/>
      <c r="JQ69" s="2"/>
      <c r="JR69" s="2"/>
      <c r="JS69" s="2"/>
      <c r="JT69" s="2"/>
      <c r="JU69" s="2"/>
      <c r="JV69" s="2"/>
      <c r="JW69" s="2"/>
      <c r="JX69" s="2"/>
      <c r="JY69" s="2"/>
      <c r="JZ69" s="2"/>
      <c r="KA69" s="2"/>
      <c r="KB69" s="2"/>
      <c r="KC69" s="2"/>
      <c r="KD69" s="2"/>
      <c r="KE69" s="2"/>
      <c r="KF69" s="2"/>
      <c r="KG69" s="2"/>
      <c r="KH69" s="2"/>
      <c r="KI69" s="2"/>
      <c r="KJ69" s="2"/>
      <c r="KK69" s="2"/>
      <c r="KL69" s="2"/>
      <c r="KM69" s="2"/>
      <c r="KN69" s="2"/>
      <c r="KO69" s="2"/>
      <c r="KP69" s="2"/>
      <c r="KQ69" s="2"/>
      <c r="KR69" s="2"/>
      <c r="KS69" s="2"/>
      <c r="KT69" s="2"/>
      <c r="KU69" s="2"/>
      <c r="KV69" s="2"/>
      <c r="KW69" s="2"/>
      <c r="KX69" s="2"/>
      <c r="KY69" s="2"/>
      <c r="KZ69" s="2"/>
      <c r="LA69" s="2"/>
      <c r="LB69" s="2"/>
      <c r="LC69" s="2"/>
      <c r="LD69" s="2"/>
      <c r="LE69" s="2"/>
      <c r="LF69" s="2"/>
      <c r="LG69" s="2"/>
      <c r="LH69" s="2"/>
      <c r="LI69" s="2"/>
      <c r="LJ69" s="2"/>
      <c r="LK69" s="2"/>
      <c r="LL69" s="2"/>
      <c r="LM69" s="2"/>
      <c r="LN69" s="2"/>
      <c r="LO69" s="2"/>
      <c r="LP69" s="2"/>
      <c r="LQ69" s="2"/>
      <c r="LR69" s="2"/>
      <c r="LS69" s="2"/>
      <c r="LT69" s="2"/>
      <c r="LU69" s="2"/>
      <c r="LV69" s="2"/>
      <c r="LW69" s="2"/>
      <c r="LX69" s="2"/>
      <c r="LY69" s="2"/>
      <c r="LZ69" s="2"/>
      <c r="MA69" s="2"/>
      <c r="MB69" s="2"/>
      <c r="MC69" s="2"/>
    </row>
    <row r="70" spans="2:341" x14ac:dyDescent="0.25">
      <c r="B70" s="2"/>
      <c r="C70" s="2"/>
      <c r="D70" s="3"/>
      <c r="E70" s="1"/>
      <c r="F70" s="1"/>
      <c r="G70" s="1"/>
      <c r="H70" s="1"/>
      <c r="I70" s="1"/>
      <c r="J70" s="1"/>
      <c r="K70" s="123" t="s">
        <v>179</v>
      </c>
      <c r="L70" s="123">
        <v>6034.200858048167</v>
      </c>
      <c r="M70" s="123">
        <v>5.3141549271249078</v>
      </c>
      <c r="N70" s="123">
        <v>7915.5447160863005</v>
      </c>
      <c r="O70" s="123">
        <v>7.1897977849376771</v>
      </c>
      <c r="P70" s="123">
        <f t="shared" si="2"/>
        <v>-1881.3438580381335</v>
      </c>
      <c r="Q70" s="123">
        <f t="shared" si="3"/>
        <v>-1.8756428578127693</v>
      </c>
      <c r="R70" s="123">
        <f t="shared" si="0"/>
        <v>100248.89768445</v>
      </c>
      <c r="S70" s="123">
        <f t="shared" si="1"/>
        <v>135880.41098266724</v>
      </c>
      <c r="T70" s="123">
        <f t="shared" si="4"/>
        <v>0</v>
      </c>
      <c r="U70" s="123">
        <f t="shared" si="5"/>
        <v>1</v>
      </c>
      <c r="V70" s="1"/>
      <c r="W70" s="127">
        <v>55000</v>
      </c>
      <c r="X70" s="125">
        <v>0.5</v>
      </c>
      <c r="Y70" s="125">
        <v>0.5</v>
      </c>
      <c r="Z70" s="9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  <c r="GH70" s="2"/>
      <c r="GI70" s="2"/>
      <c r="GJ70" s="2"/>
      <c r="GK70" s="2"/>
      <c r="GL70" s="2"/>
      <c r="GM70" s="2"/>
      <c r="GN70" s="2"/>
      <c r="GO70" s="2"/>
      <c r="GP70" s="2"/>
      <c r="GQ70" s="2"/>
      <c r="GR70" s="2"/>
      <c r="GS70" s="2"/>
      <c r="GT70" s="2"/>
      <c r="GU70" s="2"/>
      <c r="GV70" s="2"/>
      <c r="GW70" s="2"/>
      <c r="GX70" s="2"/>
      <c r="GY70" s="2"/>
      <c r="GZ70" s="2"/>
      <c r="HA70" s="2"/>
      <c r="HB70" s="2"/>
      <c r="HC70" s="2"/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/>
      <c r="IL70" s="2"/>
      <c r="IM70" s="2"/>
      <c r="IN70" s="2"/>
      <c r="IO70" s="2"/>
      <c r="IP70" s="2"/>
      <c r="IQ70" s="2"/>
      <c r="IR70" s="2"/>
      <c r="IS70" s="2"/>
      <c r="IT70" s="2"/>
      <c r="IU70" s="2"/>
      <c r="IV70" s="2"/>
      <c r="IW70" s="2"/>
      <c r="IX70" s="2"/>
      <c r="IY70" s="2"/>
      <c r="IZ70" s="2"/>
      <c r="JA70" s="2"/>
      <c r="JB70" s="2"/>
      <c r="JC70" s="2"/>
      <c r="JD70" s="2"/>
      <c r="JE70" s="2"/>
      <c r="JF70" s="2"/>
      <c r="JG70" s="2"/>
      <c r="JH70" s="2"/>
      <c r="JI70" s="2"/>
      <c r="JJ70" s="2"/>
      <c r="JK70" s="2"/>
      <c r="JL70" s="2"/>
      <c r="JM70" s="2"/>
      <c r="JN70" s="2"/>
      <c r="JO70" s="2"/>
      <c r="JP70" s="2"/>
      <c r="JQ70" s="2"/>
      <c r="JR70" s="2"/>
      <c r="JS70" s="2"/>
      <c r="JT70" s="2"/>
      <c r="JU70" s="2"/>
      <c r="JV70" s="2"/>
      <c r="JW70" s="2"/>
      <c r="JX70" s="2"/>
      <c r="JY70" s="2"/>
      <c r="JZ70" s="2"/>
      <c r="KA70" s="2"/>
      <c r="KB70" s="2"/>
      <c r="KC70" s="2"/>
      <c r="KD70" s="2"/>
      <c r="KE70" s="2"/>
      <c r="KF70" s="2"/>
      <c r="KG70" s="2"/>
      <c r="KH70" s="2"/>
      <c r="KI70" s="2"/>
      <c r="KJ70" s="2"/>
      <c r="KK70" s="2"/>
      <c r="KL70" s="2"/>
      <c r="KM70" s="2"/>
      <c r="KN70" s="2"/>
      <c r="KO70" s="2"/>
      <c r="KP70" s="2"/>
      <c r="KQ70" s="2"/>
      <c r="KR70" s="2"/>
      <c r="KS70" s="2"/>
      <c r="KT70" s="2"/>
      <c r="KU70" s="2"/>
      <c r="KV70" s="2"/>
      <c r="KW70" s="2"/>
      <c r="KX70" s="2"/>
      <c r="KY70" s="2"/>
      <c r="KZ70" s="2"/>
      <c r="LA70" s="2"/>
      <c r="LB70" s="2"/>
      <c r="LC70" s="2"/>
      <c r="LD70" s="2"/>
      <c r="LE70" s="2"/>
      <c r="LF70" s="2"/>
      <c r="LG70" s="2"/>
      <c r="LH70" s="2"/>
      <c r="LI70" s="2"/>
      <c r="LJ70" s="2"/>
      <c r="LK70" s="2"/>
      <c r="LL70" s="2"/>
      <c r="LM70" s="2"/>
      <c r="LN70" s="2"/>
      <c r="LO70" s="2"/>
      <c r="LP70" s="2"/>
      <c r="LQ70" s="2"/>
      <c r="LR70" s="2"/>
      <c r="LS70" s="2"/>
      <c r="LT70" s="2"/>
      <c r="LU70" s="2"/>
      <c r="LV70" s="2"/>
      <c r="LW70" s="2"/>
      <c r="LX70" s="2"/>
      <c r="LY70" s="2"/>
      <c r="LZ70" s="2"/>
      <c r="MA70" s="2"/>
      <c r="MB70" s="2"/>
      <c r="MC70" s="2"/>
    </row>
    <row r="71" spans="2:341" x14ac:dyDescent="0.25">
      <c r="B71" s="2"/>
      <c r="C71" s="2"/>
      <c r="D71" s="3"/>
      <c r="E71" s="1"/>
      <c r="F71" s="1"/>
      <c r="G71" s="1"/>
      <c r="H71" s="1"/>
      <c r="I71" s="1"/>
      <c r="J71" s="1"/>
      <c r="K71" s="123" t="s">
        <v>180</v>
      </c>
      <c r="L71" s="123">
        <v>11758.660348023684</v>
      </c>
      <c r="M71" s="123">
        <v>11.29173132511197</v>
      </c>
      <c r="N71" s="123">
        <v>7185.61844396778</v>
      </c>
      <c r="O71" s="123">
        <v>7.5275094413117882</v>
      </c>
      <c r="P71" s="123">
        <f t="shared" si="2"/>
        <v>4573.0419040559045</v>
      </c>
      <c r="Q71" s="123">
        <f t="shared" si="3"/>
        <v>3.7642218838001815</v>
      </c>
      <c r="R71" s="123">
        <f t="shared" si="0"/>
        <v>214075.96615421571</v>
      </c>
      <c r="S71" s="123">
        <f t="shared" si="1"/>
        <v>143364.57038226799</v>
      </c>
      <c r="T71" s="123">
        <f t="shared" si="4"/>
        <v>1</v>
      </c>
      <c r="U71" s="123">
        <f t="shared" si="5"/>
        <v>0</v>
      </c>
      <c r="V71" s="1"/>
      <c r="W71" s="122">
        <v>56000</v>
      </c>
      <c r="X71" s="125">
        <v>0.5</v>
      </c>
      <c r="Y71" s="125">
        <v>0.5</v>
      </c>
      <c r="Z71" s="9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GS71" s="2"/>
      <c r="GT71" s="2"/>
      <c r="GU71" s="2"/>
      <c r="GV71" s="2"/>
      <c r="GW71" s="2"/>
      <c r="GX71" s="2"/>
      <c r="GY71" s="2"/>
      <c r="GZ71" s="2"/>
      <c r="HA71" s="2"/>
      <c r="HB71" s="2"/>
      <c r="HC71" s="2"/>
      <c r="HD71" s="2"/>
      <c r="HE71" s="2"/>
      <c r="HF71" s="2"/>
      <c r="HG71" s="2"/>
      <c r="HH71" s="2"/>
      <c r="HI71" s="2"/>
      <c r="HJ71" s="2"/>
      <c r="HK71" s="2"/>
      <c r="HL71" s="2"/>
      <c r="HM71" s="2"/>
      <c r="HN71" s="2"/>
      <c r="HO71" s="2"/>
      <c r="HP71" s="2"/>
      <c r="HQ71" s="2"/>
      <c r="HR71" s="2"/>
      <c r="HS71" s="2"/>
      <c r="HT71" s="2"/>
      <c r="HU71" s="2"/>
      <c r="HV71" s="2"/>
      <c r="HW71" s="2"/>
      <c r="HX71" s="2"/>
      <c r="HY71" s="2"/>
      <c r="HZ71" s="2"/>
      <c r="IA71" s="2"/>
      <c r="IB71" s="2"/>
      <c r="IC71" s="2"/>
      <c r="ID71" s="2"/>
      <c r="IE71" s="2"/>
      <c r="IF71" s="2"/>
      <c r="IG71" s="2"/>
      <c r="IH71" s="2"/>
      <c r="II71" s="2"/>
      <c r="IJ71" s="2"/>
      <c r="IK71" s="2"/>
      <c r="IL71" s="2"/>
      <c r="IM71" s="2"/>
      <c r="IN71" s="2"/>
      <c r="IO71" s="2"/>
      <c r="IP71" s="2"/>
      <c r="IQ71" s="2"/>
      <c r="IR71" s="2"/>
      <c r="IS71" s="2"/>
      <c r="IT71" s="2"/>
      <c r="IU71" s="2"/>
      <c r="IV71" s="2"/>
      <c r="IW71" s="2"/>
      <c r="IX71" s="2"/>
      <c r="IY71" s="2"/>
      <c r="IZ71" s="2"/>
      <c r="JA71" s="2"/>
      <c r="JB71" s="2"/>
      <c r="JC71" s="2"/>
      <c r="JD71" s="2"/>
      <c r="JE71" s="2"/>
      <c r="JF71" s="2"/>
      <c r="JG71" s="2"/>
      <c r="JH71" s="2"/>
      <c r="JI71" s="2"/>
      <c r="JJ71" s="2"/>
      <c r="JK71" s="2"/>
      <c r="JL71" s="2"/>
      <c r="JM71" s="2"/>
      <c r="JN71" s="2"/>
      <c r="JO71" s="2"/>
      <c r="JP71" s="2"/>
      <c r="JQ71" s="2"/>
      <c r="JR71" s="2"/>
      <c r="JS71" s="2"/>
      <c r="JT71" s="2"/>
      <c r="JU71" s="2"/>
      <c r="JV71" s="2"/>
      <c r="JW71" s="2"/>
      <c r="JX71" s="2"/>
      <c r="JY71" s="2"/>
      <c r="JZ71" s="2"/>
      <c r="KA71" s="2"/>
      <c r="KB71" s="2"/>
      <c r="KC71" s="2"/>
      <c r="KD71" s="2"/>
      <c r="KE71" s="2"/>
      <c r="KF71" s="2"/>
      <c r="KG71" s="2"/>
      <c r="KH71" s="2"/>
      <c r="KI71" s="2"/>
      <c r="KJ71" s="2"/>
      <c r="KK71" s="2"/>
      <c r="KL71" s="2"/>
      <c r="KM71" s="2"/>
      <c r="KN71" s="2"/>
      <c r="KO71" s="2"/>
      <c r="KP71" s="2"/>
      <c r="KQ71" s="2"/>
      <c r="KR71" s="2"/>
      <c r="KS71" s="2"/>
      <c r="KT71" s="2"/>
      <c r="KU71" s="2"/>
      <c r="KV71" s="2"/>
      <c r="KW71" s="2"/>
      <c r="KX71" s="2"/>
      <c r="KY71" s="2"/>
      <c r="KZ71" s="2"/>
      <c r="LA71" s="2"/>
      <c r="LB71" s="2"/>
      <c r="LC71" s="2"/>
      <c r="LD71" s="2"/>
      <c r="LE71" s="2"/>
      <c r="LF71" s="2"/>
      <c r="LG71" s="2"/>
      <c r="LH71" s="2"/>
      <c r="LI71" s="2"/>
      <c r="LJ71" s="2"/>
      <c r="LK71" s="2"/>
      <c r="LL71" s="2"/>
      <c r="LM71" s="2"/>
      <c r="LN71" s="2"/>
      <c r="LO71" s="2"/>
      <c r="LP71" s="2"/>
      <c r="LQ71" s="2"/>
      <c r="LR71" s="2"/>
      <c r="LS71" s="2"/>
      <c r="LT71" s="2"/>
      <c r="LU71" s="2"/>
      <c r="LV71" s="2"/>
      <c r="LW71" s="2"/>
      <c r="LX71" s="2"/>
      <c r="LY71" s="2"/>
      <c r="LZ71" s="2"/>
      <c r="MA71" s="2"/>
      <c r="MB71" s="2"/>
      <c r="MC71" s="2"/>
    </row>
    <row r="72" spans="2:341" x14ac:dyDescent="0.25">
      <c r="B72" s="2"/>
      <c r="C72" s="2"/>
      <c r="D72" s="3"/>
      <c r="E72" s="1"/>
      <c r="F72" s="1"/>
      <c r="G72" s="1"/>
      <c r="H72" s="1"/>
      <c r="I72" s="1"/>
      <c r="J72" s="1"/>
      <c r="K72" s="123" t="s">
        <v>181</v>
      </c>
      <c r="L72" s="123">
        <v>11894.785453623525</v>
      </c>
      <c r="M72" s="123">
        <v>10.904525063537083</v>
      </c>
      <c r="N72" s="123">
        <v>8303.2070711607066</v>
      </c>
      <c r="O72" s="123">
        <v>8.6055813912096308</v>
      </c>
      <c r="P72" s="123">
        <f t="shared" si="2"/>
        <v>3591.5783824628179</v>
      </c>
      <c r="Q72" s="123">
        <f t="shared" si="3"/>
        <v>2.2989436723274519</v>
      </c>
      <c r="R72" s="123">
        <f t="shared" si="0"/>
        <v>206195.71581711812</v>
      </c>
      <c r="S72" s="123">
        <f t="shared" si="1"/>
        <v>163808.42075303191</v>
      </c>
      <c r="T72" s="123">
        <f t="shared" si="4"/>
        <v>1</v>
      </c>
      <c r="U72" s="123">
        <f t="shared" si="5"/>
        <v>0</v>
      </c>
      <c r="V72" s="1"/>
      <c r="W72" s="127">
        <v>57000</v>
      </c>
      <c r="X72" s="125">
        <v>0.5</v>
      </c>
      <c r="Y72" s="125">
        <v>0.5</v>
      </c>
      <c r="Z72" s="9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GS72" s="2"/>
      <c r="GT72" s="2"/>
      <c r="GU72" s="2"/>
      <c r="GV72" s="2"/>
      <c r="GW72" s="2"/>
      <c r="GX72" s="2"/>
      <c r="GY72" s="2"/>
      <c r="GZ72" s="2"/>
      <c r="HA72" s="2"/>
      <c r="HB72" s="2"/>
      <c r="HC72" s="2"/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D72" s="2"/>
      <c r="IE72" s="2"/>
      <c r="IF72" s="2"/>
      <c r="IG72" s="2"/>
      <c r="IH72" s="2"/>
      <c r="II72" s="2"/>
      <c r="IJ72" s="2"/>
      <c r="IK72" s="2"/>
      <c r="IL72" s="2"/>
      <c r="IM72" s="2"/>
      <c r="IN72" s="2"/>
      <c r="IO72" s="2"/>
      <c r="IP72" s="2"/>
      <c r="IQ72" s="2"/>
      <c r="IR72" s="2"/>
      <c r="IS72" s="2"/>
      <c r="IT72" s="2"/>
      <c r="IU72" s="2"/>
      <c r="IV72" s="2"/>
      <c r="IW72" s="2"/>
      <c r="IX72" s="2"/>
      <c r="IY72" s="2"/>
      <c r="IZ72" s="2"/>
      <c r="JA72" s="2"/>
      <c r="JB72" s="2"/>
      <c r="JC72" s="2"/>
      <c r="JD72" s="2"/>
      <c r="JE72" s="2"/>
      <c r="JF72" s="2"/>
      <c r="JG72" s="2"/>
      <c r="JH72" s="2"/>
      <c r="JI72" s="2"/>
      <c r="JJ72" s="2"/>
      <c r="JK72" s="2"/>
      <c r="JL72" s="2"/>
      <c r="JM72" s="2"/>
      <c r="JN72" s="2"/>
      <c r="JO72" s="2"/>
      <c r="JP72" s="2"/>
      <c r="JQ72" s="2"/>
      <c r="JR72" s="2"/>
      <c r="JS72" s="2"/>
      <c r="JT72" s="2"/>
      <c r="JU72" s="2"/>
      <c r="JV72" s="2"/>
      <c r="JW72" s="2"/>
      <c r="JX72" s="2"/>
      <c r="JY72" s="2"/>
      <c r="JZ72" s="2"/>
      <c r="KA72" s="2"/>
      <c r="KB72" s="2"/>
      <c r="KC72" s="2"/>
      <c r="KD72" s="2"/>
      <c r="KE72" s="2"/>
      <c r="KF72" s="2"/>
      <c r="KG72" s="2"/>
      <c r="KH72" s="2"/>
      <c r="KI72" s="2"/>
      <c r="KJ72" s="2"/>
      <c r="KK72" s="2"/>
      <c r="KL72" s="2"/>
      <c r="KM72" s="2"/>
      <c r="KN72" s="2"/>
      <c r="KO72" s="2"/>
      <c r="KP72" s="2"/>
      <c r="KQ72" s="2"/>
      <c r="KR72" s="2"/>
      <c r="KS72" s="2"/>
      <c r="KT72" s="2"/>
      <c r="KU72" s="2"/>
      <c r="KV72" s="2"/>
      <c r="KW72" s="2"/>
      <c r="KX72" s="2"/>
      <c r="KY72" s="2"/>
      <c r="KZ72" s="2"/>
      <c r="LA72" s="2"/>
      <c r="LB72" s="2"/>
      <c r="LC72" s="2"/>
      <c r="LD72" s="2"/>
      <c r="LE72" s="2"/>
      <c r="LF72" s="2"/>
      <c r="LG72" s="2"/>
      <c r="LH72" s="2"/>
      <c r="LI72" s="2"/>
      <c r="LJ72" s="2"/>
      <c r="LK72" s="2"/>
      <c r="LL72" s="2"/>
      <c r="LM72" s="2"/>
      <c r="LN72" s="2"/>
      <c r="LO72" s="2"/>
      <c r="LP72" s="2"/>
      <c r="LQ72" s="2"/>
      <c r="LR72" s="2"/>
      <c r="LS72" s="2"/>
      <c r="LT72" s="2"/>
      <c r="LU72" s="2"/>
      <c r="LV72" s="2"/>
      <c r="LW72" s="2"/>
      <c r="LX72" s="2"/>
      <c r="LY72" s="2"/>
      <c r="LZ72" s="2"/>
      <c r="MA72" s="2"/>
      <c r="MB72" s="2"/>
      <c r="MC72" s="2"/>
    </row>
    <row r="73" spans="2:341" x14ac:dyDescent="0.25">
      <c r="B73" s="2"/>
      <c r="C73" s="2"/>
      <c r="D73" s="3"/>
      <c r="E73" s="1"/>
      <c r="F73" s="1"/>
      <c r="G73" s="1"/>
      <c r="H73" s="1"/>
      <c r="I73" s="1"/>
      <c r="J73" s="1"/>
      <c r="K73" s="123" t="s">
        <v>182</v>
      </c>
      <c r="L73" s="123">
        <v>6584.2439961971313</v>
      </c>
      <c r="M73" s="123">
        <v>6.0197867450600473</v>
      </c>
      <c r="N73" s="123">
        <v>8078.1920000663577</v>
      </c>
      <c r="O73" s="123">
        <v>7.7238906277242947</v>
      </c>
      <c r="P73" s="123">
        <f t="shared" si="2"/>
        <v>-1493.9480038692263</v>
      </c>
      <c r="Q73" s="123">
        <f t="shared" si="3"/>
        <v>-1.7041038826642474</v>
      </c>
      <c r="R73" s="123">
        <f t="shared" si="0"/>
        <v>113811.49090500383</v>
      </c>
      <c r="S73" s="123">
        <f t="shared" si="1"/>
        <v>146399.62055441953</v>
      </c>
      <c r="T73" s="123">
        <f t="shared" si="4"/>
        <v>0</v>
      </c>
      <c r="U73" s="123">
        <f t="shared" si="5"/>
        <v>1</v>
      </c>
      <c r="V73" s="1"/>
      <c r="W73" s="122">
        <v>58000</v>
      </c>
      <c r="X73" s="125">
        <v>0.5</v>
      </c>
      <c r="Y73" s="125">
        <v>0.5</v>
      </c>
      <c r="Z73" s="9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  <c r="GH73" s="2"/>
      <c r="GI73" s="2"/>
      <c r="GJ73" s="2"/>
      <c r="GK73" s="2"/>
      <c r="GL73" s="2"/>
      <c r="GM73" s="2"/>
      <c r="GN73" s="2"/>
      <c r="GO73" s="2"/>
      <c r="GP73" s="2"/>
      <c r="GQ73" s="2"/>
      <c r="GR73" s="2"/>
      <c r="GS73" s="2"/>
      <c r="GT73" s="2"/>
      <c r="GU73" s="2"/>
      <c r="GV73" s="2"/>
      <c r="GW73" s="2"/>
      <c r="GX73" s="2"/>
      <c r="GY73" s="2"/>
      <c r="GZ73" s="2"/>
      <c r="HA73" s="2"/>
      <c r="HB73" s="2"/>
      <c r="HC73" s="2"/>
      <c r="HD73" s="2"/>
      <c r="HE73" s="2"/>
      <c r="HF73" s="2"/>
      <c r="HG73" s="2"/>
      <c r="HH73" s="2"/>
      <c r="HI73" s="2"/>
      <c r="HJ73" s="2"/>
      <c r="HK73" s="2"/>
      <c r="HL73" s="2"/>
      <c r="HM73" s="2"/>
      <c r="HN73" s="2"/>
      <c r="HO73" s="2"/>
      <c r="HP73" s="2"/>
      <c r="HQ73" s="2"/>
      <c r="HR73" s="2"/>
      <c r="HS73" s="2"/>
      <c r="HT73" s="2"/>
      <c r="HU73" s="2"/>
      <c r="HV73" s="2"/>
      <c r="HW73" s="2"/>
      <c r="HX73" s="2"/>
      <c r="HY73" s="2"/>
      <c r="HZ73" s="2"/>
      <c r="IA73" s="2"/>
      <c r="IB73" s="2"/>
      <c r="IC73" s="2"/>
      <c r="ID73" s="2"/>
      <c r="IE73" s="2"/>
      <c r="IF73" s="2"/>
      <c r="IG73" s="2"/>
      <c r="IH73" s="2"/>
      <c r="II73" s="2"/>
      <c r="IJ73" s="2"/>
      <c r="IK73" s="2"/>
      <c r="IL73" s="2"/>
      <c r="IM73" s="2"/>
      <c r="IN73" s="2"/>
      <c r="IO73" s="2"/>
      <c r="IP73" s="2"/>
      <c r="IQ73" s="2"/>
      <c r="IR73" s="2"/>
      <c r="IS73" s="2"/>
      <c r="IT73" s="2"/>
      <c r="IU73" s="2"/>
      <c r="IV73" s="2"/>
      <c r="IW73" s="2"/>
      <c r="IX73" s="2"/>
      <c r="IY73" s="2"/>
      <c r="IZ73" s="2"/>
      <c r="JA73" s="2"/>
      <c r="JB73" s="2"/>
      <c r="JC73" s="2"/>
      <c r="JD73" s="2"/>
      <c r="JE73" s="2"/>
      <c r="JF73" s="2"/>
      <c r="JG73" s="2"/>
      <c r="JH73" s="2"/>
      <c r="JI73" s="2"/>
      <c r="JJ73" s="2"/>
      <c r="JK73" s="2"/>
      <c r="JL73" s="2"/>
      <c r="JM73" s="2"/>
      <c r="JN73" s="2"/>
      <c r="JO73" s="2"/>
      <c r="JP73" s="2"/>
      <c r="JQ73" s="2"/>
      <c r="JR73" s="2"/>
      <c r="JS73" s="2"/>
      <c r="JT73" s="2"/>
      <c r="JU73" s="2"/>
      <c r="JV73" s="2"/>
      <c r="JW73" s="2"/>
      <c r="JX73" s="2"/>
      <c r="JY73" s="2"/>
      <c r="JZ73" s="2"/>
      <c r="KA73" s="2"/>
      <c r="KB73" s="2"/>
      <c r="KC73" s="2"/>
      <c r="KD73" s="2"/>
      <c r="KE73" s="2"/>
      <c r="KF73" s="2"/>
      <c r="KG73" s="2"/>
      <c r="KH73" s="2"/>
      <c r="KI73" s="2"/>
      <c r="KJ73" s="2"/>
      <c r="KK73" s="2"/>
      <c r="KL73" s="2"/>
      <c r="KM73" s="2"/>
      <c r="KN73" s="2"/>
      <c r="KO73" s="2"/>
      <c r="KP73" s="2"/>
      <c r="KQ73" s="2"/>
      <c r="KR73" s="2"/>
      <c r="KS73" s="2"/>
      <c r="KT73" s="2"/>
      <c r="KU73" s="2"/>
      <c r="KV73" s="2"/>
      <c r="KW73" s="2"/>
      <c r="KX73" s="2"/>
      <c r="KY73" s="2"/>
      <c r="KZ73" s="2"/>
      <c r="LA73" s="2"/>
      <c r="LB73" s="2"/>
      <c r="LC73" s="2"/>
      <c r="LD73" s="2"/>
      <c r="LE73" s="2"/>
      <c r="LF73" s="2"/>
      <c r="LG73" s="2"/>
      <c r="LH73" s="2"/>
      <c r="LI73" s="2"/>
      <c r="LJ73" s="2"/>
      <c r="LK73" s="2"/>
      <c r="LL73" s="2"/>
      <c r="LM73" s="2"/>
      <c r="LN73" s="2"/>
      <c r="LO73" s="2"/>
      <c r="LP73" s="2"/>
      <c r="LQ73" s="2"/>
      <c r="LR73" s="2"/>
      <c r="LS73" s="2"/>
      <c r="LT73" s="2"/>
      <c r="LU73" s="2"/>
      <c r="LV73" s="2"/>
      <c r="LW73" s="2"/>
      <c r="LX73" s="2"/>
      <c r="LY73" s="2"/>
      <c r="LZ73" s="2"/>
      <c r="MA73" s="2"/>
      <c r="MB73" s="2"/>
      <c r="MC73" s="2"/>
    </row>
    <row r="74" spans="2:341" x14ac:dyDescent="0.25">
      <c r="B74" s="2"/>
      <c r="C74" s="2"/>
      <c r="D74" s="3"/>
      <c r="E74" s="1"/>
      <c r="F74" s="1"/>
      <c r="G74" s="1"/>
      <c r="H74" s="1"/>
      <c r="I74" s="1"/>
      <c r="J74" s="1"/>
      <c r="K74" s="123" t="s">
        <v>183</v>
      </c>
      <c r="L74" s="123">
        <v>5988.3027791218519</v>
      </c>
      <c r="M74" s="123">
        <v>5.6737043981193835</v>
      </c>
      <c r="N74" s="123">
        <v>7105.9298091070614</v>
      </c>
      <c r="O74" s="123">
        <v>7.0605474797163108</v>
      </c>
      <c r="P74" s="123">
        <f t="shared" si="2"/>
        <v>-1117.6270299852094</v>
      </c>
      <c r="Q74" s="123">
        <f t="shared" si="3"/>
        <v>-1.3868430815969273</v>
      </c>
      <c r="R74" s="123">
        <f t="shared" si="0"/>
        <v>107485.78518326582</v>
      </c>
      <c r="S74" s="123">
        <f t="shared" si="1"/>
        <v>134105.01978521916</v>
      </c>
      <c r="T74" s="123">
        <f t="shared" si="4"/>
        <v>0</v>
      </c>
      <c r="U74" s="123">
        <f t="shared" si="5"/>
        <v>1</v>
      </c>
      <c r="V74" s="1"/>
      <c r="W74" s="127">
        <v>59000</v>
      </c>
      <c r="X74" s="125">
        <v>0.5</v>
      </c>
      <c r="Y74" s="125">
        <v>0.5</v>
      </c>
      <c r="Z74" s="9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GS74" s="2"/>
      <c r="GT74" s="2"/>
      <c r="GU74" s="2"/>
      <c r="GV74" s="2"/>
      <c r="GW74" s="2"/>
      <c r="GX74" s="2"/>
      <c r="GY74" s="2"/>
      <c r="GZ74" s="2"/>
      <c r="HA74" s="2"/>
      <c r="HB74" s="2"/>
      <c r="HC74" s="2"/>
      <c r="HD74" s="2"/>
      <c r="HE74" s="2"/>
      <c r="HF74" s="2"/>
      <c r="HG74" s="2"/>
      <c r="HH74" s="2"/>
      <c r="HI74" s="2"/>
      <c r="HJ74" s="2"/>
      <c r="HK74" s="2"/>
      <c r="HL74" s="2"/>
      <c r="HM74" s="2"/>
      <c r="HN74" s="2"/>
      <c r="HO74" s="2"/>
      <c r="HP74" s="2"/>
      <c r="HQ74" s="2"/>
      <c r="HR74" s="2"/>
      <c r="HS74" s="2"/>
      <c r="HT74" s="2"/>
      <c r="HU74" s="2"/>
      <c r="HV74" s="2"/>
      <c r="HW74" s="2"/>
      <c r="HX74" s="2"/>
      <c r="HY74" s="2"/>
      <c r="HZ74" s="2"/>
      <c r="IA74" s="2"/>
      <c r="IB74" s="2"/>
      <c r="IC74" s="2"/>
      <c r="ID74" s="2"/>
      <c r="IE74" s="2"/>
      <c r="IF74" s="2"/>
      <c r="IG74" s="2"/>
      <c r="IH74" s="2"/>
      <c r="II74" s="2"/>
      <c r="IJ74" s="2"/>
      <c r="IK74" s="2"/>
      <c r="IL74" s="2"/>
      <c r="IM74" s="2"/>
      <c r="IN74" s="2"/>
      <c r="IO74" s="2"/>
      <c r="IP74" s="2"/>
      <c r="IQ74" s="2"/>
      <c r="IR74" s="2"/>
      <c r="IS74" s="2"/>
      <c r="IT74" s="2"/>
      <c r="IU74" s="2"/>
      <c r="IV74" s="2"/>
      <c r="IW74" s="2"/>
      <c r="IX74" s="2"/>
      <c r="IY74" s="2"/>
      <c r="IZ74" s="2"/>
      <c r="JA74" s="2"/>
      <c r="JB74" s="2"/>
      <c r="JC74" s="2"/>
      <c r="JD74" s="2"/>
      <c r="JE74" s="2"/>
      <c r="JF74" s="2"/>
      <c r="JG74" s="2"/>
      <c r="JH74" s="2"/>
      <c r="JI74" s="2"/>
      <c r="JJ74" s="2"/>
      <c r="JK74" s="2"/>
      <c r="JL74" s="2"/>
      <c r="JM74" s="2"/>
      <c r="JN74" s="2"/>
      <c r="JO74" s="2"/>
      <c r="JP74" s="2"/>
      <c r="JQ74" s="2"/>
      <c r="JR74" s="2"/>
      <c r="JS74" s="2"/>
      <c r="JT74" s="2"/>
      <c r="JU74" s="2"/>
      <c r="JV74" s="2"/>
      <c r="JW74" s="2"/>
      <c r="JX74" s="2"/>
      <c r="JY74" s="2"/>
      <c r="JZ74" s="2"/>
      <c r="KA74" s="2"/>
      <c r="KB74" s="2"/>
      <c r="KC74" s="2"/>
      <c r="KD74" s="2"/>
      <c r="KE74" s="2"/>
      <c r="KF74" s="2"/>
      <c r="KG74" s="2"/>
      <c r="KH74" s="2"/>
      <c r="KI74" s="2"/>
      <c r="KJ74" s="2"/>
      <c r="KK74" s="2"/>
      <c r="KL74" s="2"/>
      <c r="KM74" s="2"/>
      <c r="KN74" s="2"/>
      <c r="KO74" s="2"/>
      <c r="KP74" s="2"/>
      <c r="KQ74" s="2"/>
      <c r="KR74" s="2"/>
      <c r="KS74" s="2"/>
      <c r="KT74" s="2"/>
      <c r="KU74" s="2"/>
      <c r="KV74" s="2"/>
      <c r="KW74" s="2"/>
      <c r="KX74" s="2"/>
      <c r="KY74" s="2"/>
      <c r="KZ74" s="2"/>
      <c r="LA74" s="2"/>
      <c r="LB74" s="2"/>
      <c r="LC74" s="2"/>
      <c r="LD74" s="2"/>
      <c r="LE74" s="2"/>
      <c r="LF74" s="2"/>
      <c r="LG74" s="2"/>
      <c r="LH74" s="2"/>
      <c r="LI74" s="2"/>
      <c r="LJ74" s="2"/>
      <c r="LK74" s="2"/>
      <c r="LL74" s="2"/>
      <c r="LM74" s="2"/>
      <c r="LN74" s="2"/>
      <c r="LO74" s="2"/>
      <c r="LP74" s="2"/>
      <c r="LQ74" s="2"/>
      <c r="LR74" s="2"/>
      <c r="LS74" s="2"/>
      <c r="LT74" s="2"/>
      <c r="LU74" s="2"/>
      <c r="LV74" s="2"/>
      <c r="LW74" s="2"/>
      <c r="LX74" s="2"/>
      <c r="LY74" s="2"/>
      <c r="LZ74" s="2"/>
      <c r="MA74" s="2"/>
      <c r="MB74" s="2"/>
      <c r="MC74" s="2"/>
    </row>
    <row r="75" spans="2:341" x14ac:dyDescent="0.25">
      <c r="B75" s="2"/>
      <c r="C75" s="2"/>
      <c r="D75" s="3"/>
      <c r="E75" s="1"/>
      <c r="F75" s="1"/>
      <c r="G75" s="1"/>
      <c r="H75" s="1"/>
      <c r="I75" s="1"/>
      <c r="J75" s="1"/>
      <c r="K75" s="123" t="s">
        <v>184</v>
      </c>
      <c r="L75" s="123">
        <v>7649.8235854826289</v>
      </c>
      <c r="M75" s="123">
        <v>6.9740416940341641</v>
      </c>
      <c r="N75" s="123">
        <v>7858.7429168059634</v>
      </c>
      <c r="O75" s="123">
        <v>7.7312922064319993</v>
      </c>
      <c r="P75" s="123">
        <f t="shared" si="2"/>
        <v>-208.91933132333452</v>
      </c>
      <c r="Q75" s="123">
        <f t="shared" si="3"/>
        <v>-0.75725051239783525</v>
      </c>
      <c r="R75" s="123">
        <f t="shared" si="0"/>
        <v>131831.01029520066</v>
      </c>
      <c r="S75" s="123">
        <f t="shared" si="1"/>
        <v>146767.10121183403</v>
      </c>
      <c r="T75" s="123">
        <f t="shared" si="4"/>
        <v>0</v>
      </c>
      <c r="U75" s="123">
        <f t="shared" si="5"/>
        <v>1</v>
      </c>
      <c r="V75" s="1"/>
      <c r="W75" s="122">
        <v>60000</v>
      </c>
      <c r="X75" s="125">
        <v>0.5</v>
      </c>
      <c r="Y75" s="125">
        <v>0.5</v>
      </c>
      <c r="Z75" s="9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  <c r="FY75" s="2"/>
      <c r="FZ75" s="2"/>
      <c r="GA75" s="2"/>
      <c r="GB75" s="2"/>
      <c r="GC75" s="2"/>
      <c r="GD75" s="2"/>
      <c r="GE75" s="2"/>
      <c r="GF75" s="2"/>
      <c r="GG75" s="2"/>
      <c r="GH75" s="2"/>
      <c r="GI75" s="2"/>
      <c r="GJ75" s="2"/>
      <c r="GK75" s="2"/>
      <c r="GL75" s="2"/>
      <c r="GM75" s="2"/>
      <c r="GN75" s="2"/>
      <c r="GO75" s="2"/>
      <c r="GP75" s="2"/>
      <c r="GQ75" s="2"/>
      <c r="GR75" s="2"/>
      <c r="GS75" s="2"/>
      <c r="GT75" s="2"/>
      <c r="GU75" s="2"/>
      <c r="GV75" s="2"/>
      <c r="GW75" s="2"/>
      <c r="GX75" s="2"/>
      <c r="GY75" s="2"/>
      <c r="GZ75" s="2"/>
      <c r="HA75" s="2"/>
      <c r="HB75" s="2"/>
      <c r="HC75" s="2"/>
      <c r="HD75" s="2"/>
      <c r="HE75" s="2"/>
      <c r="HF75" s="2"/>
      <c r="HG75" s="2"/>
      <c r="HH75" s="2"/>
      <c r="HI75" s="2"/>
      <c r="HJ75" s="2"/>
      <c r="HK75" s="2"/>
      <c r="HL75" s="2"/>
      <c r="HM75" s="2"/>
      <c r="HN75" s="2"/>
      <c r="HO75" s="2"/>
      <c r="HP75" s="2"/>
      <c r="HQ75" s="2"/>
      <c r="HR75" s="2"/>
      <c r="HS75" s="2"/>
      <c r="HT75" s="2"/>
      <c r="HU75" s="2"/>
      <c r="HV75" s="2"/>
      <c r="HW75" s="2"/>
      <c r="HX75" s="2"/>
      <c r="HY75" s="2"/>
      <c r="HZ75" s="2"/>
      <c r="IA75" s="2"/>
      <c r="IB75" s="2"/>
      <c r="IC75" s="2"/>
      <c r="ID75" s="2"/>
      <c r="IE75" s="2"/>
      <c r="IF75" s="2"/>
      <c r="IG75" s="2"/>
      <c r="IH75" s="2"/>
      <c r="II75" s="2"/>
      <c r="IJ75" s="2"/>
      <c r="IK75" s="2"/>
      <c r="IL75" s="2"/>
      <c r="IM75" s="2"/>
      <c r="IN75" s="2"/>
      <c r="IO75" s="2"/>
      <c r="IP75" s="2"/>
      <c r="IQ75" s="2"/>
      <c r="IR75" s="2"/>
      <c r="IS75" s="2"/>
      <c r="IT75" s="2"/>
      <c r="IU75" s="2"/>
      <c r="IV75" s="2"/>
      <c r="IW75" s="2"/>
      <c r="IX75" s="2"/>
      <c r="IY75" s="2"/>
      <c r="IZ75" s="2"/>
      <c r="JA75" s="2"/>
      <c r="JB75" s="2"/>
      <c r="JC75" s="2"/>
      <c r="JD75" s="2"/>
      <c r="JE75" s="2"/>
      <c r="JF75" s="2"/>
      <c r="JG75" s="2"/>
      <c r="JH75" s="2"/>
      <c r="JI75" s="2"/>
      <c r="JJ75" s="2"/>
      <c r="JK75" s="2"/>
      <c r="JL75" s="2"/>
      <c r="JM75" s="2"/>
      <c r="JN75" s="2"/>
      <c r="JO75" s="2"/>
      <c r="JP75" s="2"/>
      <c r="JQ75" s="2"/>
      <c r="JR75" s="2"/>
      <c r="JS75" s="2"/>
      <c r="JT75" s="2"/>
      <c r="JU75" s="2"/>
      <c r="JV75" s="2"/>
      <c r="JW75" s="2"/>
      <c r="JX75" s="2"/>
      <c r="JY75" s="2"/>
      <c r="JZ75" s="2"/>
      <c r="KA75" s="2"/>
      <c r="KB75" s="2"/>
      <c r="KC75" s="2"/>
      <c r="KD75" s="2"/>
      <c r="KE75" s="2"/>
      <c r="KF75" s="2"/>
      <c r="KG75" s="2"/>
      <c r="KH75" s="2"/>
      <c r="KI75" s="2"/>
      <c r="KJ75" s="2"/>
      <c r="KK75" s="2"/>
      <c r="KL75" s="2"/>
      <c r="KM75" s="2"/>
      <c r="KN75" s="2"/>
      <c r="KO75" s="2"/>
      <c r="KP75" s="2"/>
      <c r="KQ75" s="2"/>
      <c r="KR75" s="2"/>
      <c r="KS75" s="2"/>
      <c r="KT75" s="2"/>
      <c r="KU75" s="2"/>
      <c r="KV75" s="2"/>
      <c r="KW75" s="2"/>
      <c r="KX75" s="2"/>
      <c r="KY75" s="2"/>
      <c r="KZ75" s="2"/>
      <c r="LA75" s="2"/>
      <c r="LB75" s="2"/>
      <c r="LC75" s="2"/>
      <c r="LD75" s="2"/>
      <c r="LE75" s="2"/>
      <c r="LF75" s="2"/>
      <c r="LG75" s="2"/>
      <c r="LH75" s="2"/>
      <c r="LI75" s="2"/>
      <c r="LJ75" s="2"/>
      <c r="LK75" s="2"/>
      <c r="LL75" s="2"/>
      <c r="LM75" s="2"/>
      <c r="LN75" s="2"/>
      <c r="LO75" s="2"/>
      <c r="LP75" s="2"/>
      <c r="LQ75" s="2"/>
      <c r="LR75" s="2"/>
      <c r="LS75" s="2"/>
      <c r="LT75" s="2"/>
      <c r="LU75" s="2"/>
      <c r="LV75" s="2"/>
      <c r="LW75" s="2"/>
      <c r="LX75" s="2"/>
      <c r="LY75" s="2"/>
      <c r="LZ75" s="2"/>
      <c r="MA75" s="2"/>
      <c r="MB75" s="2"/>
      <c r="MC75" s="2"/>
    </row>
    <row r="76" spans="2:341" x14ac:dyDescent="0.25">
      <c r="B76" s="2"/>
      <c r="C76" s="2"/>
      <c r="D76" s="3"/>
      <c r="E76" s="1"/>
      <c r="F76" s="1"/>
      <c r="G76" s="1"/>
      <c r="H76" s="1"/>
      <c r="I76" s="1"/>
      <c r="J76" s="1"/>
      <c r="K76" s="123" t="s">
        <v>185</v>
      </c>
      <c r="L76" s="123">
        <v>8784.30668932771</v>
      </c>
      <c r="M76" s="123">
        <v>8.1805209593982795</v>
      </c>
      <c r="N76" s="123">
        <v>7978.6696558078356</v>
      </c>
      <c r="O76" s="123">
        <v>7.6919235586634098</v>
      </c>
      <c r="P76" s="123">
        <f t="shared" si="2"/>
        <v>805.63703351987442</v>
      </c>
      <c r="Q76" s="123">
        <f t="shared" si="3"/>
        <v>0.48859740073486968</v>
      </c>
      <c r="R76" s="123">
        <f t="shared" si="0"/>
        <v>154826.1124986379</v>
      </c>
      <c r="S76" s="123">
        <f t="shared" si="1"/>
        <v>145859.80151746035</v>
      </c>
      <c r="T76" s="123">
        <f t="shared" si="4"/>
        <v>1</v>
      </c>
      <c r="U76" s="123">
        <f t="shared" si="5"/>
        <v>0</v>
      </c>
      <c r="V76" s="1"/>
      <c r="W76" s="127">
        <v>61000</v>
      </c>
      <c r="X76" s="125">
        <v>0.5</v>
      </c>
      <c r="Y76" s="125">
        <v>0.5</v>
      </c>
      <c r="Z76" s="9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  <c r="FY76" s="2"/>
      <c r="FZ76" s="2"/>
      <c r="GA76" s="2"/>
      <c r="GB76" s="2"/>
      <c r="GC76" s="2"/>
      <c r="GD76" s="2"/>
      <c r="GE76" s="2"/>
      <c r="GF76" s="2"/>
      <c r="GG76" s="2"/>
      <c r="GH76" s="2"/>
      <c r="GI76" s="2"/>
      <c r="GJ76" s="2"/>
      <c r="GK76" s="2"/>
      <c r="GL76" s="2"/>
      <c r="GM76" s="2"/>
      <c r="GN76" s="2"/>
      <c r="GO76" s="2"/>
      <c r="GP76" s="2"/>
      <c r="GQ76" s="2"/>
      <c r="GR76" s="2"/>
      <c r="GS76" s="2"/>
      <c r="GT76" s="2"/>
      <c r="GU76" s="2"/>
      <c r="GV76" s="2"/>
      <c r="GW76" s="2"/>
      <c r="GX76" s="2"/>
      <c r="GY76" s="2"/>
      <c r="GZ76" s="2"/>
      <c r="HA76" s="2"/>
      <c r="HB76" s="2"/>
      <c r="HC76" s="2"/>
      <c r="HD76" s="2"/>
      <c r="HE76" s="2"/>
      <c r="HF76" s="2"/>
      <c r="HG76" s="2"/>
      <c r="HH76" s="2"/>
      <c r="HI76" s="2"/>
      <c r="HJ76" s="2"/>
      <c r="HK76" s="2"/>
      <c r="HL76" s="2"/>
      <c r="HM76" s="2"/>
      <c r="HN76" s="2"/>
      <c r="HO76" s="2"/>
      <c r="HP76" s="2"/>
      <c r="HQ76" s="2"/>
      <c r="HR76" s="2"/>
      <c r="HS76" s="2"/>
      <c r="HT76" s="2"/>
      <c r="HU76" s="2"/>
      <c r="HV76" s="2"/>
      <c r="HW76" s="2"/>
      <c r="HX76" s="2"/>
      <c r="HY76" s="2"/>
      <c r="HZ76" s="2"/>
      <c r="IA76" s="2"/>
      <c r="IB76" s="2"/>
      <c r="IC76" s="2"/>
      <c r="ID76" s="2"/>
      <c r="IE76" s="2"/>
      <c r="IF76" s="2"/>
      <c r="IG76" s="2"/>
      <c r="IH76" s="2"/>
      <c r="II76" s="2"/>
      <c r="IJ76" s="2"/>
      <c r="IK76" s="2"/>
      <c r="IL76" s="2"/>
      <c r="IM76" s="2"/>
      <c r="IN76" s="2"/>
      <c r="IO76" s="2"/>
      <c r="IP76" s="2"/>
      <c r="IQ76" s="2"/>
      <c r="IR76" s="2"/>
      <c r="IS76" s="2"/>
      <c r="IT76" s="2"/>
      <c r="IU76" s="2"/>
      <c r="IV76" s="2"/>
      <c r="IW76" s="2"/>
      <c r="IX76" s="2"/>
      <c r="IY76" s="2"/>
      <c r="IZ76" s="2"/>
      <c r="JA76" s="2"/>
      <c r="JB76" s="2"/>
      <c r="JC76" s="2"/>
      <c r="JD76" s="2"/>
      <c r="JE76" s="2"/>
      <c r="JF76" s="2"/>
      <c r="JG76" s="2"/>
      <c r="JH76" s="2"/>
      <c r="JI76" s="2"/>
      <c r="JJ76" s="2"/>
      <c r="JK76" s="2"/>
      <c r="JL76" s="2"/>
      <c r="JM76" s="2"/>
      <c r="JN76" s="2"/>
      <c r="JO76" s="2"/>
      <c r="JP76" s="2"/>
      <c r="JQ76" s="2"/>
      <c r="JR76" s="2"/>
      <c r="JS76" s="2"/>
      <c r="JT76" s="2"/>
      <c r="JU76" s="2"/>
      <c r="JV76" s="2"/>
      <c r="JW76" s="2"/>
      <c r="JX76" s="2"/>
      <c r="JY76" s="2"/>
      <c r="JZ76" s="2"/>
      <c r="KA76" s="2"/>
      <c r="KB76" s="2"/>
      <c r="KC76" s="2"/>
      <c r="KD76" s="2"/>
      <c r="KE76" s="2"/>
      <c r="KF76" s="2"/>
      <c r="KG76" s="2"/>
      <c r="KH76" s="2"/>
      <c r="KI76" s="2"/>
      <c r="KJ76" s="2"/>
      <c r="KK76" s="2"/>
      <c r="KL76" s="2"/>
      <c r="KM76" s="2"/>
      <c r="KN76" s="2"/>
      <c r="KO76" s="2"/>
      <c r="KP76" s="2"/>
      <c r="KQ76" s="2"/>
      <c r="KR76" s="2"/>
      <c r="KS76" s="2"/>
      <c r="KT76" s="2"/>
      <c r="KU76" s="2"/>
      <c r="KV76" s="2"/>
      <c r="KW76" s="2"/>
      <c r="KX76" s="2"/>
      <c r="KY76" s="2"/>
      <c r="KZ76" s="2"/>
      <c r="LA76" s="2"/>
      <c r="LB76" s="2"/>
      <c r="LC76" s="2"/>
      <c r="LD76" s="2"/>
      <c r="LE76" s="2"/>
      <c r="LF76" s="2"/>
      <c r="LG76" s="2"/>
      <c r="LH76" s="2"/>
      <c r="LI76" s="2"/>
      <c r="LJ76" s="2"/>
      <c r="LK76" s="2"/>
      <c r="LL76" s="2"/>
      <c r="LM76" s="2"/>
      <c r="LN76" s="2"/>
      <c r="LO76" s="2"/>
      <c r="LP76" s="2"/>
      <c r="LQ76" s="2"/>
      <c r="LR76" s="2"/>
      <c r="LS76" s="2"/>
      <c r="LT76" s="2"/>
      <c r="LU76" s="2"/>
      <c r="LV76" s="2"/>
      <c r="LW76" s="2"/>
      <c r="LX76" s="2"/>
      <c r="LY76" s="2"/>
      <c r="LZ76" s="2"/>
      <c r="MA76" s="2"/>
      <c r="MB76" s="2"/>
      <c r="MC76" s="2"/>
    </row>
    <row r="77" spans="2:341" x14ac:dyDescent="0.25">
      <c r="B77" s="2"/>
      <c r="C77" s="2"/>
      <c r="D77" s="6"/>
      <c r="E77" s="7"/>
      <c r="F77" s="7"/>
      <c r="G77" s="7"/>
      <c r="H77" s="7"/>
      <c r="I77" s="7"/>
      <c r="J77" s="7"/>
      <c r="K77" s="123" t="s">
        <v>186</v>
      </c>
      <c r="L77" s="123">
        <v>9456.7127797591093</v>
      </c>
      <c r="M77" s="123">
        <v>8.8897168957577275</v>
      </c>
      <c r="N77" s="123">
        <v>5898.4244860396993</v>
      </c>
      <c r="O77" s="123">
        <v>6.2643556417823145</v>
      </c>
      <c r="P77" s="123">
        <f t="shared" si="2"/>
        <v>3558.2882937194099</v>
      </c>
      <c r="Q77" s="123">
        <f t="shared" si="3"/>
        <v>2.625361253975413</v>
      </c>
      <c r="R77" s="123">
        <f t="shared" si="0"/>
        <v>168337.62513539544</v>
      </c>
      <c r="S77" s="123">
        <f t="shared" si="1"/>
        <v>119388.68834960659</v>
      </c>
      <c r="T77" s="123">
        <f t="shared" si="4"/>
        <v>1</v>
      </c>
      <c r="U77" s="123">
        <f t="shared" si="5"/>
        <v>0</v>
      </c>
      <c r="V77" s="1"/>
      <c r="W77" s="122">
        <v>62000</v>
      </c>
      <c r="X77" s="125">
        <v>0.5</v>
      </c>
      <c r="Y77" s="125">
        <v>0.5</v>
      </c>
      <c r="Z77" s="9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  <c r="GH77" s="2"/>
      <c r="GI77" s="2"/>
      <c r="GJ77" s="2"/>
      <c r="GK77" s="2"/>
      <c r="GL77" s="2"/>
      <c r="GM77" s="2"/>
      <c r="GN77" s="2"/>
      <c r="GO77" s="2"/>
      <c r="GP77" s="2"/>
      <c r="GQ77" s="2"/>
      <c r="GR77" s="2"/>
      <c r="GS77" s="2"/>
      <c r="GT77" s="2"/>
      <c r="GU77" s="2"/>
      <c r="GV77" s="2"/>
      <c r="GW77" s="2"/>
      <c r="GX77" s="2"/>
      <c r="GY77" s="2"/>
      <c r="GZ77" s="2"/>
      <c r="HA77" s="2"/>
      <c r="HB77" s="2"/>
      <c r="HC77" s="2"/>
      <c r="HD77" s="2"/>
      <c r="HE77" s="2"/>
      <c r="HF77" s="2"/>
      <c r="HG77" s="2"/>
      <c r="HH77" s="2"/>
      <c r="HI77" s="2"/>
      <c r="HJ77" s="2"/>
      <c r="HK77" s="2"/>
      <c r="HL77" s="2"/>
      <c r="HM77" s="2"/>
      <c r="HN77" s="2"/>
      <c r="HO77" s="2"/>
      <c r="HP77" s="2"/>
      <c r="HQ77" s="2"/>
      <c r="HR77" s="2"/>
      <c r="HS77" s="2"/>
      <c r="HT77" s="2"/>
      <c r="HU77" s="2"/>
      <c r="HV77" s="2"/>
      <c r="HW77" s="2"/>
      <c r="HX77" s="2"/>
      <c r="HY77" s="2"/>
      <c r="HZ77" s="2"/>
      <c r="IA77" s="2"/>
      <c r="IB77" s="2"/>
      <c r="IC77" s="2"/>
      <c r="ID77" s="2"/>
      <c r="IE77" s="2"/>
      <c r="IF77" s="2"/>
      <c r="IG77" s="2"/>
      <c r="IH77" s="2"/>
      <c r="II77" s="2"/>
      <c r="IJ77" s="2"/>
      <c r="IK77" s="2"/>
      <c r="IL77" s="2"/>
      <c r="IM77" s="2"/>
      <c r="IN77" s="2"/>
      <c r="IO77" s="2"/>
      <c r="IP77" s="2"/>
      <c r="IQ77" s="2"/>
      <c r="IR77" s="2"/>
      <c r="IS77" s="2"/>
      <c r="IT77" s="2"/>
      <c r="IU77" s="2"/>
      <c r="IV77" s="2"/>
      <c r="IW77" s="2"/>
      <c r="IX77" s="2"/>
      <c r="IY77" s="2"/>
      <c r="IZ77" s="2"/>
      <c r="JA77" s="2"/>
      <c r="JB77" s="2"/>
      <c r="JC77" s="2"/>
      <c r="JD77" s="2"/>
      <c r="JE77" s="2"/>
      <c r="JF77" s="2"/>
      <c r="JG77" s="2"/>
      <c r="JH77" s="2"/>
      <c r="JI77" s="2"/>
      <c r="JJ77" s="2"/>
      <c r="JK77" s="2"/>
      <c r="JL77" s="2"/>
      <c r="JM77" s="2"/>
      <c r="JN77" s="2"/>
      <c r="JO77" s="2"/>
      <c r="JP77" s="2"/>
      <c r="JQ77" s="2"/>
      <c r="JR77" s="2"/>
      <c r="JS77" s="2"/>
      <c r="JT77" s="2"/>
      <c r="JU77" s="2"/>
      <c r="JV77" s="2"/>
      <c r="JW77" s="2"/>
      <c r="JX77" s="2"/>
      <c r="JY77" s="2"/>
      <c r="JZ77" s="2"/>
      <c r="KA77" s="2"/>
      <c r="KB77" s="2"/>
      <c r="KC77" s="2"/>
      <c r="KD77" s="2"/>
      <c r="KE77" s="2"/>
      <c r="KF77" s="2"/>
      <c r="KG77" s="2"/>
      <c r="KH77" s="2"/>
      <c r="KI77" s="2"/>
      <c r="KJ77" s="2"/>
      <c r="KK77" s="2"/>
      <c r="KL77" s="2"/>
      <c r="KM77" s="2"/>
      <c r="KN77" s="2"/>
      <c r="KO77" s="2"/>
      <c r="KP77" s="2"/>
      <c r="KQ77" s="2"/>
      <c r="KR77" s="2"/>
      <c r="KS77" s="2"/>
      <c r="KT77" s="2"/>
      <c r="KU77" s="2"/>
      <c r="KV77" s="2"/>
      <c r="KW77" s="2"/>
      <c r="KX77" s="2"/>
      <c r="KY77" s="2"/>
      <c r="KZ77" s="2"/>
      <c r="LA77" s="2"/>
      <c r="LB77" s="2"/>
      <c r="LC77" s="2"/>
      <c r="LD77" s="2"/>
      <c r="LE77" s="2"/>
      <c r="LF77" s="2"/>
      <c r="LG77" s="2"/>
      <c r="LH77" s="2"/>
      <c r="LI77" s="2"/>
      <c r="LJ77" s="2"/>
      <c r="LK77" s="2"/>
      <c r="LL77" s="2"/>
      <c r="LM77" s="2"/>
      <c r="LN77" s="2"/>
      <c r="LO77" s="2"/>
      <c r="LP77" s="2"/>
      <c r="LQ77" s="2"/>
      <c r="LR77" s="2"/>
      <c r="LS77" s="2"/>
      <c r="LT77" s="2"/>
      <c r="LU77" s="2"/>
      <c r="LV77" s="2"/>
      <c r="LW77" s="2"/>
      <c r="LX77" s="2"/>
      <c r="LY77" s="2"/>
      <c r="LZ77" s="2"/>
      <c r="MA77" s="2"/>
      <c r="MB77" s="2"/>
      <c r="MC77" s="2"/>
    </row>
    <row r="78" spans="2:341" x14ac:dyDescent="0.25">
      <c r="B78" s="2"/>
      <c r="C78" s="2"/>
      <c r="D78" s="2"/>
      <c r="E78" s="2"/>
      <c r="F78" s="2"/>
      <c r="G78" s="2"/>
      <c r="H78" s="2"/>
      <c r="I78" s="2"/>
      <c r="J78" s="2"/>
      <c r="K78" s="123" t="s">
        <v>187</v>
      </c>
      <c r="L78" s="124">
        <v>7762.1720067446495</v>
      </c>
      <c r="M78" s="124">
        <v>7.344996885577463</v>
      </c>
      <c r="N78" s="124">
        <v>9924.8778058961998</v>
      </c>
      <c r="O78" s="124">
        <v>10.942578465570433</v>
      </c>
      <c r="P78" s="123">
        <f t="shared" si="2"/>
        <v>-2162.7057991515503</v>
      </c>
      <c r="Q78" s="123">
        <f t="shared" si="3"/>
        <v>-3.59758157999297</v>
      </c>
      <c r="R78" s="123">
        <f t="shared" si="0"/>
        <v>139137.76570480459</v>
      </c>
      <c r="S78" s="123">
        <f t="shared" si="1"/>
        <v>208926.69150551246</v>
      </c>
      <c r="T78" s="123">
        <f t="shared" si="4"/>
        <v>0</v>
      </c>
      <c r="U78" s="123">
        <f t="shared" si="5"/>
        <v>1</v>
      </c>
      <c r="V78" s="1"/>
      <c r="W78" s="127">
        <v>63000</v>
      </c>
      <c r="X78" s="125">
        <v>0.5</v>
      </c>
      <c r="Y78" s="125">
        <v>0.5</v>
      </c>
      <c r="Z78" s="9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GS78" s="2"/>
      <c r="GT78" s="2"/>
      <c r="GU78" s="2"/>
      <c r="GV78" s="2"/>
      <c r="GW78" s="2"/>
      <c r="GX78" s="2"/>
      <c r="GY78" s="2"/>
      <c r="GZ78" s="2"/>
      <c r="HA78" s="2"/>
      <c r="HB78" s="2"/>
      <c r="HC78" s="2"/>
      <c r="HD78" s="2"/>
      <c r="HE78" s="2"/>
      <c r="HF78" s="2"/>
      <c r="HG78" s="2"/>
      <c r="HH78" s="2"/>
      <c r="HI78" s="2"/>
      <c r="HJ78" s="2"/>
      <c r="HK78" s="2"/>
      <c r="HL78" s="2"/>
      <c r="HM78" s="2"/>
      <c r="HN78" s="2"/>
      <c r="HO78" s="2"/>
      <c r="HP78" s="2"/>
      <c r="HQ78" s="2"/>
      <c r="HR78" s="2"/>
      <c r="HS78" s="2"/>
      <c r="HT78" s="2"/>
      <c r="HU78" s="2"/>
      <c r="HV78" s="2"/>
      <c r="HW78" s="2"/>
      <c r="HX78" s="2"/>
      <c r="HY78" s="2"/>
      <c r="HZ78" s="2"/>
      <c r="IA78" s="2"/>
      <c r="IB78" s="2"/>
      <c r="IC78" s="2"/>
      <c r="ID78" s="2"/>
      <c r="IE78" s="2"/>
      <c r="IF78" s="2"/>
      <c r="IG78" s="2"/>
      <c r="IH78" s="2"/>
      <c r="II78" s="2"/>
      <c r="IJ78" s="2"/>
      <c r="IK78" s="2"/>
      <c r="IL78" s="2"/>
      <c r="IM78" s="2"/>
      <c r="IN78" s="2"/>
      <c r="IO78" s="2"/>
      <c r="IP78" s="2"/>
      <c r="IQ78" s="2"/>
      <c r="IR78" s="2"/>
      <c r="IS78" s="2"/>
      <c r="IT78" s="2"/>
      <c r="IU78" s="2"/>
      <c r="IV78" s="2"/>
      <c r="IW78" s="2"/>
      <c r="IX78" s="2"/>
      <c r="IY78" s="2"/>
      <c r="IZ78" s="2"/>
      <c r="JA78" s="2"/>
      <c r="JB78" s="2"/>
      <c r="JC78" s="2"/>
      <c r="JD78" s="2"/>
      <c r="JE78" s="2"/>
      <c r="JF78" s="2"/>
      <c r="JG78" s="2"/>
      <c r="JH78" s="2"/>
      <c r="JI78" s="2"/>
      <c r="JJ78" s="2"/>
      <c r="JK78" s="2"/>
      <c r="JL78" s="2"/>
      <c r="JM78" s="2"/>
      <c r="JN78" s="2"/>
      <c r="JO78" s="2"/>
      <c r="JP78" s="2"/>
      <c r="JQ78" s="2"/>
      <c r="JR78" s="2"/>
      <c r="JS78" s="2"/>
      <c r="JT78" s="2"/>
      <c r="JU78" s="2"/>
      <c r="JV78" s="2"/>
      <c r="JW78" s="2"/>
      <c r="JX78" s="2"/>
      <c r="JY78" s="2"/>
      <c r="JZ78" s="2"/>
      <c r="KA78" s="2"/>
      <c r="KB78" s="2"/>
      <c r="KC78" s="2"/>
      <c r="KD78" s="2"/>
      <c r="KE78" s="2"/>
      <c r="KF78" s="2"/>
      <c r="KG78" s="2"/>
      <c r="KH78" s="2"/>
      <c r="KI78" s="2"/>
      <c r="KJ78" s="2"/>
      <c r="KK78" s="2"/>
      <c r="KL78" s="2"/>
      <c r="KM78" s="2"/>
      <c r="KN78" s="2"/>
      <c r="KO78" s="2"/>
      <c r="KP78" s="2"/>
      <c r="KQ78" s="2"/>
      <c r="KR78" s="2"/>
      <c r="KS78" s="2"/>
      <c r="KT78" s="2"/>
      <c r="KU78" s="2"/>
      <c r="KV78" s="2"/>
      <c r="KW78" s="2"/>
      <c r="KX78" s="2"/>
      <c r="KY78" s="2"/>
      <c r="KZ78" s="2"/>
      <c r="LA78" s="2"/>
      <c r="LB78" s="2"/>
      <c r="LC78" s="2"/>
      <c r="LD78" s="2"/>
      <c r="LE78" s="2"/>
      <c r="LF78" s="2"/>
      <c r="LG78" s="2"/>
      <c r="LH78" s="2"/>
      <c r="LI78" s="2"/>
      <c r="LJ78" s="2"/>
      <c r="LK78" s="2"/>
      <c r="LL78" s="2"/>
      <c r="LM78" s="2"/>
      <c r="LN78" s="2"/>
      <c r="LO78" s="2"/>
      <c r="LP78" s="2"/>
      <c r="LQ78" s="2"/>
      <c r="LR78" s="2"/>
      <c r="LS78" s="2"/>
      <c r="LT78" s="2"/>
      <c r="LU78" s="2"/>
      <c r="LV78" s="2"/>
      <c r="LW78" s="2"/>
      <c r="LX78" s="2"/>
      <c r="LY78" s="2"/>
      <c r="LZ78" s="2"/>
      <c r="MA78" s="2"/>
      <c r="MB78" s="2"/>
      <c r="MC78" s="2"/>
    </row>
    <row r="79" spans="2:341" x14ac:dyDescent="0.25">
      <c r="B79" s="2"/>
      <c r="C79" s="2"/>
      <c r="D79" s="2"/>
      <c r="E79" s="2"/>
      <c r="F79" s="2"/>
      <c r="G79" s="2"/>
      <c r="H79" s="2"/>
      <c r="I79" s="2"/>
      <c r="J79" s="2"/>
      <c r="K79" s="123" t="s">
        <v>188</v>
      </c>
      <c r="L79" s="124">
        <v>8078.0531468529625</v>
      </c>
      <c r="M79" s="124">
        <v>7.2310852830109367</v>
      </c>
      <c r="N79" s="124">
        <v>8422.6990010760128</v>
      </c>
      <c r="O79" s="124">
        <v>7.838237244783798</v>
      </c>
      <c r="P79" s="123">
        <f t="shared" si="2"/>
        <v>-344.64585422305026</v>
      </c>
      <c r="Q79" s="123">
        <f t="shared" si="3"/>
        <v>-0.60715196177286135</v>
      </c>
      <c r="R79" s="123">
        <f t="shared" si="0"/>
        <v>136543.65251336576</v>
      </c>
      <c r="S79" s="123">
        <f t="shared" si="1"/>
        <v>148342.04589459993</v>
      </c>
      <c r="T79" s="123">
        <f t="shared" si="4"/>
        <v>0</v>
      </c>
      <c r="U79" s="123">
        <f t="shared" si="5"/>
        <v>1</v>
      </c>
      <c r="V79" s="1"/>
      <c r="W79" s="122">
        <v>64000</v>
      </c>
      <c r="X79" s="125">
        <v>0.5</v>
      </c>
      <c r="Y79" s="125">
        <v>0.5</v>
      </c>
      <c r="Z79" s="9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2"/>
      <c r="GV79" s="2"/>
      <c r="GW79" s="2"/>
      <c r="GX79" s="2"/>
      <c r="GY79" s="2"/>
      <c r="GZ79" s="2"/>
      <c r="HA79" s="2"/>
      <c r="HB79" s="2"/>
      <c r="HC79" s="2"/>
      <c r="HD79" s="2"/>
      <c r="HE79" s="2"/>
      <c r="HF79" s="2"/>
      <c r="HG79" s="2"/>
      <c r="HH79" s="2"/>
      <c r="HI79" s="2"/>
      <c r="HJ79" s="2"/>
      <c r="HK79" s="2"/>
      <c r="HL79" s="2"/>
      <c r="HM79" s="2"/>
      <c r="HN79" s="2"/>
      <c r="HO79" s="2"/>
      <c r="HP79" s="2"/>
      <c r="HQ79" s="2"/>
      <c r="HR79" s="2"/>
      <c r="HS79" s="2"/>
      <c r="HT79" s="2"/>
      <c r="HU79" s="2"/>
      <c r="HV79" s="2"/>
      <c r="HW79" s="2"/>
      <c r="HX79" s="2"/>
      <c r="HY79" s="2"/>
      <c r="HZ79" s="2"/>
      <c r="IA79" s="2"/>
      <c r="IB79" s="2"/>
      <c r="IC79" s="2"/>
      <c r="ID79" s="2"/>
      <c r="IE79" s="2"/>
      <c r="IF79" s="2"/>
      <c r="IG79" s="2"/>
      <c r="IH79" s="2"/>
      <c r="II79" s="2"/>
      <c r="IJ79" s="2"/>
      <c r="IK79" s="2"/>
      <c r="IL79" s="2"/>
      <c r="IM79" s="2"/>
      <c r="IN79" s="2"/>
      <c r="IO79" s="2"/>
      <c r="IP79" s="2"/>
      <c r="IQ79" s="2"/>
      <c r="IR79" s="2"/>
      <c r="IS79" s="2"/>
      <c r="IT79" s="2"/>
      <c r="IU79" s="2"/>
      <c r="IV79" s="2"/>
      <c r="IW79" s="2"/>
      <c r="IX79" s="2"/>
      <c r="IY79" s="2"/>
      <c r="IZ79" s="2"/>
      <c r="JA79" s="2"/>
      <c r="JB79" s="2"/>
      <c r="JC79" s="2"/>
      <c r="JD79" s="2"/>
      <c r="JE79" s="2"/>
      <c r="JF79" s="2"/>
      <c r="JG79" s="2"/>
      <c r="JH79" s="2"/>
      <c r="JI79" s="2"/>
      <c r="JJ79" s="2"/>
      <c r="JK79" s="2"/>
      <c r="JL79" s="2"/>
      <c r="JM79" s="2"/>
      <c r="JN79" s="2"/>
      <c r="JO79" s="2"/>
      <c r="JP79" s="2"/>
      <c r="JQ79" s="2"/>
      <c r="JR79" s="2"/>
      <c r="JS79" s="2"/>
      <c r="JT79" s="2"/>
      <c r="JU79" s="2"/>
      <c r="JV79" s="2"/>
      <c r="JW79" s="2"/>
      <c r="JX79" s="2"/>
      <c r="JY79" s="2"/>
      <c r="JZ79" s="2"/>
      <c r="KA79" s="2"/>
      <c r="KB79" s="2"/>
      <c r="KC79" s="2"/>
      <c r="KD79" s="2"/>
      <c r="KE79" s="2"/>
      <c r="KF79" s="2"/>
      <c r="KG79" s="2"/>
      <c r="KH79" s="2"/>
      <c r="KI79" s="2"/>
      <c r="KJ79" s="2"/>
      <c r="KK79" s="2"/>
      <c r="KL79" s="2"/>
      <c r="KM79" s="2"/>
      <c r="KN79" s="2"/>
      <c r="KO79" s="2"/>
      <c r="KP79" s="2"/>
      <c r="KQ79" s="2"/>
      <c r="KR79" s="2"/>
      <c r="KS79" s="2"/>
      <c r="KT79" s="2"/>
      <c r="KU79" s="2"/>
      <c r="KV79" s="2"/>
      <c r="KW79" s="2"/>
      <c r="KX79" s="2"/>
      <c r="KY79" s="2"/>
      <c r="KZ79" s="2"/>
      <c r="LA79" s="2"/>
      <c r="LB79" s="2"/>
      <c r="LC79" s="2"/>
      <c r="LD79" s="2"/>
      <c r="LE79" s="2"/>
      <c r="LF79" s="2"/>
      <c r="LG79" s="2"/>
      <c r="LH79" s="2"/>
      <c r="LI79" s="2"/>
      <c r="LJ79" s="2"/>
      <c r="LK79" s="2"/>
      <c r="LL79" s="2"/>
      <c r="LM79" s="2"/>
      <c r="LN79" s="2"/>
      <c r="LO79" s="2"/>
      <c r="LP79" s="2"/>
      <c r="LQ79" s="2"/>
      <c r="LR79" s="2"/>
      <c r="LS79" s="2"/>
      <c r="LT79" s="2"/>
      <c r="LU79" s="2"/>
      <c r="LV79" s="2"/>
      <c r="LW79" s="2"/>
      <c r="LX79" s="2"/>
      <c r="LY79" s="2"/>
      <c r="LZ79" s="2"/>
      <c r="MA79" s="2"/>
      <c r="MB79" s="2"/>
      <c r="MC79" s="2"/>
    </row>
    <row r="80" spans="2:341" x14ac:dyDescent="0.25">
      <c r="B80" s="2"/>
      <c r="C80" s="2"/>
      <c r="D80" s="2"/>
      <c r="E80" s="2"/>
      <c r="F80" s="2"/>
      <c r="G80" s="2"/>
      <c r="H80" s="2"/>
      <c r="I80" s="2"/>
      <c r="J80" s="2"/>
      <c r="K80" s="123" t="s">
        <v>189</v>
      </c>
      <c r="L80" s="124">
        <v>10006.974286667748</v>
      </c>
      <c r="M80" s="124">
        <v>8.9483335041748937</v>
      </c>
      <c r="N80" s="124">
        <v>6962.3217053454473</v>
      </c>
      <c r="O80" s="124">
        <v>7.0167836904253162</v>
      </c>
      <c r="P80" s="123">
        <f t="shared" si="2"/>
        <v>3044.6525813223006</v>
      </c>
      <c r="Q80" s="123">
        <f t="shared" si="3"/>
        <v>1.9315498137495775</v>
      </c>
      <c r="R80" s="123">
        <f t="shared" si="0"/>
        <v>168959.69579683014</v>
      </c>
      <c r="S80" s="123">
        <f t="shared" si="1"/>
        <v>133373.35210316087</v>
      </c>
      <c r="T80" s="123">
        <f t="shared" si="4"/>
        <v>1</v>
      </c>
      <c r="U80" s="123">
        <f t="shared" si="5"/>
        <v>0</v>
      </c>
      <c r="V80" s="1"/>
      <c r="W80" s="127">
        <v>65000</v>
      </c>
      <c r="X80" s="125">
        <v>0.5</v>
      </c>
      <c r="Y80" s="125">
        <v>0.5</v>
      </c>
      <c r="Z80" s="9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2"/>
      <c r="GV80" s="2"/>
      <c r="GW80" s="2"/>
      <c r="GX80" s="2"/>
      <c r="GY80" s="2"/>
      <c r="GZ80" s="2"/>
      <c r="HA80" s="2"/>
      <c r="HB80" s="2"/>
      <c r="HC80" s="2"/>
      <c r="HD80" s="2"/>
      <c r="HE80" s="2"/>
      <c r="HF80" s="2"/>
      <c r="HG80" s="2"/>
      <c r="HH80" s="2"/>
      <c r="HI80" s="2"/>
      <c r="HJ80" s="2"/>
      <c r="HK80" s="2"/>
      <c r="HL80" s="2"/>
      <c r="HM80" s="2"/>
      <c r="HN80" s="2"/>
      <c r="HO80" s="2"/>
      <c r="HP80" s="2"/>
      <c r="HQ80" s="2"/>
      <c r="HR80" s="2"/>
      <c r="HS80" s="2"/>
      <c r="HT80" s="2"/>
      <c r="HU80" s="2"/>
      <c r="HV80" s="2"/>
      <c r="HW80" s="2"/>
      <c r="HX80" s="2"/>
      <c r="HY80" s="2"/>
      <c r="HZ80" s="2"/>
      <c r="IA80" s="2"/>
      <c r="IB80" s="2"/>
      <c r="IC80" s="2"/>
      <c r="ID80" s="2"/>
      <c r="IE80" s="2"/>
      <c r="IF80" s="2"/>
      <c r="IG80" s="2"/>
      <c r="IH80" s="2"/>
      <c r="II80" s="2"/>
      <c r="IJ80" s="2"/>
      <c r="IK80" s="2"/>
      <c r="IL80" s="2"/>
      <c r="IM80" s="2"/>
      <c r="IN80" s="2"/>
      <c r="IO80" s="2"/>
      <c r="IP80" s="2"/>
      <c r="IQ80" s="2"/>
      <c r="IR80" s="2"/>
      <c r="IS80" s="2"/>
      <c r="IT80" s="2"/>
      <c r="IU80" s="2"/>
      <c r="IV80" s="2"/>
      <c r="IW80" s="2"/>
      <c r="IX80" s="2"/>
      <c r="IY80" s="2"/>
      <c r="IZ80" s="2"/>
      <c r="JA80" s="2"/>
      <c r="JB80" s="2"/>
      <c r="JC80" s="2"/>
      <c r="JD80" s="2"/>
      <c r="JE80" s="2"/>
      <c r="JF80" s="2"/>
      <c r="JG80" s="2"/>
      <c r="JH80" s="2"/>
      <c r="JI80" s="2"/>
      <c r="JJ80" s="2"/>
      <c r="JK80" s="2"/>
      <c r="JL80" s="2"/>
      <c r="JM80" s="2"/>
      <c r="JN80" s="2"/>
      <c r="JO80" s="2"/>
      <c r="JP80" s="2"/>
      <c r="JQ80" s="2"/>
      <c r="JR80" s="2"/>
      <c r="JS80" s="2"/>
      <c r="JT80" s="2"/>
      <c r="JU80" s="2"/>
      <c r="JV80" s="2"/>
      <c r="JW80" s="2"/>
      <c r="JX80" s="2"/>
      <c r="JY80" s="2"/>
      <c r="JZ80" s="2"/>
      <c r="KA80" s="2"/>
      <c r="KB80" s="2"/>
      <c r="KC80" s="2"/>
      <c r="KD80" s="2"/>
      <c r="KE80" s="2"/>
      <c r="KF80" s="2"/>
      <c r="KG80" s="2"/>
      <c r="KH80" s="2"/>
      <c r="KI80" s="2"/>
      <c r="KJ80" s="2"/>
      <c r="KK80" s="2"/>
      <c r="KL80" s="2"/>
      <c r="KM80" s="2"/>
      <c r="KN80" s="2"/>
      <c r="KO80" s="2"/>
      <c r="KP80" s="2"/>
      <c r="KQ80" s="2"/>
      <c r="KR80" s="2"/>
      <c r="KS80" s="2"/>
      <c r="KT80" s="2"/>
      <c r="KU80" s="2"/>
      <c r="KV80" s="2"/>
      <c r="KW80" s="2"/>
      <c r="KX80" s="2"/>
      <c r="KY80" s="2"/>
      <c r="KZ80" s="2"/>
      <c r="LA80" s="2"/>
      <c r="LB80" s="2"/>
      <c r="LC80" s="2"/>
      <c r="LD80" s="2"/>
      <c r="LE80" s="2"/>
      <c r="LF80" s="2"/>
      <c r="LG80" s="2"/>
      <c r="LH80" s="2"/>
      <c r="LI80" s="2"/>
      <c r="LJ80" s="2"/>
      <c r="LK80" s="2"/>
      <c r="LL80" s="2"/>
      <c r="LM80" s="2"/>
      <c r="LN80" s="2"/>
      <c r="LO80" s="2"/>
      <c r="LP80" s="2"/>
      <c r="LQ80" s="2"/>
      <c r="LR80" s="2"/>
      <c r="LS80" s="2"/>
      <c r="LT80" s="2"/>
      <c r="LU80" s="2"/>
      <c r="LV80" s="2"/>
      <c r="LW80" s="2"/>
      <c r="LX80" s="2"/>
      <c r="LY80" s="2"/>
      <c r="LZ80" s="2"/>
      <c r="MA80" s="2"/>
      <c r="MB80" s="2"/>
      <c r="MC80" s="2"/>
    </row>
    <row r="81" spans="2:341" x14ac:dyDescent="0.25">
      <c r="B81" s="2"/>
      <c r="C81" s="2"/>
      <c r="D81" s="2"/>
      <c r="E81" s="2"/>
      <c r="F81" s="2"/>
      <c r="G81" s="2"/>
      <c r="H81" s="2"/>
      <c r="I81" s="2"/>
      <c r="J81" s="2"/>
      <c r="K81" s="123" t="s">
        <v>190</v>
      </c>
      <c r="L81" s="124">
        <v>11140.53721004097</v>
      </c>
      <c r="M81" s="124">
        <v>11.188036300405919</v>
      </c>
      <c r="N81" s="124">
        <v>7294.2337332319366</v>
      </c>
      <c r="O81" s="124">
        <v>7.8834061223322296</v>
      </c>
      <c r="P81" s="123">
        <f t="shared" si="2"/>
        <v>3846.3034768090329</v>
      </c>
      <c r="Q81" s="123">
        <f t="shared" si="3"/>
        <v>3.3046301780736895</v>
      </c>
      <c r="R81" s="123">
        <f t="shared" ref="R81:R144" si="6">M81*willingness_to_pay-L81</f>
        <v>212620.18879807743</v>
      </c>
      <c r="S81" s="123">
        <f t="shared" ref="S81:S144" si="7">O81*willingness_to_pay-N81</f>
        <v>150373.88871341266</v>
      </c>
      <c r="T81" s="123">
        <f t="shared" si="4"/>
        <v>1</v>
      </c>
      <c r="U81" s="123">
        <f t="shared" si="5"/>
        <v>0</v>
      </c>
      <c r="V81" s="1"/>
      <c r="W81" s="122">
        <v>66000</v>
      </c>
      <c r="X81" s="125">
        <v>0.5</v>
      </c>
      <c r="Y81" s="125">
        <v>0.5</v>
      </c>
      <c r="Z81" s="9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2"/>
      <c r="GV81" s="2"/>
      <c r="GW81" s="2"/>
      <c r="GX81" s="2"/>
      <c r="GY81" s="2"/>
      <c r="GZ81" s="2"/>
      <c r="HA81" s="2"/>
      <c r="HB81" s="2"/>
      <c r="HC81" s="2"/>
      <c r="HD81" s="2"/>
      <c r="HE81" s="2"/>
      <c r="HF81" s="2"/>
      <c r="HG81" s="2"/>
      <c r="HH81" s="2"/>
      <c r="HI81" s="2"/>
      <c r="HJ81" s="2"/>
      <c r="HK81" s="2"/>
      <c r="HL81" s="2"/>
      <c r="HM81" s="2"/>
      <c r="HN81" s="2"/>
      <c r="HO81" s="2"/>
      <c r="HP81" s="2"/>
      <c r="HQ81" s="2"/>
      <c r="HR81" s="2"/>
      <c r="HS81" s="2"/>
      <c r="HT81" s="2"/>
      <c r="HU81" s="2"/>
      <c r="HV81" s="2"/>
      <c r="HW81" s="2"/>
      <c r="HX81" s="2"/>
      <c r="HY81" s="2"/>
      <c r="HZ81" s="2"/>
      <c r="IA81" s="2"/>
      <c r="IB81" s="2"/>
      <c r="IC81" s="2"/>
      <c r="ID81" s="2"/>
      <c r="IE81" s="2"/>
      <c r="IF81" s="2"/>
      <c r="IG81" s="2"/>
      <c r="IH81" s="2"/>
      <c r="II81" s="2"/>
      <c r="IJ81" s="2"/>
      <c r="IK81" s="2"/>
      <c r="IL81" s="2"/>
      <c r="IM81" s="2"/>
      <c r="IN81" s="2"/>
      <c r="IO81" s="2"/>
      <c r="IP81" s="2"/>
      <c r="IQ81" s="2"/>
      <c r="IR81" s="2"/>
      <c r="IS81" s="2"/>
      <c r="IT81" s="2"/>
      <c r="IU81" s="2"/>
      <c r="IV81" s="2"/>
      <c r="IW81" s="2"/>
      <c r="IX81" s="2"/>
      <c r="IY81" s="2"/>
      <c r="IZ81" s="2"/>
      <c r="JA81" s="2"/>
      <c r="JB81" s="2"/>
      <c r="JC81" s="2"/>
      <c r="JD81" s="2"/>
      <c r="JE81" s="2"/>
      <c r="JF81" s="2"/>
      <c r="JG81" s="2"/>
      <c r="JH81" s="2"/>
      <c r="JI81" s="2"/>
      <c r="JJ81" s="2"/>
      <c r="JK81" s="2"/>
      <c r="JL81" s="2"/>
      <c r="JM81" s="2"/>
      <c r="JN81" s="2"/>
      <c r="JO81" s="2"/>
      <c r="JP81" s="2"/>
      <c r="JQ81" s="2"/>
      <c r="JR81" s="2"/>
      <c r="JS81" s="2"/>
      <c r="JT81" s="2"/>
      <c r="JU81" s="2"/>
      <c r="JV81" s="2"/>
      <c r="JW81" s="2"/>
      <c r="JX81" s="2"/>
      <c r="JY81" s="2"/>
      <c r="JZ81" s="2"/>
      <c r="KA81" s="2"/>
      <c r="KB81" s="2"/>
      <c r="KC81" s="2"/>
      <c r="KD81" s="2"/>
      <c r="KE81" s="2"/>
      <c r="KF81" s="2"/>
      <c r="KG81" s="2"/>
      <c r="KH81" s="2"/>
      <c r="KI81" s="2"/>
      <c r="KJ81" s="2"/>
      <c r="KK81" s="2"/>
      <c r="KL81" s="2"/>
      <c r="KM81" s="2"/>
      <c r="KN81" s="2"/>
      <c r="KO81" s="2"/>
      <c r="KP81" s="2"/>
      <c r="KQ81" s="2"/>
      <c r="KR81" s="2"/>
      <c r="KS81" s="2"/>
      <c r="KT81" s="2"/>
      <c r="KU81" s="2"/>
      <c r="KV81" s="2"/>
      <c r="KW81" s="2"/>
      <c r="KX81" s="2"/>
      <c r="KY81" s="2"/>
      <c r="KZ81" s="2"/>
      <c r="LA81" s="2"/>
      <c r="LB81" s="2"/>
      <c r="LC81" s="2"/>
      <c r="LD81" s="2"/>
      <c r="LE81" s="2"/>
      <c r="LF81" s="2"/>
      <c r="LG81" s="2"/>
      <c r="LH81" s="2"/>
      <c r="LI81" s="2"/>
      <c r="LJ81" s="2"/>
      <c r="LK81" s="2"/>
      <c r="LL81" s="2"/>
      <c r="LM81" s="2"/>
      <c r="LN81" s="2"/>
      <c r="LO81" s="2"/>
      <c r="LP81" s="2"/>
      <c r="LQ81" s="2"/>
      <c r="LR81" s="2"/>
      <c r="LS81" s="2"/>
      <c r="LT81" s="2"/>
      <c r="LU81" s="2"/>
      <c r="LV81" s="2"/>
      <c r="LW81" s="2"/>
      <c r="LX81" s="2"/>
      <c r="LY81" s="2"/>
      <c r="LZ81" s="2"/>
      <c r="MA81" s="2"/>
      <c r="MB81" s="2"/>
      <c r="MC81" s="2"/>
    </row>
    <row r="82" spans="2:341" x14ac:dyDescent="0.25">
      <c r="B82" s="2"/>
      <c r="C82" s="2"/>
      <c r="D82" s="2"/>
      <c r="E82" s="2"/>
      <c r="F82" s="2"/>
      <c r="G82" s="2"/>
      <c r="H82" s="2"/>
      <c r="I82" s="2"/>
      <c r="J82" s="2"/>
      <c r="K82" s="123" t="s">
        <v>191</v>
      </c>
      <c r="L82" s="124">
        <v>9575.762642245325</v>
      </c>
      <c r="M82" s="124">
        <v>9.5123950273744597</v>
      </c>
      <c r="N82" s="124">
        <v>6065.5052482963074</v>
      </c>
      <c r="O82" s="124">
        <v>6.620344859624284</v>
      </c>
      <c r="P82" s="123">
        <f t="shared" ref="P82:P145" si="8">L82-N82</f>
        <v>3510.2573939490176</v>
      </c>
      <c r="Q82" s="123">
        <f t="shared" ref="Q82:Q145" si="9">M82-O82</f>
        <v>2.8920501677501758</v>
      </c>
      <c r="R82" s="123">
        <f t="shared" si="6"/>
        <v>180672.13790524387</v>
      </c>
      <c r="S82" s="123">
        <f t="shared" si="7"/>
        <v>126341.39194418938</v>
      </c>
      <c r="T82" s="123">
        <f t="shared" ref="T82:T145" si="10">IF(L82="", "",IF(R82=MAX(R82:S82),1,0))</f>
        <v>1</v>
      </c>
      <c r="U82" s="123">
        <f t="shared" ref="U82:U145" si="11">IF(N82="", "", IF(S82=MAX(R82:S82),1,0))</f>
        <v>0</v>
      </c>
      <c r="V82" s="1"/>
      <c r="W82" s="127">
        <v>67000</v>
      </c>
      <c r="X82" s="125">
        <v>0.5</v>
      </c>
      <c r="Y82" s="125">
        <v>0.5</v>
      </c>
      <c r="Z82" s="9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</row>
    <row r="83" spans="2:341" x14ac:dyDescent="0.25">
      <c r="B83" s="2"/>
      <c r="C83" s="2"/>
      <c r="D83" s="2"/>
      <c r="E83" s="2"/>
      <c r="F83" s="2"/>
      <c r="G83" s="2"/>
      <c r="H83" s="2"/>
      <c r="I83" s="2"/>
      <c r="J83" s="2"/>
      <c r="K83" s="123" t="s">
        <v>192</v>
      </c>
      <c r="L83" s="124">
        <v>9385.5447324168017</v>
      </c>
      <c r="M83" s="124">
        <v>6.7796021778675444</v>
      </c>
      <c r="N83" s="124">
        <v>7506.4437103240962</v>
      </c>
      <c r="O83" s="124">
        <v>6.6923691042290141</v>
      </c>
      <c r="P83" s="123">
        <f t="shared" si="8"/>
        <v>1879.1010220927055</v>
      </c>
      <c r="Q83" s="123">
        <f t="shared" si="9"/>
        <v>8.7233073638530279E-2</v>
      </c>
      <c r="R83" s="123">
        <f t="shared" si="6"/>
        <v>126206.49882493407</v>
      </c>
      <c r="S83" s="123">
        <f t="shared" si="7"/>
        <v>126340.93837425619</v>
      </c>
      <c r="T83" s="123">
        <f t="shared" si="10"/>
        <v>0</v>
      </c>
      <c r="U83" s="123">
        <f t="shared" si="11"/>
        <v>1</v>
      </c>
      <c r="V83" s="1"/>
      <c r="W83" s="122">
        <v>68000</v>
      </c>
      <c r="X83" s="125">
        <v>0.5</v>
      </c>
      <c r="Y83" s="125">
        <v>0.5</v>
      </c>
      <c r="Z83" s="9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</row>
    <row r="84" spans="2:341" x14ac:dyDescent="0.25">
      <c r="B84" s="2"/>
      <c r="C84" s="2"/>
      <c r="D84" s="2"/>
      <c r="E84" s="2"/>
      <c r="F84" s="2"/>
      <c r="G84" s="2"/>
      <c r="H84" s="2"/>
      <c r="I84" s="2"/>
      <c r="J84" s="2"/>
      <c r="K84" s="123" t="s">
        <v>193</v>
      </c>
      <c r="L84" s="124">
        <v>9551.2123063394683</v>
      </c>
      <c r="M84" s="124">
        <v>8.8010005321920151</v>
      </c>
      <c r="N84" s="124">
        <v>6362.2315875909553</v>
      </c>
      <c r="O84" s="124">
        <v>6.4399628413088834</v>
      </c>
      <c r="P84" s="123">
        <f t="shared" si="8"/>
        <v>3188.980718748513</v>
      </c>
      <c r="Q84" s="123">
        <f t="shared" si="9"/>
        <v>2.3610376908831316</v>
      </c>
      <c r="R84" s="123">
        <f t="shared" si="6"/>
        <v>166468.79833750083</v>
      </c>
      <c r="S84" s="123">
        <f t="shared" si="7"/>
        <v>122437.02523858671</v>
      </c>
      <c r="T84" s="123">
        <f t="shared" si="10"/>
        <v>1</v>
      </c>
      <c r="U84" s="123">
        <f t="shared" si="11"/>
        <v>0</v>
      </c>
      <c r="V84" s="1"/>
      <c r="W84" s="127">
        <v>69000</v>
      </c>
      <c r="X84" s="125">
        <v>0.5</v>
      </c>
      <c r="Y84" s="125">
        <v>0.5</v>
      </c>
      <c r="Z84" s="9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</row>
    <row r="85" spans="2:341" x14ac:dyDescent="0.25">
      <c r="B85" s="2"/>
      <c r="C85" s="2"/>
      <c r="D85" s="2"/>
      <c r="E85" s="2"/>
      <c r="F85" s="2"/>
      <c r="G85" s="2"/>
      <c r="H85" s="2"/>
      <c r="I85" s="2"/>
      <c r="J85" s="2"/>
      <c r="K85" s="123" t="s">
        <v>194</v>
      </c>
      <c r="L85" s="124">
        <v>8046.3717944604095</v>
      </c>
      <c r="M85" s="124">
        <v>7.5266788891651748</v>
      </c>
      <c r="N85" s="124">
        <v>8041.0366682058866</v>
      </c>
      <c r="O85" s="124">
        <v>8.4762811114872214</v>
      </c>
      <c r="P85" s="123">
        <f t="shared" si="8"/>
        <v>5.3351262545229474</v>
      </c>
      <c r="Q85" s="123">
        <f t="shared" si="9"/>
        <v>-0.94960222232204661</v>
      </c>
      <c r="R85" s="123">
        <f t="shared" si="6"/>
        <v>142487.20598884311</v>
      </c>
      <c r="S85" s="123">
        <f t="shared" si="7"/>
        <v>161484.58556153852</v>
      </c>
      <c r="T85" s="123">
        <f t="shared" si="10"/>
        <v>0</v>
      </c>
      <c r="U85" s="123">
        <f t="shared" si="11"/>
        <v>1</v>
      </c>
      <c r="V85" s="1"/>
      <c r="W85" s="122">
        <v>70000</v>
      </c>
      <c r="X85" s="125">
        <v>0.5</v>
      </c>
      <c r="Y85" s="125">
        <v>0.5</v>
      </c>
      <c r="Z85" s="9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</row>
    <row r="86" spans="2:341" x14ac:dyDescent="0.25">
      <c r="B86" s="2"/>
      <c r="C86" s="2"/>
      <c r="D86" s="2"/>
      <c r="E86" s="2"/>
      <c r="F86" s="2"/>
      <c r="G86" s="2"/>
      <c r="H86" s="2"/>
      <c r="I86" s="2"/>
      <c r="J86" s="2"/>
      <c r="K86" s="123" t="s">
        <v>195</v>
      </c>
      <c r="L86" s="124">
        <v>11109.139985798747</v>
      </c>
      <c r="M86" s="124">
        <v>10.953499415019401</v>
      </c>
      <c r="N86" s="124">
        <v>7339.2397237324485</v>
      </c>
      <c r="O86" s="124">
        <v>7.7121844664618768</v>
      </c>
      <c r="P86" s="123">
        <f t="shared" si="8"/>
        <v>3769.9002620662986</v>
      </c>
      <c r="Q86" s="123">
        <f t="shared" si="9"/>
        <v>3.2413149485575241</v>
      </c>
      <c r="R86" s="123">
        <f t="shared" si="6"/>
        <v>207960.84831458927</v>
      </c>
      <c r="S86" s="123">
        <f t="shared" si="7"/>
        <v>146904.44960550507</v>
      </c>
      <c r="T86" s="123">
        <f t="shared" si="10"/>
        <v>1</v>
      </c>
      <c r="U86" s="123">
        <f t="shared" si="11"/>
        <v>0</v>
      </c>
      <c r="V86" s="1"/>
      <c r="W86" s="127">
        <v>71000</v>
      </c>
      <c r="X86" s="125">
        <v>0.5</v>
      </c>
      <c r="Y86" s="125">
        <v>0.5</v>
      </c>
      <c r="Z86" s="9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</row>
    <row r="87" spans="2:341" x14ac:dyDescent="0.25">
      <c r="B87" s="2"/>
      <c r="C87" s="2"/>
      <c r="D87" s="2"/>
      <c r="E87" s="2"/>
      <c r="F87" s="2"/>
      <c r="G87" s="2"/>
      <c r="H87" s="2"/>
      <c r="I87" s="2"/>
      <c r="J87" s="2"/>
      <c r="K87" s="123" t="s">
        <v>196</v>
      </c>
      <c r="L87" s="124">
        <v>5803.9959630217681</v>
      </c>
      <c r="M87" s="124">
        <v>5.2536641188373325</v>
      </c>
      <c r="N87" s="124">
        <v>8909.1350123962366</v>
      </c>
      <c r="O87" s="124">
        <v>9.1737158252806967</v>
      </c>
      <c r="P87" s="123">
        <f t="shared" si="8"/>
        <v>-3105.1390493744684</v>
      </c>
      <c r="Q87" s="123">
        <f t="shared" si="9"/>
        <v>-3.9200517064433642</v>
      </c>
      <c r="R87" s="123">
        <f t="shared" si="6"/>
        <v>99269.286413724883</v>
      </c>
      <c r="S87" s="123">
        <f t="shared" si="7"/>
        <v>174565.18149321771</v>
      </c>
      <c r="T87" s="123">
        <f t="shared" si="10"/>
        <v>0</v>
      </c>
      <c r="U87" s="123">
        <f t="shared" si="11"/>
        <v>1</v>
      </c>
      <c r="V87" s="1"/>
      <c r="W87" s="122">
        <v>72000</v>
      </c>
      <c r="X87" s="125">
        <v>0.5</v>
      </c>
      <c r="Y87" s="125">
        <v>0.5</v>
      </c>
      <c r="Z87" s="9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</row>
    <row r="88" spans="2:341" x14ac:dyDescent="0.25">
      <c r="B88" s="2"/>
      <c r="C88" s="2"/>
      <c r="D88" s="2"/>
      <c r="E88" s="2"/>
      <c r="F88" s="2"/>
      <c r="G88" s="2"/>
      <c r="H88" s="2"/>
      <c r="I88" s="2"/>
      <c r="J88" s="2"/>
      <c r="K88" s="123" t="s">
        <v>197</v>
      </c>
      <c r="L88" s="124">
        <v>6269.8427119162025</v>
      </c>
      <c r="M88" s="124">
        <v>5.1792400749148344</v>
      </c>
      <c r="N88" s="124">
        <v>7594.4891125541835</v>
      </c>
      <c r="O88" s="124">
        <v>6.5575943119381579</v>
      </c>
      <c r="P88" s="123">
        <f t="shared" si="8"/>
        <v>-1324.6464006379811</v>
      </c>
      <c r="Q88" s="123">
        <f t="shared" si="9"/>
        <v>-1.3783542370233235</v>
      </c>
      <c r="R88" s="123">
        <f t="shared" si="6"/>
        <v>97314.958786380477</v>
      </c>
      <c r="S88" s="123">
        <f t="shared" si="7"/>
        <v>123557.39712620899</v>
      </c>
      <c r="T88" s="123">
        <f t="shared" si="10"/>
        <v>0</v>
      </c>
      <c r="U88" s="123">
        <f t="shared" si="11"/>
        <v>1</v>
      </c>
      <c r="V88" s="1"/>
      <c r="W88" s="127">
        <v>73000</v>
      </c>
      <c r="X88" s="125">
        <v>0.5</v>
      </c>
      <c r="Y88" s="125">
        <v>0.5</v>
      </c>
      <c r="Z88" s="9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</row>
    <row r="89" spans="2:341" x14ac:dyDescent="0.25">
      <c r="B89" s="2"/>
      <c r="C89" s="2"/>
      <c r="D89" s="2"/>
      <c r="E89" s="2"/>
      <c r="F89" s="2"/>
      <c r="G89" s="2"/>
      <c r="H89" s="2"/>
      <c r="I89" s="2"/>
      <c r="J89" s="2"/>
      <c r="K89" s="123" t="s">
        <v>198</v>
      </c>
      <c r="L89" s="124">
        <v>11490.329130787186</v>
      </c>
      <c r="M89" s="124">
        <v>10.267441416661615</v>
      </c>
      <c r="N89" s="124">
        <v>9844.0048432133699</v>
      </c>
      <c r="O89" s="124">
        <v>9.4143464953020892</v>
      </c>
      <c r="P89" s="123">
        <f t="shared" si="8"/>
        <v>1646.324287573816</v>
      </c>
      <c r="Q89" s="123">
        <f t="shared" si="9"/>
        <v>0.85309492135952603</v>
      </c>
      <c r="R89" s="123">
        <f t="shared" si="6"/>
        <v>193858.49920244512</v>
      </c>
      <c r="S89" s="123">
        <f t="shared" si="7"/>
        <v>178442.92506282844</v>
      </c>
      <c r="T89" s="123">
        <f t="shared" si="10"/>
        <v>1</v>
      </c>
      <c r="U89" s="123">
        <f t="shared" si="11"/>
        <v>0</v>
      </c>
      <c r="V89" s="1"/>
      <c r="W89" s="122">
        <v>74000</v>
      </c>
      <c r="X89" s="125">
        <v>0.5</v>
      </c>
      <c r="Y89" s="125">
        <v>0.5</v>
      </c>
      <c r="Z89" s="9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</row>
    <row r="90" spans="2:341" x14ac:dyDescent="0.25">
      <c r="B90" s="2"/>
      <c r="C90" s="2"/>
      <c r="D90" s="2"/>
      <c r="E90" s="2"/>
      <c r="F90" s="2"/>
      <c r="G90" s="2"/>
      <c r="H90" s="2"/>
      <c r="I90" s="2"/>
      <c r="J90" s="2"/>
      <c r="K90" s="123" t="s">
        <v>199</v>
      </c>
      <c r="L90" s="124">
        <v>10220.44327223704</v>
      </c>
      <c r="M90" s="124">
        <v>9.0433324632048571</v>
      </c>
      <c r="N90" s="124">
        <v>7485.9804507622257</v>
      </c>
      <c r="O90" s="124">
        <v>6.7873028694571795</v>
      </c>
      <c r="P90" s="123">
        <f t="shared" si="8"/>
        <v>2734.4628214748145</v>
      </c>
      <c r="Q90" s="123">
        <f t="shared" si="9"/>
        <v>2.2560295937476775</v>
      </c>
      <c r="R90" s="123">
        <f t="shared" si="6"/>
        <v>170646.20599186013</v>
      </c>
      <c r="S90" s="123">
        <f t="shared" si="7"/>
        <v>128260.07693838136</v>
      </c>
      <c r="T90" s="123">
        <f t="shared" si="10"/>
        <v>1</v>
      </c>
      <c r="U90" s="123">
        <f t="shared" si="11"/>
        <v>0</v>
      </c>
      <c r="V90" s="1"/>
      <c r="W90" s="127">
        <v>75000</v>
      </c>
      <c r="X90" s="125">
        <v>0.5</v>
      </c>
      <c r="Y90" s="125">
        <v>0.5</v>
      </c>
      <c r="Z90" s="9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</row>
    <row r="91" spans="2:341" x14ac:dyDescent="0.25">
      <c r="B91" s="2"/>
      <c r="C91" s="2"/>
      <c r="D91" s="2"/>
      <c r="E91" s="2"/>
      <c r="F91" s="2"/>
      <c r="G91" s="2"/>
      <c r="H91" s="2"/>
      <c r="I91" s="2"/>
      <c r="J91" s="2"/>
      <c r="K91" s="123" t="s">
        <v>200</v>
      </c>
      <c r="L91" s="124">
        <v>9623.1629375620432</v>
      </c>
      <c r="M91" s="124">
        <v>10.172048621218019</v>
      </c>
      <c r="N91" s="124">
        <v>6052.5585944249297</v>
      </c>
      <c r="O91" s="124">
        <v>6.438540953174674</v>
      </c>
      <c r="P91" s="123">
        <f t="shared" si="8"/>
        <v>3570.6043431371136</v>
      </c>
      <c r="Q91" s="123">
        <f t="shared" si="9"/>
        <v>3.7335076680433454</v>
      </c>
      <c r="R91" s="123">
        <f t="shared" si="6"/>
        <v>193817.80948679836</v>
      </c>
      <c r="S91" s="123">
        <f t="shared" si="7"/>
        <v>122718.26046906855</v>
      </c>
      <c r="T91" s="123">
        <f t="shared" si="10"/>
        <v>1</v>
      </c>
      <c r="U91" s="123">
        <f t="shared" si="11"/>
        <v>0</v>
      </c>
      <c r="V91" s="1"/>
      <c r="W91" s="122">
        <v>76000</v>
      </c>
      <c r="X91" s="125">
        <v>0.5</v>
      </c>
      <c r="Y91" s="125">
        <v>0.5</v>
      </c>
      <c r="Z91" s="9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</row>
    <row r="92" spans="2:341" x14ac:dyDescent="0.25">
      <c r="B92" s="2"/>
      <c r="C92" s="2"/>
      <c r="D92" s="2"/>
      <c r="E92" s="2"/>
      <c r="F92" s="2"/>
      <c r="G92" s="2"/>
      <c r="H92" s="2"/>
      <c r="I92" s="2"/>
      <c r="J92" s="2"/>
      <c r="K92" s="123" t="s">
        <v>201</v>
      </c>
      <c r="L92" s="124">
        <v>7928.9356655303609</v>
      </c>
      <c r="M92" s="124">
        <v>8.793978211425685</v>
      </c>
      <c r="N92" s="124">
        <v>5498.3538902258097</v>
      </c>
      <c r="O92" s="124">
        <v>6.8003563591861003</v>
      </c>
      <c r="P92" s="123">
        <f t="shared" si="8"/>
        <v>2430.5817753045512</v>
      </c>
      <c r="Q92" s="123">
        <f t="shared" si="9"/>
        <v>1.9936218522395848</v>
      </c>
      <c r="R92" s="123">
        <f t="shared" si="6"/>
        <v>167950.62856298336</v>
      </c>
      <c r="S92" s="123">
        <f t="shared" si="7"/>
        <v>130508.7732934962</v>
      </c>
      <c r="T92" s="123">
        <f t="shared" si="10"/>
        <v>1</v>
      </c>
      <c r="U92" s="123">
        <f t="shared" si="11"/>
        <v>0</v>
      </c>
      <c r="V92" s="1"/>
      <c r="W92" s="127">
        <v>77000</v>
      </c>
      <c r="X92" s="125">
        <v>0.5</v>
      </c>
      <c r="Y92" s="125">
        <v>0.5</v>
      </c>
      <c r="Z92" s="9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</row>
    <row r="93" spans="2:341" x14ac:dyDescent="0.25">
      <c r="B93" s="2"/>
      <c r="C93" s="2"/>
      <c r="D93" s="2"/>
      <c r="E93" s="2"/>
      <c r="F93" s="2"/>
      <c r="G93" s="2"/>
      <c r="H93" s="2"/>
      <c r="I93" s="2"/>
      <c r="J93" s="2"/>
      <c r="K93" s="123" t="s">
        <v>202</v>
      </c>
      <c r="L93" s="124">
        <v>6360.7370700185866</v>
      </c>
      <c r="M93" s="124">
        <v>5.3476881079547471</v>
      </c>
      <c r="N93" s="124">
        <v>7129.1503285016115</v>
      </c>
      <c r="O93" s="124">
        <v>6.7514657370021887</v>
      </c>
      <c r="P93" s="123">
        <f t="shared" si="8"/>
        <v>-768.41325848302495</v>
      </c>
      <c r="Q93" s="123">
        <f t="shared" si="9"/>
        <v>-1.4037776290474415</v>
      </c>
      <c r="R93" s="123">
        <f t="shared" si="6"/>
        <v>100593.02508907636</v>
      </c>
      <c r="S93" s="123">
        <f t="shared" si="7"/>
        <v>127900.16441154217</v>
      </c>
      <c r="T93" s="123">
        <f t="shared" si="10"/>
        <v>0</v>
      </c>
      <c r="U93" s="123">
        <f t="shared" si="11"/>
        <v>1</v>
      </c>
      <c r="V93" s="1"/>
      <c r="W93" s="122">
        <v>78000</v>
      </c>
      <c r="X93" s="125">
        <v>0.5</v>
      </c>
      <c r="Y93" s="125">
        <v>0.5</v>
      </c>
      <c r="Z93" s="9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</row>
    <row r="94" spans="2:341" x14ac:dyDescent="0.25">
      <c r="B94" s="2"/>
      <c r="C94" s="2"/>
      <c r="D94" s="2"/>
      <c r="E94" s="2"/>
      <c r="F94" s="2"/>
      <c r="G94" s="2"/>
      <c r="H94" s="2"/>
      <c r="I94" s="2"/>
      <c r="J94" s="2"/>
      <c r="K94" s="123" t="s">
        <v>203</v>
      </c>
      <c r="L94" s="124">
        <v>10305.185334513622</v>
      </c>
      <c r="M94" s="124">
        <v>9.3324654983738977</v>
      </c>
      <c r="N94" s="124">
        <v>8683.5756375818291</v>
      </c>
      <c r="O94" s="124">
        <v>8.6104154767944063</v>
      </c>
      <c r="P94" s="123">
        <f t="shared" si="8"/>
        <v>1621.6096969317932</v>
      </c>
      <c r="Q94" s="123">
        <f t="shared" si="9"/>
        <v>0.72205002157949139</v>
      </c>
      <c r="R94" s="123">
        <f t="shared" si="6"/>
        <v>176344.12463296432</v>
      </c>
      <c r="S94" s="123">
        <f t="shared" si="7"/>
        <v>163524.73389830632</v>
      </c>
      <c r="T94" s="123">
        <f t="shared" si="10"/>
        <v>1</v>
      </c>
      <c r="U94" s="123">
        <f t="shared" si="11"/>
        <v>0</v>
      </c>
      <c r="V94" s="1"/>
      <c r="W94" s="127">
        <v>79000</v>
      </c>
      <c r="X94" s="125">
        <v>0.5</v>
      </c>
      <c r="Y94" s="125">
        <v>0.5</v>
      </c>
      <c r="Z94" s="9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</row>
    <row r="95" spans="2:341" x14ac:dyDescent="0.25">
      <c r="B95" s="2"/>
      <c r="C95" s="2"/>
      <c r="D95" s="2"/>
      <c r="E95" s="2"/>
      <c r="F95" s="2"/>
      <c r="G95" s="2"/>
      <c r="H95" s="2"/>
      <c r="I95" s="2"/>
      <c r="J95" s="2"/>
      <c r="K95" s="123" t="s">
        <v>204</v>
      </c>
      <c r="L95" s="124">
        <v>7985.2810861116832</v>
      </c>
      <c r="M95" s="124">
        <v>7.308793710555018</v>
      </c>
      <c r="N95" s="124">
        <v>7641.0630243023379</v>
      </c>
      <c r="O95" s="124">
        <v>7.7666108205181725</v>
      </c>
      <c r="P95" s="123">
        <f t="shared" si="8"/>
        <v>344.21806180934527</v>
      </c>
      <c r="Q95" s="123">
        <f t="shared" si="9"/>
        <v>-0.4578171099631545</v>
      </c>
      <c r="R95" s="123">
        <f t="shared" si="6"/>
        <v>138190.59312498869</v>
      </c>
      <c r="S95" s="123">
        <f t="shared" si="7"/>
        <v>147691.15338606111</v>
      </c>
      <c r="T95" s="123">
        <f t="shared" si="10"/>
        <v>0</v>
      </c>
      <c r="U95" s="123">
        <f t="shared" si="11"/>
        <v>1</v>
      </c>
      <c r="V95" s="1"/>
      <c r="W95" s="122">
        <v>80000</v>
      </c>
      <c r="X95" s="125">
        <v>0.5</v>
      </c>
      <c r="Y95" s="125">
        <v>0.5</v>
      </c>
      <c r="Z95" s="9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</row>
    <row r="96" spans="2:341" x14ac:dyDescent="0.25">
      <c r="B96" s="2"/>
      <c r="C96" s="2"/>
      <c r="D96" s="2"/>
      <c r="E96" s="2"/>
      <c r="F96" s="2"/>
      <c r="G96" s="2"/>
      <c r="H96" s="2"/>
      <c r="I96" s="2"/>
      <c r="J96" s="2"/>
      <c r="K96" s="123" t="s">
        <v>205</v>
      </c>
      <c r="L96" s="124">
        <v>11755.445850307315</v>
      </c>
      <c r="M96" s="124">
        <v>10.136206109213404</v>
      </c>
      <c r="N96" s="124">
        <v>8760.9226858458478</v>
      </c>
      <c r="O96" s="124">
        <v>7.6842085336532158</v>
      </c>
      <c r="P96" s="123">
        <f t="shared" si="8"/>
        <v>2994.5231644614669</v>
      </c>
      <c r="Q96" s="123">
        <f t="shared" si="9"/>
        <v>2.4519975755601884</v>
      </c>
      <c r="R96" s="123">
        <f t="shared" si="6"/>
        <v>190968.67633396076</v>
      </c>
      <c r="S96" s="123">
        <f t="shared" si="7"/>
        <v>144923.24798721846</v>
      </c>
      <c r="T96" s="123">
        <f t="shared" si="10"/>
        <v>1</v>
      </c>
      <c r="U96" s="123">
        <f t="shared" si="11"/>
        <v>0</v>
      </c>
      <c r="V96" s="1"/>
      <c r="W96" s="127">
        <v>81000</v>
      </c>
      <c r="X96" s="125">
        <v>0.5</v>
      </c>
      <c r="Y96" s="125">
        <v>0.5</v>
      </c>
      <c r="Z96" s="9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</row>
    <row r="97" spans="2:61" x14ac:dyDescent="0.25">
      <c r="B97" s="2"/>
      <c r="C97" s="2"/>
      <c r="D97" s="2"/>
      <c r="E97" s="2"/>
      <c r="F97" s="2"/>
      <c r="G97" s="2"/>
      <c r="H97" s="2"/>
      <c r="I97" s="2"/>
      <c r="J97" s="2"/>
      <c r="K97" s="123" t="s">
        <v>206</v>
      </c>
      <c r="L97" s="124">
        <v>5881.8240728796591</v>
      </c>
      <c r="M97" s="124">
        <v>5.2121276530434253</v>
      </c>
      <c r="N97" s="124">
        <v>6357.3309788848255</v>
      </c>
      <c r="O97" s="124">
        <v>6.429805432088548</v>
      </c>
      <c r="P97" s="123">
        <f t="shared" si="8"/>
        <v>-475.50690600516646</v>
      </c>
      <c r="Q97" s="123">
        <f t="shared" si="9"/>
        <v>-1.2176777790451228</v>
      </c>
      <c r="R97" s="123">
        <f t="shared" si="6"/>
        <v>98360.728987988841</v>
      </c>
      <c r="S97" s="123">
        <f t="shared" si="7"/>
        <v>122238.77766288613</v>
      </c>
      <c r="T97" s="123">
        <f t="shared" si="10"/>
        <v>0</v>
      </c>
      <c r="U97" s="123">
        <f t="shared" si="11"/>
        <v>1</v>
      </c>
      <c r="V97" s="1"/>
      <c r="W97" s="122">
        <v>82000</v>
      </c>
      <c r="X97" s="125">
        <v>0.5</v>
      </c>
      <c r="Y97" s="125">
        <v>0.5</v>
      </c>
      <c r="Z97" s="9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</row>
    <row r="98" spans="2:61" x14ac:dyDescent="0.25">
      <c r="B98" s="2"/>
      <c r="C98" s="2"/>
      <c r="D98" s="2"/>
      <c r="E98" s="2"/>
      <c r="F98" s="2"/>
      <c r="G98" s="2"/>
      <c r="H98" s="2"/>
      <c r="I98" s="2"/>
      <c r="J98" s="2"/>
      <c r="K98" s="123" t="s">
        <v>207</v>
      </c>
      <c r="L98" s="124">
        <v>8558.8886214078284</v>
      </c>
      <c r="M98" s="124">
        <v>8.6587771342575337</v>
      </c>
      <c r="N98" s="124">
        <v>7222.8471744375602</v>
      </c>
      <c r="O98" s="124">
        <v>8.5765427913048811</v>
      </c>
      <c r="P98" s="123">
        <f t="shared" si="8"/>
        <v>1336.0414469702682</v>
      </c>
      <c r="Q98" s="123">
        <f t="shared" si="9"/>
        <v>8.2234342952652639E-2</v>
      </c>
      <c r="R98" s="123">
        <f t="shared" si="6"/>
        <v>164616.65406374284</v>
      </c>
      <c r="S98" s="123">
        <f t="shared" si="7"/>
        <v>164308.00865166006</v>
      </c>
      <c r="T98" s="123">
        <f t="shared" si="10"/>
        <v>1</v>
      </c>
      <c r="U98" s="123">
        <f t="shared" si="11"/>
        <v>0</v>
      </c>
      <c r="V98" s="1"/>
      <c r="W98" s="127">
        <v>83000</v>
      </c>
      <c r="X98" s="125">
        <v>0.5</v>
      </c>
      <c r="Y98" s="125">
        <v>0.5</v>
      </c>
      <c r="Z98" s="9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</row>
    <row r="99" spans="2:61" x14ac:dyDescent="0.25">
      <c r="B99" s="2"/>
      <c r="C99" s="2"/>
      <c r="D99" s="2"/>
      <c r="E99" s="2"/>
      <c r="F99" s="2"/>
      <c r="G99" s="2"/>
      <c r="H99" s="2"/>
      <c r="I99" s="2"/>
      <c r="J99" s="2"/>
      <c r="K99" s="123" t="s">
        <v>208</v>
      </c>
      <c r="L99" s="124">
        <v>7998.2685164636659</v>
      </c>
      <c r="M99" s="124">
        <v>7.1504833387281241</v>
      </c>
      <c r="N99" s="124">
        <v>8420.8637346788564</v>
      </c>
      <c r="O99" s="124">
        <v>8.0016639572424051</v>
      </c>
      <c r="P99" s="123">
        <f t="shared" si="8"/>
        <v>-422.59521821519047</v>
      </c>
      <c r="Q99" s="123">
        <f t="shared" si="9"/>
        <v>-0.85118061851428095</v>
      </c>
      <c r="R99" s="123">
        <f t="shared" si="6"/>
        <v>135011.39825809881</v>
      </c>
      <c r="S99" s="123">
        <f t="shared" si="7"/>
        <v>151612.41541016925</v>
      </c>
      <c r="T99" s="123">
        <f t="shared" si="10"/>
        <v>0</v>
      </c>
      <c r="U99" s="123">
        <f t="shared" si="11"/>
        <v>1</v>
      </c>
      <c r="V99" s="1"/>
      <c r="W99" s="122">
        <v>84000</v>
      </c>
      <c r="X99" s="125">
        <v>0.5</v>
      </c>
      <c r="Y99" s="125">
        <v>0.5</v>
      </c>
      <c r="Z99" s="9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</row>
    <row r="100" spans="2:61" x14ac:dyDescent="0.25">
      <c r="B100" s="2"/>
      <c r="C100" s="2"/>
      <c r="D100" s="2"/>
      <c r="E100" s="2"/>
      <c r="F100" s="2"/>
      <c r="G100" s="2"/>
      <c r="H100" s="2"/>
      <c r="I100" s="2"/>
      <c r="J100" s="2"/>
      <c r="K100" s="123" t="s">
        <v>209</v>
      </c>
      <c r="L100" s="124">
        <v>7212.9589818154464</v>
      </c>
      <c r="M100" s="124">
        <v>6.7911229693799289</v>
      </c>
      <c r="N100" s="124">
        <v>4881.7801933136525</v>
      </c>
      <c r="O100" s="124">
        <v>4.7729488384493521</v>
      </c>
      <c r="P100" s="123">
        <f t="shared" si="8"/>
        <v>2331.1787885017939</v>
      </c>
      <c r="Q100" s="123">
        <f t="shared" si="9"/>
        <v>2.0181741309305767</v>
      </c>
      <c r="R100" s="123">
        <f t="shared" si="6"/>
        <v>128609.50040578314</v>
      </c>
      <c r="S100" s="123">
        <f t="shared" si="7"/>
        <v>90577.196575673399</v>
      </c>
      <c r="T100" s="123">
        <f t="shared" si="10"/>
        <v>1</v>
      </c>
      <c r="U100" s="123">
        <f t="shared" si="11"/>
        <v>0</v>
      </c>
      <c r="V100" s="1"/>
      <c r="W100" s="127">
        <v>85000</v>
      </c>
      <c r="X100" s="125">
        <v>0.5</v>
      </c>
      <c r="Y100" s="125">
        <v>0.5</v>
      </c>
      <c r="Z100" s="9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</row>
    <row r="101" spans="2:61" x14ac:dyDescent="0.25">
      <c r="B101" s="2"/>
      <c r="C101" s="2"/>
      <c r="D101" s="2"/>
      <c r="E101" s="2"/>
      <c r="F101" s="2"/>
      <c r="G101" s="2"/>
      <c r="H101" s="2"/>
      <c r="I101" s="2"/>
      <c r="J101" s="2"/>
      <c r="K101" s="123" t="s">
        <v>210</v>
      </c>
      <c r="L101" s="124">
        <v>6413.0792727619892</v>
      </c>
      <c r="M101" s="124">
        <v>6.1943344763978176</v>
      </c>
      <c r="N101" s="124">
        <v>5745.22864344344</v>
      </c>
      <c r="O101" s="124">
        <v>5.7080432274042634</v>
      </c>
      <c r="P101" s="123">
        <f t="shared" si="8"/>
        <v>667.85062931854918</v>
      </c>
      <c r="Q101" s="123">
        <f t="shared" si="9"/>
        <v>0.48629124899355425</v>
      </c>
      <c r="R101" s="123">
        <f t="shared" si="6"/>
        <v>117473.61025519436</v>
      </c>
      <c r="S101" s="123">
        <f t="shared" si="7"/>
        <v>108415.63590464184</v>
      </c>
      <c r="T101" s="123">
        <f t="shared" si="10"/>
        <v>1</v>
      </c>
      <c r="U101" s="123">
        <f t="shared" si="11"/>
        <v>0</v>
      </c>
      <c r="V101" s="1"/>
      <c r="W101" s="122">
        <v>86000</v>
      </c>
      <c r="X101" s="125">
        <v>0.5</v>
      </c>
      <c r="Y101" s="125">
        <v>0.5</v>
      </c>
      <c r="Z101" s="9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</row>
    <row r="102" spans="2:61" x14ac:dyDescent="0.25">
      <c r="B102" s="2"/>
      <c r="C102" s="2"/>
      <c r="D102" s="2"/>
      <c r="E102" s="2"/>
      <c r="F102" s="2"/>
      <c r="G102" s="2"/>
      <c r="H102" s="2"/>
      <c r="I102" s="2"/>
      <c r="J102" s="2"/>
      <c r="K102" s="123" t="s">
        <v>211</v>
      </c>
      <c r="L102" s="124">
        <v>8361.7755901916062</v>
      </c>
      <c r="M102" s="124">
        <v>8.4573245533843178</v>
      </c>
      <c r="N102" s="124">
        <v>4791.2483675792564</v>
      </c>
      <c r="O102" s="124">
        <v>5.6292034919809115</v>
      </c>
      <c r="P102" s="123">
        <f t="shared" si="8"/>
        <v>3570.5272226123498</v>
      </c>
      <c r="Q102" s="123">
        <f t="shared" si="9"/>
        <v>2.8281210614034062</v>
      </c>
      <c r="R102" s="123">
        <f t="shared" si="6"/>
        <v>160784.71547749476</v>
      </c>
      <c r="S102" s="123">
        <f t="shared" si="7"/>
        <v>107792.82147203897</v>
      </c>
      <c r="T102" s="123">
        <f t="shared" si="10"/>
        <v>1</v>
      </c>
      <c r="U102" s="123">
        <f t="shared" si="11"/>
        <v>0</v>
      </c>
      <c r="V102" s="1"/>
      <c r="W102" s="127">
        <v>87000</v>
      </c>
      <c r="X102" s="125">
        <v>0.5</v>
      </c>
      <c r="Y102" s="125">
        <v>0.5</v>
      </c>
      <c r="Z102" s="9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</row>
    <row r="103" spans="2:61" x14ac:dyDescent="0.25">
      <c r="B103" s="2"/>
      <c r="C103" s="2"/>
      <c r="D103" s="2"/>
      <c r="E103" s="2"/>
      <c r="F103" s="2"/>
      <c r="G103" s="2"/>
      <c r="H103" s="2"/>
      <c r="I103" s="2"/>
      <c r="J103" s="2"/>
      <c r="K103" s="123" t="s">
        <v>212</v>
      </c>
      <c r="L103" s="124">
        <v>8652.9869585023225</v>
      </c>
      <c r="M103" s="124">
        <v>7.6671522897549602</v>
      </c>
      <c r="N103" s="124">
        <v>6217.1065382668394</v>
      </c>
      <c r="O103" s="124">
        <v>5.9568172533447097</v>
      </c>
      <c r="P103" s="123">
        <f t="shared" si="8"/>
        <v>2435.8804202354831</v>
      </c>
      <c r="Q103" s="123">
        <f t="shared" si="9"/>
        <v>1.7103350364102505</v>
      </c>
      <c r="R103" s="123">
        <f t="shared" si="6"/>
        <v>144690.05883659687</v>
      </c>
      <c r="S103" s="123">
        <f t="shared" si="7"/>
        <v>112919.23852862735</v>
      </c>
      <c r="T103" s="123">
        <f t="shared" si="10"/>
        <v>1</v>
      </c>
      <c r="U103" s="123">
        <f t="shared" si="11"/>
        <v>0</v>
      </c>
      <c r="V103" s="1"/>
      <c r="W103" s="122">
        <v>88000</v>
      </c>
      <c r="X103" s="125">
        <v>0.5</v>
      </c>
      <c r="Y103" s="125">
        <v>0.5</v>
      </c>
      <c r="Z103" s="9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</row>
    <row r="104" spans="2:61" x14ac:dyDescent="0.25">
      <c r="B104" s="2"/>
      <c r="C104" s="2"/>
      <c r="D104" s="2"/>
      <c r="E104" s="2"/>
      <c r="F104" s="2"/>
      <c r="G104" s="2"/>
      <c r="H104" s="2"/>
      <c r="I104" s="2"/>
      <c r="J104" s="2"/>
      <c r="K104" s="123" t="s">
        <v>213</v>
      </c>
      <c r="L104" s="124">
        <v>7830.6947517065473</v>
      </c>
      <c r="M104" s="124">
        <v>6.5721243368904521</v>
      </c>
      <c r="N104" s="124">
        <v>5633.4412794433574</v>
      </c>
      <c r="O104" s="124">
        <v>4.820402956454096</v>
      </c>
      <c r="P104" s="123">
        <f t="shared" si="8"/>
        <v>2197.2534722631899</v>
      </c>
      <c r="Q104" s="123">
        <f t="shared" si="9"/>
        <v>1.7517213804363561</v>
      </c>
      <c r="R104" s="123">
        <f t="shared" si="6"/>
        <v>123611.79198610249</v>
      </c>
      <c r="S104" s="123">
        <f t="shared" si="7"/>
        <v>90774.617849638555</v>
      </c>
      <c r="T104" s="123">
        <f t="shared" si="10"/>
        <v>1</v>
      </c>
      <c r="U104" s="123">
        <f t="shared" si="11"/>
        <v>0</v>
      </c>
      <c r="V104" s="1"/>
      <c r="W104" s="127">
        <v>89000</v>
      </c>
      <c r="X104" s="125">
        <v>0.5</v>
      </c>
      <c r="Y104" s="125">
        <v>0.5</v>
      </c>
      <c r="Z104" s="9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</row>
    <row r="105" spans="2:61" x14ac:dyDescent="0.25">
      <c r="B105" s="2"/>
      <c r="C105" s="2"/>
      <c r="D105" s="2"/>
      <c r="E105" s="2"/>
      <c r="F105" s="2"/>
      <c r="G105" s="2"/>
      <c r="H105" s="2"/>
      <c r="I105" s="2"/>
      <c r="J105" s="2"/>
      <c r="K105" s="123" t="s">
        <v>214</v>
      </c>
      <c r="L105" s="124">
        <v>9779.6975143678901</v>
      </c>
      <c r="M105" s="124">
        <v>8.2807866299754718</v>
      </c>
      <c r="N105" s="124">
        <v>8514.6796559193135</v>
      </c>
      <c r="O105" s="124">
        <v>7.5583776721589029</v>
      </c>
      <c r="P105" s="123">
        <f t="shared" si="8"/>
        <v>1265.0178584485766</v>
      </c>
      <c r="Q105" s="123">
        <f t="shared" si="9"/>
        <v>0.72240895781656889</v>
      </c>
      <c r="R105" s="123">
        <f t="shared" si="6"/>
        <v>155836.03508514154</v>
      </c>
      <c r="S105" s="123">
        <f t="shared" si="7"/>
        <v>142652.87378725875</v>
      </c>
      <c r="T105" s="123">
        <f t="shared" si="10"/>
        <v>1</v>
      </c>
      <c r="U105" s="123">
        <f t="shared" si="11"/>
        <v>0</v>
      </c>
      <c r="V105" s="1"/>
      <c r="W105" s="122">
        <v>90000</v>
      </c>
      <c r="X105" s="125">
        <v>0.5</v>
      </c>
      <c r="Y105" s="125">
        <v>0.5</v>
      </c>
      <c r="Z105" s="9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</row>
    <row r="106" spans="2:61" x14ac:dyDescent="0.25">
      <c r="B106" s="2"/>
      <c r="C106" s="2"/>
      <c r="D106" s="2"/>
      <c r="E106" s="2"/>
      <c r="F106" s="2"/>
      <c r="G106" s="2"/>
      <c r="H106" s="2"/>
      <c r="I106" s="2"/>
      <c r="J106" s="2"/>
      <c r="K106" s="123" t="s">
        <v>215</v>
      </c>
      <c r="L106" s="124">
        <v>9786.0836018452173</v>
      </c>
      <c r="M106" s="124">
        <v>8.4334948841339585</v>
      </c>
      <c r="N106" s="124">
        <v>8015.5599359747766</v>
      </c>
      <c r="O106" s="124">
        <v>8.1964168946457665</v>
      </c>
      <c r="P106" s="123">
        <f t="shared" si="8"/>
        <v>1770.5236658704407</v>
      </c>
      <c r="Q106" s="123">
        <f t="shared" si="9"/>
        <v>0.23707798948819203</v>
      </c>
      <c r="R106" s="123">
        <f t="shared" si="6"/>
        <v>158883.81408083395</v>
      </c>
      <c r="S106" s="123">
        <f t="shared" si="7"/>
        <v>155912.77795694055</v>
      </c>
      <c r="T106" s="123">
        <f t="shared" si="10"/>
        <v>1</v>
      </c>
      <c r="U106" s="123">
        <f t="shared" si="11"/>
        <v>0</v>
      </c>
      <c r="V106" s="1"/>
      <c r="W106" s="127">
        <v>91000</v>
      </c>
      <c r="X106" s="125">
        <v>0.5</v>
      </c>
      <c r="Y106" s="125">
        <v>0.5</v>
      </c>
      <c r="Z106" s="9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</row>
    <row r="107" spans="2:61" x14ac:dyDescent="0.25">
      <c r="B107" s="2"/>
      <c r="C107" s="2"/>
      <c r="D107" s="2"/>
      <c r="E107" s="2"/>
      <c r="F107" s="2"/>
      <c r="G107" s="2"/>
      <c r="H107" s="2"/>
      <c r="I107" s="2"/>
      <c r="J107" s="2"/>
      <c r="K107" s="123" t="s">
        <v>216</v>
      </c>
      <c r="L107" s="124">
        <v>7322.5382170617486</v>
      </c>
      <c r="M107" s="124">
        <v>6.713715567234078</v>
      </c>
      <c r="N107" s="124">
        <v>7602.6720739458469</v>
      </c>
      <c r="O107" s="124">
        <v>7.5850514996450977</v>
      </c>
      <c r="P107" s="123">
        <f t="shared" si="8"/>
        <v>-280.13385688409835</v>
      </c>
      <c r="Q107" s="123">
        <f t="shared" si="9"/>
        <v>-0.8713359324110197</v>
      </c>
      <c r="R107" s="123">
        <f t="shared" si="6"/>
        <v>126951.77312761982</v>
      </c>
      <c r="S107" s="123">
        <f t="shared" si="7"/>
        <v>144098.35791895611</v>
      </c>
      <c r="T107" s="123">
        <f t="shared" si="10"/>
        <v>0</v>
      </c>
      <c r="U107" s="123">
        <f t="shared" si="11"/>
        <v>1</v>
      </c>
      <c r="V107" s="1"/>
      <c r="W107" s="122">
        <v>92000</v>
      </c>
      <c r="X107" s="125">
        <v>0.5</v>
      </c>
      <c r="Y107" s="125">
        <v>0.5</v>
      </c>
      <c r="Z107" s="9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</row>
    <row r="108" spans="2:61" x14ac:dyDescent="0.25">
      <c r="B108" s="2"/>
      <c r="C108" s="2"/>
      <c r="D108" s="2"/>
      <c r="E108" s="2"/>
      <c r="F108" s="2"/>
      <c r="G108" s="2"/>
      <c r="H108" s="2"/>
      <c r="I108" s="2"/>
      <c r="J108" s="2"/>
      <c r="K108" s="123" t="s">
        <v>217</v>
      </c>
      <c r="L108" s="124">
        <v>10683.133471656489</v>
      </c>
      <c r="M108" s="124">
        <v>10.196422646031905</v>
      </c>
      <c r="N108" s="124">
        <v>7235.799191540028</v>
      </c>
      <c r="O108" s="124">
        <v>7.247784159707173</v>
      </c>
      <c r="P108" s="123">
        <f t="shared" si="8"/>
        <v>3447.3342801164608</v>
      </c>
      <c r="Q108" s="123">
        <f t="shared" si="9"/>
        <v>2.9486384863247324</v>
      </c>
      <c r="R108" s="123">
        <f t="shared" si="6"/>
        <v>193245.31944898161</v>
      </c>
      <c r="S108" s="123">
        <f t="shared" si="7"/>
        <v>137719.88400260344</v>
      </c>
      <c r="T108" s="123">
        <f t="shared" si="10"/>
        <v>1</v>
      </c>
      <c r="U108" s="123">
        <f t="shared" si="11"/>
        <v>0</v>
      </c>
      <c r="V108" s="1"/>
      <c r="W108" s="127">
        <v>93000</v>
      </c>
      <c r="X108" s="125">
        <v>0.5</v>
      </c>
      <c r="Y108" s="125">
        <v>0.5</v>
      </c>
      <c r="Z108" s="9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</row>
    <row r="109" spans="2:61" x14ac:dyDescent="0.25">
      <c r="B109" s="2"/>
      <c r="C109" s="2"/>
      <c r="D109" s="2"/>
      <c r="E109" s="2"/>
      <c r="F109" s="2"/>
      <c r="G109" s="2"/>
      <c r="H109" s="2"/>
      <c r="I109" s="2"/>
      <c r="J109" s="2"/>
      <c r="K109" s="123" t="s">
        <v>218</v>
      </c>
      <c r="L109" s="124">
        <v>6334.9047328246761</v>
      </c>
      <c r="M109" s="124">
        <v>6.2776150486137992</v>
      </c>
      <c r="N109" s="124">
        <v>5969.9160356519033</v>
      </c>
      <c r="O109" s="124">
        <v>6.6512955073177524</v>
      </c>
      <c r="P109" s="123">
        <f t="shared" si="8"/>
        <v>364.98869717277285</v>
      </c>
      <c r="Q109" s="123">
        <f t="shared" si="9"/>
        <v>-0.37368045870395328</v>
      </c>
      <c r="R109" s="123">
        <f t="shared" si="6"/>
        <v>119217.39623945131</v>
      </c>
      <c r="S109" s="123">
        <f t="shared" si="7"/>
        <v>127055.99411070315</v>
      </c>
      <c r="T109" s="123">
        <f t="shared" si="10"/>
        <v>0</v>
      </c>
      <c r="U109" s="123">
        <f t="shared" si="11"/>
        <v>1</v>
      </c>
      <c r="V109" s="1"/>
      <c r="W109" s="122">
        <v>94000</v>
      </c>
      <c r="X109" s="125">
        <v>0.5</v>
      </c>
      <c r="Y109" s="125">
        <v>0.5</v>
      </c>
      <c r="Z109" s="9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</row>
    <row r="110" spans="2:61" x14ac:dyDescent="0.25">
      <c r="B110" s="2"/>
      <c r="C110" s="2"/>
      <c r="D110" s="2"/>
      <c r="E110" s="2"/>
      <c r="F110" s="2"/>
      <c r="G110" s="2"/>
      <c r="H110" s="2"/>
      <c r="I110" s="2"/>
      <c r="J110" s="2"/>
      <c r="K110" s="123" t="s">
        <v>219</v>
      </c>
      <c r="L110" s="124">
        <v>12257.094598860127</v>
      </c>
      <c r="M110" s="124">
        <v>12.039633593779101</v>
      </c>
      <c r="N110" s="124">
        <v>6640.9582153801593</v>
      </c>
      <c r="O110" s="124">
        <v>7.1836122753389118</v>
      </c>
      <c r="P110" s="123">
        <f t="shared" si="8"/>
        <v>5616.1363834799677</v>
      </c>
      <c r="Q110" s="123">
        <f t="shared" si="9"/>
        <v>4.856021318440189</v>
      </c>
      <c r="R110" s="123">
        <f t="shared" si="6"/>
        <v>228535.57727672189</v>
      </c>
      <c r="S110" s="123">
        <f t="shared" si="7"/>
        <v>137031.2872913981</v>
      </c>
      <c r="T110" s="123">
        <f t="shared" si="10"/>
        <v>1</v>
      </c>
      <c r="U110" s="123">
        <f t="shared" si="11"/>
        <v>0</v>
      </c>
      <c r="V110" s="1"/>
      <c r="W110" s="127">
        <v>95000</v>
      </c>
      <c r="X110" s="125">
        <v>0.5</v>
      </c>
      <c r="Y110" s="125">
        <v>0.5</v>
      </c>
      <c r="Z110" s="9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</row>
    <row r="111" spans="2:61" x14ac:dyDescent="0.25">
      <c r="B111" s="2"/>
      <c r="C111" s="2"/>
      <c r="D111" s="2"/>
      <c r="E111" s="2"/>
      <c r="F111" s="2"/>
      <c r="G111" s="2"/>
      <c r="H111" s="2"/>
      <c r="I111" s="2"/>
      <c r="J111" s="2"/>
      <c r="K111" s="123" t="s">
        <v>220</v>
      </c>
      <c r="L111" s="124">
        <v>5960.3608878249188</v>
      </c>
      <c r="M111" s="124">
        <v>5.5223062609512708</v>
      </c>
      <c r="N111" s="124">
        <v>5774.0832896706752</v>
      </c>
      <c r="O111" s="124">
        <v>5.4937657258213779</v>
      </c>
      <c r="P111" s="123">
        <f t="shared" si="8"/>
        <v>186.27759815424361</v>
      </c>
      <c r="Q111" s="123">
        <f t="shared" si="9"/>
        <v>2.8540535129892852E-2</v>
      </c>
      <c r="R111" s="123">
        <f t="shared" si="6"/>
        <v>104485.76433120049</v>
      </c>
      <c r="S111" s="123">
        <f t="shared" si="7"/>
        <v>104101.23122675689</v>
      </c>
      <c r="T111" s="123">
        <f t="shared" si="10"/>
        <v>1</v>
      </c>
      <c r="U111" s="123">
        <f t="shared" si="11"/>
        <v>0</v>
      </c>
      <c r="V111" s="1"/>
      <c r="W111" s="122">
        <v>96000</v>
      </c>
      <c r="X111" s="125">
        <v>0.5</v>
      </c>
      <c r="Y111" s="125">
        <v>0.5</v>
      </c>
      <c r="Z111" s="9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</row>
    <row r="112" spans="2:61" x14ac:dyDescent="0.25">
      <c r="B112" s="2"/>
      <c r="C112" s="2"/>
      <c r="D112" s="2"/>
      <c r="E112" s="2"/>
      <c r="F112" s="2"/>
      <c r="G112" s="2"/>
      <c r="H112" s="2"/>
      <c r="I112" s="2"/>
      <c r="J112" s="2"/>
      <c r="K112" s="123" t="s">
        <v>221</v>
      </c>
      <c r="L112" s="124">
        <v>8213.7998172925745</v>
      </c>
      <c r="M112" s="124">
        <v>7.4646139816312616</v>
      </c>
      <c r="N112" s="124">
        <v>6501.1733621539424</v>
      </c>
      <c r="O112" s="124">
        <v>6.2109044649176566</v>
      </c>
      <c r="P112" s="123">
        <f t="shared" si="8"/>
        <v>1712.6264551386321</v>
      </c>
      <c r="Q112" s="123">
        <f t="shared" si="9"/>
        <v>1.253709516713605</v>
      </c>
      <c r="R112" s="123">
        <f t="shared" si="6"/>
        <v>141078.47981533266</v>
      </c>
      <c r="S112" s="123">
        <f t="shared" si="7"/>
        <v>117716.91593619919</v>
      </c>
      <c r="T112" s="123">
        <f t="shared" si="10"/>
        <v>1</v>
      </c>
      <c r="U112" s="123">
        <f t="shared" si="11"/>
        <v>0</v>
      </c>
      <c r="V112" s="1"/>
      <c r="W112" s="127">
        <v>97000</v>
      </c>
      <c r="X112" s="125">
        <v>0.5</v>
      </c>
      <c r="Y112" s="125">
        <v>0.5</v>
      </c>
      <c r="Z112" s="9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</row>
    <row r="113" spans="2:61" x14ac:dyDescent="0.25">
      <c r="B113" s="2"/>
      <c r="C113" s="2"/>
      <c r="D113" s="2"/>
      <c r="E113" s="2"/>
      <c r="F113" s="2"/>
      <c r="G113" s="2"/>
      <c r="H113" s="2"/>
      <c r="I113" s="2"/>
      <c r="J113" s="2"/>
      <c r="K113" s="123" t="s">
        <v>222</v>
      </c>
      <c r="L113" s="124">
        <v>11205.752871112674</v>
      </c>
      <c r="M113" s="124">
        <v>10.165566701897713</v>
      </c>
      <c r="N113" s="124">
        <v>6431.0768956307957</v>
      </c>
      <c r="O113" s="124">
        <v>6.1419319421696033</v>
      </c>
      <c r="P113" s="123">
        <f t="shared" si="8"/>
        <v>4774.6759754818786</v>
      </c>
      <c r="Q113" s="123">
        <f t="shared" si="9"/>
        <v>4.0236347597281101</v>
      </c>
      <c r="R113" s="123">
        <f t="shared" si="6"/>
        <v>192105.58116684161</v>
      </c>
      <c r="S113" s="123">
        <f t="shared" si="7"/>
        <v>116407.56194776126</v>
      </c>
      <c r="T113" s="123">
        <f t="shared" si="10"/>
        <v>1</v>
      </c>
      <c r="U113" s="123">
        <f t="shared" si="11"/>
        <v>0</v>
      </c>
      <c r="V113" s="1"/>
      <c r="W113" s="122">
        <v>98000</v>
      </c>
      <c r="X113" s="125">
        <v>0.5</v>
      </c>
      <c r="Y113" s="125">
        <v>0.5</v>
      </c>
      <c r="Z113" s="9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</row>
    <row r="114" spans="2:61" x14ac:dyDescent="0.25">
      <c r="B114" s="2"/>
      <c r="C114" s="2"/>
      <c r="D114" s="2"/>
      <c r="E114" s="2"/>
      <c r="F114" s="2"/>
      <c r="G114" s="2"/>
      <c r="H114" s="2"/>
      <c r="I114" s="2"/>
      <c r="J114" s="2"/>
      <c r="K114" s="123" t="s">
        <v>223</v>
      </c>
      <c r="L114" s="124">
        <v>8168.2389919236957</v>
      </c>
      <c r="M114" s="124">
        <v>7.5987781990027603</v>
      </c>
      <c r="N114" s="124">
        <v>8284.438744296147</v>
      </c>
      <c r="O114" s="124">
        <v>8.4649036347351867</v>
      </c>
      <c r="P114" s="123">
        <f t="shared" si="8"/>
        <v>-116.19975237245126</v>
      </c>
      <c r="Q114" s="123">
        <f t="shared" si="9"/>
        <v>-0.8661254357324264</v>
      </c>
      <c r="R114" s="123">
        <f t="shared" si="6"/>
        <v>143807.32498813153</v>
      </c>
      <c r="S114" s="123">
        <f t="shared" si="7"/>
        <v>161013.63395040759</v>
      </c>
      <c r="T114" s="123">
        <f t="shared" si="10"/>
        <v>0</v>
      </c>
      <c r="U114" s="123">
        <f t="shared" si="11"/>
        <v>1</v>
      </c>
      <c r="V114" s="1"/>
      <c r="W114" s="127">
        <v>99000</v>
      </c>
      <c r="X114" s="125">
        <v>0.5</v>
      </c>
      <c r="Y114" s="125">
        <v>0.5</v>
      </c>
      <c r="Z114" s="9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</row>
    <row r="115" spans="2:61" x14ac:dyDescent="0.25">
      <c r="B115" s="2"/>
      <c r="C115" s="2"/>
      <c r="D115" s="2"/>
      <c r="E115" s="2"/>
      <c r="F115" s="2"/>
      <c r="G115" s="2"/>
      <c r="H115" s="2"/>
      <c r="I115" s="2"/>
      <c r="J115" s="2"/>
      <c r="K115" s="123" t="s">
        <v>224</v>
      </c>
      <c r="L115" s="124">
        <v>8738.9625479130427</v>
      </c>
      <c r="M115" s="124">
        <v>7.6129397998864903</v>
      </c>
      <c r="N115" s="124">
        <v>5666.5013414620116</v>
      </c>
      <c r="O115" s="124">
        <v>5.166565898222828</v>
      </c>
      <c r="P115" s="123">
        <f t="shared" si="8"/>
        <v>3072.4612064510311</v>
      </c>
      <c r="Q115" s="123">
        <f t="shared" si="9"/>
        <v>2.4463739016636623</v>
      </c>
      <c r="R115" s="123">
        <f t="shared" si="6"/>
        <v>143519.83344981677</v>
      </c>
      <c r="S115" s="123">
        <f t="shared" si="7"/>
        <v>97664.816622994549</v>
      </c>
      <c r="T115" s="123">
        <f t="shared" si="10"/>
        <v>1</v>
      </c>
      <c r="U115" s="123">
        <f t="shared" si="11"/>
        <v>0</v>
      </c>
      <c r="V115" s="1"/>
      <c r="W115" s="122">
        <v>100000</v>
      </c>
      <c r="X115" s="125">
        <v>0.5</v>
      </c>
      <c r="Y115" s="125">
        <v>0.5</v>
      </c>
      <c r="Z115" s="9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</row>
    <row r="116" spans="2:61" x14ac:dyDescent="0.25">
      <c r="B116" s="2"/>
      <c r="C116" s="2"/>
      <c r="D116" s="2"/>
      <c r="E116" s="2"/>
      <c r="F116" s="2"/>
      <c r="G116" s="2"/>
      <c r="H116" s="2"/>
      <c r="I116" s="2"/>
      <c r="J116" s="2"/>
      <c r="K116" s="123" t="s">
        <v>225</v>
      </c>
      <c r="L116" s="124">
        <v>10259.413575281731</v>
      </c>
      <c r="M116" s="124">
        <v>10.568150488432757</v>
      </c>
      <c r="N116" s="124">
        <v>6996.5544147498922</v>
      </c>
      <c r="O116" s="124">
        <v>8.1289867616525804</v>
      </c>
      <c r="P116" s="123">
        <f t="shared" si="8"/>
        <v>3262.8591605318388</v>
      </c>
      <c r="Q116" s="123">
        <f t="shared" si="9"/>
        <v>2.4391637267801762</v>
      </c>
      <c r="R116" s="123">
        <f t="shared" si="6"/>
        <v>201103.59619337341</v>
      </c>
      <c r="S116" s="123">
        <f t="shared" si="7"/>
        <v>155583.18081830171</v>
      </c>
      <c r="T116" s="123">
        <f t="shared" si="10"/>
        <v>1</v>
      </c>
      <c r="U116" s="123">
        <f t="shared" si="11"/>
        <v>0</v>
      </c>
      <c r="V116" s="1"/>
      <c r="W116" s="127">
        <v>101000</v>
      </c>
      <c r="X116" s="125">
        <v>0.5</v>
      </c>
      <c r="Y116" s="125">
        <v>0.5</v>
      </c>
      <c r="Z116" s="9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</row>
    <row r="117" spans="2:61" x14ac:dyDescent="0.25">
      <c r="B117" s="2"/>
      <c r="C117" s="2"/>
      <c r="D117" s="2"/>
      <c r="E117" s="2"/>
      <c r="F117" s="2"/>
      <c r="G117" s="2"/>
      <c r="H117" s="2"/>
      <c r="I117" s="2"/>
      <c r="J117" s="2"/>
      <c r="K117" s="123" t="s">
        <v>226</v>
      </c>
      <c r="L117" s="124">
        <v>11968.171248821141</v>
      </c>
      <c r="M117" s="124">
        <v>10.116561333442883</v>
      </c>
      <c r="N117" s="124">
        <v>7456.5370611437647</v>
      </c>
      <c r="O117" s="124">
        <v>6.7931232296087583</v>
      </c>
      <c r="P117" s="123">
        <f t="shared" si="8"/>
        <v>4511.6341876773768</v>
      </c>
      <c r="Q117" s="123">
        <f t="shared" si="9"/>
        <v>3.3234381038341247</v>
      </c>
      <c r="R117" s="123">
        <f t="shared" si="6"/>
        <v>190363.05542003651</v>
      </c>
      <c r="S117" s="123">
        <f t="shared" si="7"/>
        <v>128405.92753103138</v>
      </c>
      <c r="T117" s="123">
        <f t="shared" si="10"/>
        <v>1</v>
      </c>
      <c r="U117" s="123">
        <f t="shared" si="11"/>
        <v>0</v>
      </c>
      <c r="V117" s="1"/>
      <c r="W117" s="25"/>
      <c r="X117" s="1"/>
      <c r="Y117" s="1"/>
      <c r="Z117" s="9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</row>
    <row r="118" spans="2:61" x14ac:dyDescent="0.25">
      <c r="B118" s="2"/>
      <c r="C118" s="2"/>
      <c r="D118" s="2"/>
      <c r="E118" s="2"/>
      <c r="F118" s="2"/>
      <c r="G118" s="2"/>
      <c r="H118" s="2"/>
      <c r="I118" s="2"/>
      <c r="J118" s="2"/>
      <c r="K118" s="123" t="s">
        <v>227</v>
      </c>
      <c r="L118" s="124">
        <v>7036.815249425219</v>
      </c>
      <c r="M118" s="124">
        <v>6.4021300791970512</v>
      </c>
      <c r="N118" s="124">
        <v>6855.1367798128913</v>
      </c>
      <c r="O118" s="124">
        <v>7.5239105856414987</v>
      </c>
      <c r="P118" s="123">
        <f t="shared" si="8"/>
        <v>181.67846961232772</v>
      </c>
      <c r="Q118" s="123">
        <f t="shared" si="9"/>
        <v>-1.1217805064444475</v>
      </c>
      <c r="R118" s="123">
        <f t="shared" si="6"/>
        <v>121005.78633451581</v>
      </c>
      <c r="S118" s="123">
        <f t="shared" si="7"/>
        <v>143623.07493301708</v>
      </c>
      <c r="T118" s="123">
        <f t="shared" si="10"/>
        <v>0</v>
      </c>
      <c r="U118" s="123">
        <f t="shared" si="11"/>
        <v>1</v>
      </c>
      <c r="V118" s="1"/>
      <c r="W118" s="25"/>
      <c r="X118" s="1"/>
      <c r="Y118" s="1"/>
      <c r="Z118" s="9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</row>
    <row r="119" spans="2:61" x14ac:dyDescent="0.25">
      <c r="B119" s="2"/>
      <c r="C119" s="2"/>
      <c r="D119" s="2"/>
      <c r="E119" s="2"/>
      <c r="F119" s="2"/>
      <c r="G119" s="2"/>
      <c r="H119" s="2"/>
      <c r="I119" s="2"/>
      <c r="J119" s="2"/>
      <c r="K119" s="123" t="s">
        <v>228</v>
      </c>
      <c r="L119" s="124">
        <v>5472.861467442186</v>
      </c>
      <c r="M119" s="124">
        <v>4.9976218607585334</v>
      </c>
      <c r="N119" s="124">
        <v>6586.6817037831097</v>
      </c>
      <c r="O119" s="124">
        <v>6.9085945876397634</v>
      </c>
      <c r="P119" s="123">
        <f t="shared" si="8"/>
        <v>-1113.8202363409237</v>
      </c>
      <c r="Q119" s="123">
        <f t="shared" si="9"/>
        <v>-1.91097272688123</v>
      </c>
      <c r="R119" s="123">
        <f t="shared" si="6"/>
        <v>94479.575747728479</v>
      </c>
      <c r="S119" s="123">
        <f t="shared" si="7"/>
        <v>131585.21004901215</v>
      </c>
      <c r="T119" s="123">
        <f t="shared" si="10"/>
        <v>0</v>
      </c>
      <c r="U119" s="123">
        <f t="shared" si="11"/>
        <v>1</v>
      </c>
      <c r="V119" s="1"/>
      <c r="W119" s="25"/>
      <c r="X119" s="1"/>
      <c r="Y119" s="1"/>
      <c r="Z119" s="9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</row>
    <row r="120" spans="2:61" x14ac:dyDescent="0.25">
      <c r="B120" s="2"/>
      <c r="C120" s="2"/>
      <c r="D120" s="2"/>
      <c r="E120" s="2"/>
      <c r="F120" s="2"/>
      <c r="G120" s="2"/>
      <c r="H120" s="2"/>
      <c r="I120" s="2"/>
      <c r="J120" s="2"/>
      <c r="K120" s="123" t="s">
        <v>229</v>
      </c>
      <c r="L120" s="124">
        <v>9784.7784758586859</v>
      </c>
      <c r="M120" s="124">
        <v>9.4575090653457696</v>
      </c>
      <c r="N120" s="124">
        <v>9377.4141460416849</v>
      </c>
      <c r="O120" s="124">
        <v>9.825409254834419</v>
      </c>
      <c r="P120" s="123">
        <f t="shared" si="8"/>
        <v>407.36432981700091</v>
      </c>
      <c r="Q120" s="123">
        <f t="shared" si="9"/>
        <v>-0.36790018948864933</v>
      </c>
      <c r="R120" s="123">
        <f t="shared" si="6"/>
        <v>179365.40283105671</v>
      </c>
      <c r="S120" s="123">
        <f t="shared" si="7"/>
        <v>187130.77095064669</v>
      </c>
      <c r="T120" s="123">
        <f t="shared" si="10"/>
        <v>0</v>
      </c>
      <c r="U120" s="123">
        <f t="shared" si="11"/>
        <v>1</v>
      </c>
      <c r="V120" s="1"/>
      <c r="W120" s="25"/>
      <c r="X120" s="1"/>
      <c r="Y120" s="1"/>
      <c r="Z120" s="9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</row>
    <row r="121" spans="2:61" x14ac:dyDescent="0.25">
      <c r="B121" s="2"/>
      <c r="C121" s="2"/>
      <c r="D121" s="2"/>
      <c r="E121" s="2"/>
      <c r="F121" s="2"/>
      <c r="G121" s="2"/>
      <c r="H121" s="2"/>
      <c r="I121" s="2"/>
      <c r="J121" s="2"/>
      <c r="K121" s="123" t="s">
        <v>230</v>
      </c>
      <c r="L121" s="124">
        <v>9100.6515383469596</v>
      </c>
      <c r="M121" s="124">
        <v>8.8104950315031374</v>
      </c>
      <c r="N121" s="124">
        <v>6301.5724172557375</v>
      </c>
      <c r="O121" s="124">
        <v>6.9467974101693235</v>
      </c>
      <c r="P121" s="123">
        <f t="shared" si="8"/>
        <v>2799.0791210912221</v>
      </c>
      <c r="Q121" s="123">
        <f t="shared" si="9"/>
        <v>1.8636976213338139</v>
      </c>
      <c r="R121" s="123">
        <f t="shared" si="6"/>
        <v>167109.24909171578</v>
      </c>
      <c r="S121" s="123">
        <f t="shared" si="7"/>
        <v>132634.37578613075</v>
      </c>
      <c r="T121" s="123">
        <f t="shared" si="10"/>
        <v>1</v>
      </c>
      <c r="U121" s="123">
        <f t="shared" si="11"/>
        <v>0</v>
      </c>
      <c r="V121" s="1"/>
      <c r="W121" s="25"/>
      <c r="X121" s="1"/>
      <c r="Y121" s="1"/>
      <c r="Z121" s="9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</row>
    <row r="122" spans="2:61" x14ac:dyDescent="0.25">
      <c r="B122" s="2"/>
      <c r="C122" s="2"/>
      <c r="D122" s="2"/>
      <c r="E122" s="2"/>
      <c r="F122" s="2"/>
      <c r="G122" s="2"/>
      <c r="H122" s="2"/>
      <c r="I122" s="2"/>
      <c r="J122" s="2"/>
      <c r="K122" s="123" t="s">
        <v>231</v>
      </c>
      <c r="L122" s="124">
        <v>9601.4086361374866</v>
      </c>
      <c r="M122" s="124">
        <v>9.2200219040154039</v>
      </c>
      <c r="N122" s="124">
        <v>6369.8339305445497</v>
      </c>
      <c r="O122" s="124">
        <v>6.3892903290983325</v>
      </c>
      <c r="P122" s="123">
        <f t="shared" si="8"/>
        <v>3231.5747055929369</v>
      </c>
      <c r="Q122" s="123">
        <f t="shared" si="9"/>
        <v>2.8307315749170714</v>
      </c>
      <c r="R122" s="123">
        <f t="shared" si="6"/>
        <v>174799.02944417059</v>
      </c>
      <c r="S122" s="123">
        <f t="shared" si="7"/>
        <v>121415.9726514221</v>
      </c>
      <c r="T122" s="123">
        <f t="shared" si="10"/>
        <v>1</v>
      </c>
      <c r="U122" s="123">
        <f t="shared" si="11"/>
        <v>0</v>
      </c>
      <c r="V122" s="1"/>
      <c r="W122" s="25"/>
      <c r="X122" s="1"/>
      <c r="Y122" s="1"/>
      <c r="Z122" s="9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</row>
    <row r="123" spans="2:61" x14ac:dyDescent="0.25">
      <c r="B123" s="2"/>
      <c r="C123" s="2"/>
      <c r="D123" s="2"/>
      <c r="E123" s="2"/>
      <c r="F123" s="2"/>
      <c r="G123" s="2"/>
      <c r="H123" s="2"/>
      <c r="I123" s="2"/>
      <c r="J123" s="2"/>
      <c r="K123" s="123" t="s">
        <v>232</v>
      </c>
      <c r="L123" s="124">
        <v>5318.4670711271074</v>
      </c>
      <c r="M123" s="124">
        <v>4.7484045707980922</v>
      </c>
      <c r="N123" s="124">
        <v>6290.5400458151516</v>
      </c>
      <c r="O123" s="124">
        <v>6.1661829419119236</v>
      </c>
      <c r="P123" s="123">
        <f t="shared" si="8"/>
        <v>-972.07297468804427</v>
      </c>
      <c r="Q123" s="123">
        <f t="shared" si="9"/>
        <v>-1.4177783711138314</v>
      </c>
      <c r="R123" s="123">
        <f t="shared" si="6"/>
        <v>89649.624344834738</v>
      </c>
      <c r="S123" s="123">
        <f t="shared" si="7"/>
        <v>117033.11879242331</v>
      </c>
      <c r="T123" s="123">
        <f t="shared" si="10"/>
        <v>0</v>
      </c>
      <c r="U123" s="123">
        <f t="shared" si="11"/>
        <v>1</v>
      </c>
      <c r="V123" s="1"/>
      <c r="W123" s="25"/>
      <c r="X123" s="1"/>
      <c r="Y123" s="1"/>
      <c r="Z123" s="9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</row>
    <row r="124" spans="2:61" x14ac:dyDescent="0.25">
      <c r="B124" s="2"/>
      <c r="C124" s="2"/>
      <c r="D124" s="2"/>
      <c r="E124" s="2"/>
      <c r="F124" s="2"/>
      <c r="G124" s="2"/>
      <c r="H124" s="2"/>
      <c r="I124" s="2"/>
      <c r="J124" s="2"/>
      <c r="K124" s="123" t="s">
        <v>233</v>
      </c>
      <c r="L124" s="124">
        <v>10307.187728154613</v>
      </c>
      <c r="M124" s="124">
        <v>9.4925898823028216</v>
      </c>
      <c r="N124" s="124">
        <v>8781.46884857228</v>
      </c>
      <c r="O124" s="124">
        <v>8.3823687286258473</v>
      </c>
      <c r="P124" s="123">
        <f t="shared" si="8"/>
        <v>1525.7188795823331</v>
      </c>
      <c r="Q124" s="123">
        <f t="shared" si="9"/>
        <v>1.1102211536769744</v>
      </c>
      <c r="R124" s="123">
        <f t="shared" si="6"/>
        <v>179544.60991790181</v>
      </c>
      <c r="S124" s="123">
        <f t="shared" si="7"/>
        <v>158865.90572394466</v>
      </c>
      <c r="T124" s="123">
        <f t="shared" si="10"/>
        <v>1</v>
      </c>
      <c r="U124" s="123">
        <f t="shared" si="11"/>
        <v>0</v>
      </c>
      <c r="V124" s="1"/>
      <c r="W124" s="25"/>
      <c r="X124" s="1"/>
      <c r="Y124" s="1"/>
      <c r="Z124" s="9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</row>
    <row r="125" spans="2:61" x14ac:dyDescent="0.25">
      <c r="B125" s="2"/>
      <c r="C125" s="2"/>
      <c r="D125" s="2"/>
      <c r="E125" s="2"/>
      <c r="F125" s="2"/>
      <c r="G125" s="2"/>
      <c r="H125" s="2"/>
      <c r="I125" s="2"/>
      <c r="J125" s="2"/>
      <c r="K125" s="123" t="s">
        <v>234</v>
      </c>
      <c r="L125" s="124">
        <v>5792.3794244869177</v>
      </c>
      <c r="M125" s="124">
        <v>5.0472253683146144</v>
      </c>
      <c r="N125" s="124">
        <v>7201.8497285680332</v>
      </c>
      <c r="O125" s="124">
        <v>6.6223602738215552</v>
      </c>
      <c r="P125" s="123">
        <f t="shared" si="8"/>
        <v>-1409.4703040811155</v>
      </c>
      <c r="Q125" s="123">
        <f t="shared" si="9"/>
        <v>-1.5751349055069408</v>
      </c>
      <c r="R125" s="123">
        <f t="shared" si="6"/>
        <v>95152.127941805375</v>
      </c>
      <c r="S125" s="123">
        <f t="shared" si="7"/>
        <v>125245.35574786308</v>
      </c>
      <c r="T125" s="123">
        <f t="shared" si="10"/>
        <v>0</v>
      </c>
      <c r="U125" s="123">
        <f t="shared" si="11"/>
        <v>1</v>
      </c>
      <c r="V125" s="1"/>
      <c r="W125" s="25"/>
      <c r="X125" s="1"/>
      <c r="Y125" s="1"/>
      <c r="Z125" s="9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</row>
    <row r="126" spans="2:61" x14ac:dyDescent="0.25">
      <c r="B126" s="2"/>
      <c r="C126" s="2"/>
      <c r="D126" s="2"/>
      <c r="E126" s="2"/>
      <c r="F126" s="2"/>
      <c r="G126" s="2"/>
      <c r="H126" s="2"/>
      <c r="I126" s="2"/>
      <c r="J126" s="2"/>
      <c r="K126" s="123" t="s">
        <v>235</v>
      </c>
      <c r="L126" s="124">
        <v>6286.258456709822</v>
      </c>
      <c r="M126" s="124">
        <v>5.2310745451940095</v>
      </c>
      <c r="N126" s="124">
        <v>6910.2443143645933</v>
      </c>
      <c r="O126" s="124">
        <v>6.5898123994986948</v>
      </c>
      <c r="P126" s="123">
        <f t="shared" si="8"/>
        <v>-623.98585765477128</v>
      </c>
      <c r="Q126" s="123">
        <f t="shared" si="9"/>
        <v>-1.3587378543046853</v>
      </c>
      <c r="R126" s="123">
        <f t="shared" si="6"/>
        <v>98335.232447170361</v>
      </c>
      <c r="S126" s="123">
        <f t="shared" si="7"/>
        <v>124886.0036756093</v>
      </c>
      <c r="T126" s="123">
        <f t="shared" si="10"/>
        <v>0</v>
      </c>
      <c r="U126" s="123">
        <f t="shared" si="11"/>
        <v>1</v>
      </c>
      <c r="V126" s="1"/>
      <c r="W126" s="25"/>
      <c r="X126" s="1"/>
      <c r="Y126" s="1"/>
      <c r="Z126" s="9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</row>
    <row r="127" spans="2:61" x14ac:dyDescent="0.25">
      <c r="B127" s="2"/>
      <c r="C127" s="2"/>
      <c r="D127" s="2"/>
      <c r="E127" s="2"/>
      <c r="F127" s="2"/>
      <c r="G127" s="2"/>
      <c r="H127" s="2"/>
      <c r="I127" s="2"/>
      <c r="J127" s="2"/>
      <c r="K127" s="123" t="s">
        <v>236</v>
      </c>
      <c r="L127" s="124">
        <v>7582.6347593517039</v>
      </c>
      <c r="M127" s="124">
        <v>6.8668363982901957</v>
      </c>
      <c r="N127" s="124">
        <v>7010.460786821116</v>
      </c>
      <c r="O127" s="124">
        <v>6.6104344961073211</v>
      </c>
      <c r="P127" s="123">
        <f t="shared" si="8"/>
        <v>572.17397253058789</v>
      </c>
      <c r="Q127" s="123">
        <f t="shared" si="9"/>
        <v>0.25640190218287451</v>
      </c>
      <c r="R127" s="123">
        <f t="shared" si="6"/>
        <v>129754.09320645221</v>
      </c>
      <c r="S127" s="123">
        <f t="shared" si="7"/>
        <v>125198.22913532529</v>
      </c>
      <c r="T127" s="123">
        <f t="shared" si="10"/>
        <v>1</v>
      </c>
      <c r="U127" s="123">
        <f t="shared" si="11"/>
        <v>0</v>
      </c>
      <c r="V127" s="1"/>
      <c r="W127" s="25"/>
      <c r="X127" s="1"/>
      <c r="Y127" s="1"/>
      <c r="Z127" s="9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</row>
    <row r="128" spans="2:61" x14ac:dyDescent="0.25">
      <c r="B128" s="2"/>
      <c r="C128" s="2"/>
      <c r="D128" s="2"/>
      <c r="E128" s="2"/>
      <c r="F128" s="2"/>
      <c r="G128" s="2"/>
      <c r="H128" s="2"/>
      <c r="I128" s="2"/>
      <c r="J128" s="2"/>
      <c r="K128" s="123" t="s">
        <v>237</v>
      </c>
      <c r="L128" s="124">
        <v>6930.4887957617639</v>
      </c>
      <c r="M128" s="124">
        <v>8.2305798886128301</v>
      </c>
      <c r="N128" s="124">
        <v>6213.6015235645018</v>
      </c>
      <c r="O128" s="124">
        <v>8.633781836927259</v>
      </c>
      <c r="P128" s="123">
        <f t="shared" si="8"/>
        <v>716.88727219726206</v>
      </c>
      <c r="Q128" s="123">
        <f t="shared" si="9"/>
        <v>-0.4032019483144289</v>
      </c>
      <c r="R128" s="123">
        <f t="shared" si="6"/>
        <v>157681.10897649481</v>
      </c>
      <c r="S128" s="123">
        <f t="shared" si="7"/>
        <v>166462.03521498069</v>
      </c>
      <c r="T128" s="123">
        <f t="shared" si="10"/>
        <v>0</v>
      </c>
      <c r="U128" s="123">
        <f t="shared" si="11"/>
        <v>1</v>
      </c>
      <c r="V128" s="1"/>
      <c r="W128" s="25"/>
      <c r="X128" s="1"/>
      <c r="Y128" s="1"/>
      <c r="Z128" s="9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</row>
    <row r="129" spans="2:61" x14ac:dyDescent="0.25">
      <c r="B129" s="2"/>
      <c r="C129" s="2"/>
      <c r="D129" s="2"/>
      <c r="E129" s="2"/>
      <c r="F129" s="2"/>
      <c r="G129" s="2"/>
      <c r="H129" s="2"/>
      <c r="I129" s="2"/>
      <c r="J129" s="2"/>
      <c r="K129" s="123" t="s">
        <v>238</v>
      </c>
      <c r="L129" s="124">
        <v>10147.630336747308</v>
      </c>
      <c r="M129" s="124">
        <v>8.5577167015459015</v>
      </c>
      <c r="N129" s="124">
        <v>7204.8572149026522</v>
      </c>
      <c r="O129" s="124">
        <v>6.3196572675959057</v>
      </c>
      <c r="P129" s="123">
        <f t="shared" si="8"/>
        <v>2942.7731218446561</v>
      </c>
      <c r="Q129" s="123">
        <f t="shared" si="9"/>
        <v>2.2380594339499957</v>
      </c>
      <c r="R129" s="123">
        <f t="shared" si="6"/>
        <v>161006.70369417072</v>
      </c>
      <c r="S129" s="123">
        <f t="shared" si="7"/>
        <v>119188.28813701545</v>
      </c>
      <c r="T129" s="123">
        <f t="shared" si="10"/>
        <v>1</v>
      </c>
      <c r="U129" s="123">
        <f t="shared" si="11"/>
        <v>0</v>
      </c>
      <c r="V129" s="1"/>
      <c r="W129" s="25"/>
      <c r="X129" s="1"/>
      <c r="Y129" s="1"/>
      <c r="Z129" s="9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</row>
    <row r="130" spans="2:61" x14ac:dyDescent="0.25">
      <c r="B130" s="2"/>
      <c r="C130" s="2"/>
      <c r="D130" s="2"/>
      <c r="E130" s="2"/>
      <c r="F130" s="2"/>
      <c r="G130" s="2"/>
      <c r="H130" s="2"/>
      <c r="I130" s="2"/>
      <c r="J130" s="2"/>
      <c r="K130" s="123" t="s">
        <v>239</v>
      </c>
      <c r="L130" s="124">
        <v>4421.8209157437896</v>
      </c>
      <c r="M130" s="124">
        <v>4.8663311534612159</v>
      </c>
      <c r="N130" s="124">
        <v>5031.5695567778257</v>
      </c>
      <c r="O130" s="124">
        <v>6.7281202501069473</v>
      </c>
      <c r="P130" s="123">
        <f t="shared" si="8"/>
        <v>-609.74864103403615</v>
      </c>
      <c r="Q130" s="123">
        <f t="shared" si="9"/>
        <v>-1.8617890966457313</v>
      </c>
      <c r="R130" s="123">
        <f t="shared" si="6"/>
        <v>92904.802153480516</v>
      </c>
      <c r="S130" s="123">
        <f t="shared" si="7"/>
        <v>129530.83544536112</v>
      </c>
      <c r="T130" s="123">
        <f t="shared" si="10"/>
        <v>0</v>
      </c>
      <c r="U130" s="123">
        <f t="shared" si="11"/>
        <v>1</v>
      </c>
      <c r="V130" s="1"/>
      <c r="W130" s="25"/>
      <c r="X130" s="1"/>
      <c r="Y130" s="1"/>
      <c r="Z130" s="9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</row>
    <row r="131" spans="2:61" x14ac:dyDescent="0.25">
      <c r="B131" s="2"/>
      <c r="C131" s="2"/>
      <c r="D131" s="2"/>
      <c r="E131" s="2"/>
      <c r="F131" s="2"/>
      <c r="G131" s="2"/>
      <c r="H131" s="2"/>
      <c r="I131" s="2"/>
      <c r="J131" s="2"/>
      <c r="K131" s="123" t="s">
        <v>240</v>
      </c>
      <c r="L131" s="124">
        <v>8178.1248568890987</v>
      </c>
      <c r="M131" s="124">
        <v>8.1089740470615084</v>
      </c>
      <c r="N131" s="124">
        <v>8468.6452922660046</v>
      </c>
      <c r="O131" s="124">
        <v>9.5124981482629156</v>
      </c>
      <c r="P131" s="123">
        <f t="shared" si="8"/>
        <v>-290.52043537690588</v>
      </c>
      <c r="Q131" s="123">
        <f t="shared" si="9"/>
        <v>-1.4035241012014072</v>
      </c>
      <c r="R131" s="123">
        <f t="shared" si="6"/>
        <v>154001.35608434107</v>
      </c>
      <c r="S131" s="123">
        <f t="shared" si="7"/>
        <v>181781.3176729923</v>
      </c>
      <c r="T131" s="123">
        <f t="shared" si="10"/>
        <v>0</v>
      </c>
      <c r="U131" s="123">
        <f t="shared" si="11"/>
        <v>1</v>
      </c>
      <c r="V131" s="1"/>
      <c r="W131" s="25"/>
      <c r="X131" s="1"/>
      <c r="Y131" s="1"/>
      <c r="Z131" s="9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</row>
    <row r="132" spans="2:61" x14ac:dyDescent="0.25">
      <c r="B132" s="2"/>
      <c r="C132" s="2"/>
      <c r="D132" s="2"/>
      <c r="E132" s="2"/>
      <c r="F132" s="2"/>
      <c r="G132" s="2"/>
      <c r="H132" s="2"/>
      <c r="I132" s="2"/>
      <c r="J132" s="2"/>
      <c r="K132" s="123" t="s">
        <v>241</v>
      </c>
      <c r="L132" s="124">
        <v>6946.7087119826219</v>
      </c>
      <c r="M132" s="124">
        <v>5.6307191579714067</v>
      </c>
      <c r="N132" s="124">
        <v>5990.1453516973752</v>
      </c>
      <c r="O132" s="124">
        <v>5.0461407393081892</v>
      </c>
      <c r="P132" s="123">
        <f t="shared" si="8"/>
        <v>956.56336028524674</v>
      </c>
      <c r="Q132" s="123">
        <f t="shared" si="9"/>
        <v>0.58457841866321747</v>
      </c>
      <c r="R132" s="123">
        <f t="shared" si="6"/>
        <v>105667.67444744552</v>
      </c>
      <c r="S132" s="123">
        <f t="shared" si="7"/>
        <v>94932.669434466414</v>
      </c>
      <c r="T132" s="123">
        <f t="shared" si="10"/>
        <v>1</v>
      </c>
      <c r="U132" s="123">
        <f t="shared" si="11"/>
        <v>0</v>
      </c>
      <c r="V132" s="1"/>
      <c r="W132" s="25"/>
      <c r="X132" s="1"/>
      <c r="Y132" s="1"/>
      <c r="Z132" s="9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</row>
    <row r="133" spans="2:61" x14ac:dyDescent="0.25">
      <c r="B133" s="2"/>
      <c r="C133" s="2"/>
      <c r="D133" s="2"/>
      <c r="E133" s="2"/>
      <c r="F133" s="2"/>
      <c r="G133" s="2"/>
      <c r="H133" s="2"/>
      <c r="I133" s="2"/>
      <c r="J133" s="2"/>
      <c r="K133" s="123" t="s">
        <v>242</v>
      </c>
      <c r="L133" s="124">
        <v>4016.1005841960268</v>
      </c>
      <c r="M133" s="124">
        <v>3.8334776402471005</v>
      </c>
      <c r="N133" s="124">
        <v>9218.0634631044722</v>
      </c>
      <c r="O133" s="124">
        <v>10.621841329534517</v>
      </c>
      <c r="P133" s="123">
        <f t="shared" si="8"/>
        <v>-5201.9628789084454</v>
      </c>
      <c r="Q133" s="123">
        <f t="shared" si="9"/>
        <v>-6.7883636892874168</v>
      </c>
      <c r="R133" s="123">
        <f t="shared" si="6"/>
        <v>72653.452220745981</v>
      </c>
      <c r="S133" s="123">
        <f t="shared" si="7"/>
        <v>203218.76312758584</v>
      </c>
      <c r="T133" s="123">
        <f t="shared" si="10"/>
        <v>0</v>
      </c>
      <c r="U133" s="123">
        <f t="shared" si="11"/>
        <v>1</v>
      </c>
      <c r="V133" s="1"/>
      <c r="W133" s="25"/>
      <c r="X133" s="1"/>
      <c r="Y133" s="1"/>
      <c r="Z133" s="9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</row>
    <row r="134" spans="2:61" x14ac:dyDescent="0.25">
      <c r="B134" s="2"/>
      <c r="C134" s="2"/>
      <c r="D134" s="2"/>
      <c r="E134" s="2"/>
      <c r="F134" s="2"/>
      <c r="G134" s="2"/>
      <c r="H134" s="2"/>
      <c r="I134" s="2"/>
      <c r="J134" s="2"/>
      <c r="K134" s="123" t="s">
        <v>243</v>
      </c>
      <c r="L134" s="124">
        <v>7276.913691355353</v>
      </c>
      <c r="M134" s="124">
        <v>6.7731765505945001</v>
      </c>
      <c r="N134" s="124">
        <v>7092.9089620076929</v>
      </c>
      <c r="O134" s="124">
        <v>7.9170065053467731</v>
      </c>
      <c r="P134" s="123">
        <f t="shared" si="8"/>
        <v>184.00472934766003</v>
      </c>
      <c r="Q134" s="123">
        <f t="shared" si="9"/>
        <v>-1.143829954752273</v>
      </c>
      <c r="R134" s="123">
        <f t="shared" si="6"/>
        <v>128186.61732053466</v>
      </c>
      <c r="S134" s="123">
        <f t="shared" si="7"/>
        <v>151247.22114492775</v>
      </c>
      <c r="T134" s="123">
        <f t="shared" si="10"/>
        <v>0</v>
      </c>
      <c r="U134" s="123">
        <f t="shared" si="11"/>
        <v>1</v>
      </c>
      <c r="V134" s="1"/>
      <c r="W134" s="25"/>
      <c r="X134" s="1"/>
      <c r="Y134" s="1"/>
      <c r="Z134" s="9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</row>
    <row r="135" spans="2:61" x14ac:dyDescent="0.25">
      <c r="B135" s="2"/>
      <c r="C135" s="2"/>
      <c r="D135" s="2"/>
      <c r="E135" s="2"/>
      <c r="F135" s="2"/>
      <c r="G135" s="2"/>
      <c r="H135" s="2"/>
      <c r="I135" s="2"/>
      <c r="J135" s="2"/>
      <c r="K135" s="123" t="s">
        <v>244</v>
      </c>
      <c r="L135" s="124">
        <v>8923.123799703184</v>
      </c>
      <c r="M135" s="124">
        <v>8.7159178605307233</v>
      </c>
      <c r="N135" s="124">
        <v>8148.2210343514471</v>
      </c>
      <c r="O135" s="124">
        <v>8.7055498821198292</v>
      </c>
      <c r="P135" s="123">
        <f t="shared" si="8"/>
        <v>774.90276535173689</v>
      </c>
      <c r="Q135" s="123">
        <f t="shared" si="9"/>
        <v>1.0367978410894096E-2</v>
      </c>
      <c r="R135" s="123">
        <f t="shared" si="6"/>
        <v>165395.23341091129</v>
      </c>
      <c r="S135" s="123">
        <f t="shared" si="7"/>
        <v>165962.77660804513</v>
      </c>
      <c r="T135" s="123">
        <f t="shared" si="10"/>
        <v>0</v>
      </c>
      <c r="U135" s="123">
        <f t="shared" si="11"/>
        <v>1</v>
      </c>
      <c r="V135" s="1"/>
      <c r="W135" s="25"/>
      <c r="X135" s="1"/>
      <c r="Y135" s="1"/>
      <c r="Z135" s="9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</row>
    <row r="136" spans="2:61" x14ac:dyDescent="0.25">
      <c r="B136" s="2"/>
      <c r="C136" s="2"/>
      <c r="D136" s="2"/>
      <c r="E136" s="2"/>
      <c r="F136" s="2"/>
      <c r="G136" s="2"/>
      <c r="H136" s="2"/>
      <c r="I136" s="2"/>
      <c r="J136" s="2"/>
      <c r="K136" s="123" t="s">
        <v>245</v>
      </c>
      <c r="L136" s="124">
        <v>9338.9829057718052</v>
      </c>
      <c r="M136" s="124">
        <v>8.9533010707127065</v>
      </c>
      <c r="N136" s="124">
        <v>5039.1638540280292</v>
      </c>
      <c r="O136" s="124">
        <v>5.6251061330435652</v>
      </c>
      <c r="P136" s="123">
        <f t="shared" si="8"/>
        <v>4299.8190517437761</v>
      </c>
      <c r="Q136" s="123">
        <f t="shared" si="9"/>
        <v>3.3281949376691413</v>
      </c>
      <c r="R136" s="123">
        <f t="shared" si="6"/>
        <v>169727.03850848231</v>
      </c>
      <c r="S136" s="123">
        <f t="shared" si="7"/>
        <v>107462.95880684328</v>
      </c>
      <c r="T136" s="123">
        <f t="shared" si="10"/>
        <v>1</v>
      </c>
      <c r="U136" s="123">
        <f t="shared" si="11"/>
        <v>0</v>
      </c>
      <c r="V136" s="1"/>
      <c r="W136" s="25"/>
      <c r="X136" s="1"/>
      <c r="Y136" s="1"/>
      <c r="Z136" s="9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</row>
    <row r="137" spans="2:61" x14ac:dyDescent="0.25">
      <c r="B137" s="2"/>
      <c r="C137" s="2"/>
      <c r="D137" s="2"/>
      <c r="E137" s="2"/>
      <c r="F137" s="2"/>
      <c r="G137" s="2"/>
      <c r="H137" s="2"/>
      <c r="I137" s="2"/>
      <c r="J137" s="2"/>
      <c r="K137" s="123" t="s">
        <v>246</v>
      </c>
      <c r="L137" s="124">
        <v>5208.9548615251633</v>
      </c>
      <c r="M137" s="124">
        <v>5.042188979507606</v>
      </c>
      <c r="N137" s="124">
        <v>6346.2215499330059</v>
      </c>
      <c r="O137" s="124">
        <v>6.6055167441605791</v>
      </c>
      <c r="P137" s="123">
        <f t="shared" si="8"/>
        <v>-1137.2666884078426</v>
      </c>
      <c r="Q137" s="123">
        <f t="shared" si="9"/>
        <v>-1.5633277646529731</v>
      </c>
      <c r="R137" s="123">
        <f t="shared" si="6"/>
        <v>95634.824728626947</v>
      </c>
      <c r="S137" s="123">
        <f t="shared" si="7"/>
        <v>125764.11333327858</v>
      </c>
      <c r="T137" s="123">
        <f t="shared" si="10"/>
        <v>0</v>
      </c>
      <c r="U137" s="123">
        <f t="shared" si="11"/>
        <v>1</v>
      </c>
      <c r="V137" s="1"/>
      <c r="W137" s="25"/>
      <c r="X137" s="1"/>
      <c r="Y137" s="1"/>
      <c r="Z137" s="9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</row>
    <row r="138" spans="2:61" x14ac:dyDescent="0.25">
      <c r="B138" s="2"/>
      <c r="C138" s="2"/>
      <c r="D138" s="2"/>
      <c r="E138" s="2"/>
      <c r="F138" s="2"/>
      <c r="G138" s="2"/>
      <c r="H138" s="2"/>
      <c r="I138" s="2"/>
      <c r="J138" s="2"/>
      <c r="K138" s="123" t="s">
        <v>247</v>
      </c>
      <c r="L138" s="124">
        <v>5766.8812627657499</v>
      </c>
      <c r="M138" s="124">
        <v>4.8654708509047984</v>
      </c>
      <c r="N138" s="124">
        <v>6203.7801370273664</v>
      </c>
      <c r="O138" s="124">
        <v>5.8013406288223042</v>
      </c>
      <c r="P138" s="123">
        <f t="shared" si="8"/>
        <v>-436.89887426161658</v>
      </c>
      <c r="Q138" s="123">
        <f t="shared" si="9"/>
        <v>-0.93586977791750581</v>
      </c>
      <c r="R138" s="123">
        <f t="shared" si="6"/>
        <v>91542.535755330216</v>
      </c>
      <c r="S138" s="123">
        <f t="shared" si="7"/>
        <v>109823.03243941872</v>
      </c>
      <c r="T138" s="123">
        <f t="shared" si="10"/>
        <v>0</v>
      </c>
      <c r="U138" s="123">
        <f t="shared" si="11"/>
        <v>1</v>
      </c>
      <c r="V138" s="1"/>
      <c r="W138" s="25"/>
      <c r="X138" s="1"/>
      <c r="Y138" s="1"/>
      <c r="Z138" s="9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</row>
    <row r="139" spans="2:61" x14ac:dyDescent="0.25">
      <c r="B139" s="2"/>
      <c r="C139" s="2"/>
      <c r="D139" s="2"/>
      <c r="E139" s="2"/>
      <c r="F139" s="2"/>
      <c r="G139" s="2"/>
      <c r="H139" s="2"/>
      <c r="I139" s="2"/>
      <c r="J139" s="2"/>
      <c r="K139" s="123" t="s">
        <v>248</v>
      </c>
      <c r="L139" s="124">
        <v>5975.6955346591076</v>
      </c>
      <c r="M139" s="124">
        <v>5.2477945377277457</v>
      </c>
      <c r="N139" s="124">
        <v>6459.1903782519221</v>
      </c>
      <c r="O139" s="124">
        <v>6.1011494673885842</v>
      </c>
      <c r="P139" s="123">
        <f t="shared" si="8"/>
        <v>-483.4948435928145</v>
      </c>
      <c r="Q139" s="123">
        <f t="shared" si="9"/>
        <v>-0.85335492966083848</v>
      </c>
      <c r="R139" s="123">
        <f t="shared" si="6"/>
        <v>98980.195219895802</v>
      </c>
      <c r="S139" s="123">
        <f t="shared" si="7"/>
        <v>115563.79896951976</v>
      </c>
      <c r="T139" s="123">
        <f t="shared" si="10"/>
        <v>0</v>
      </c>
      <c r="U139" s="123">
        <f t="shared" si="11"/>
        <v>1</v>
      </c>
      <c r="V139" s="1"/>
      <c r="W139" s="25"/>
      <c r="X139" s="1"/>
      <c r="Y139" s="1"/>
      <c r="Z139" s="9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</row>
    <row r="140" spans="2:61" x14ac:dyDescent="0.25">
      <c r="B140" s="2"/>
      <c r="C140" s="2"/>
      <c r="D140" s="2"/>
      <c r="E140" s="2"/>
      <c r="F140" s="2"/>
      <c r="G140" s="2"/>
      <c r="H140" s="2"/>
      <c r="I140" s="2"/>
      <c r="J140" s="2"/>
      <c r="K140" s="123" t="s">
        <v>249</v>
      </c>
      <c r="L140" s="124">
        <v>11969.465771388304</v>
      </c>
      <c r="M140" s="124">
        <v>11.286825160343083</v>
      </c>
      <c r="N140" s="124">
        <v>7717.0164715836254</v>
      </c>
      <c r="O140" s="124">
        <v>7.697869837919316</v>
      </c>
      <c r="P140" s="123">
        <f t="shared" si="8"/>
        <v>4252.449299804679</v>
      </c>
      <c r="Q140" s="123">
        <f t="shared" si="9"/>
        <v>3.5889553224237671</v>
      </c>
      <c r="R140" s="123">
        <f t="shared" si="6"/>
        <v>213767.03743547338</v>
      </c>
      <c r="S140" s="123">
        <f t="shared" si="7"/>
        <v>146240.38028680268</v>
      </c>
      <c r="T140" s="123">
        <f t="shared" si="10"/>
        <v>1</v>
      </c>
      <c r="U140" s="123">
        <f t="shared" si="11"/>
        <v>0</v>
      </c>
      <c r="V140" s="1"/>
      <c r="W140" s="25"/>
      <c r="X140" s="1"/>
      <c r="Y140" s="1"/>
      <c r="Z140" s="9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</row>
    <row r="141" spans="2:61" x14ac:dyDescent="0.25">
      <c r="B141" s="2"/>
      <c r="C141" s="2"/>
      <c r="D141" s="2"/>
      <c r="E141" s="2"/>
      <c r="F141" s="2"/>
      <c r="G141" s="2"/>
      <c r="H141" s="2"/>
      <c r="I141" s="2"/>
      <c r="J141" s="2"/>
      <c r="K141" s="123" t="s">
        <v>250</v>
      </c>
      <c r="L141" s="124">
        <v>9584.6372433482356</v>
      </c>
      <c r="M141" s="124">
        <v>8.4844792258124571</v>
      </c>
      <c r="N141" s="124">
        <v>6605.2006303785001</v>
      </c>
      <c r="O141" s="124">
        <v>6.3590912850608445</v>
      </c>
      <c r="P141" s="123">
        <f t="shared" si="8"/>
        <v>2979.4366129697355</v>
      </c>
      <c r="Q141" s="123">
        <f t="shared" si="9"/>
        <v>2.1253879407516125</v>
      </c>
      <c r="R141" s="123">
        <f t="shared" si="6"/>
        <v>160104.9472729009</v>
      </c>
      <c r="S141" s="123">
        <f t="shared" si="7"/>
        <v>120576.62507083839</v>
      </c>
      <c r="T141" s="123">
        <f t="shared" si="10"/>
        <v>1</v>
      </c>
      <c r="U141" s="123">
        <f t="shared" si="11"/>
        <v>0</v>
      </c>
      <c r="V141" s="1"/>
      <c r="W141" s="25"/>
      <c r="X141" s="1"/>
      <c r="Y141" s="1"/>
      <c r="Z141" s="9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</row>
    <row r="142" spans="2:61" x14ac:dyDescent="0.25">
      <c r="B142" s="2"/>
      <c r="C142" s="2"/>
      <c r="D142" s="2"/>
      <c r="E142" s="2"/>
      <c r="F142" s="2"/>
      <c r="G142" s="2"/>
      <c r="H142" s="2"/>
      <c r="I142" s="2"/>
      <c r="J142" s="2"/>
      <c r="K142" s="123" t="s">
        <v>251</v>
      </c>
      <c r="L142" s="124">
        <v>7396.6064296977111</v>
      </c>
      <c r="M142" s="124">
        <v>6.5075085861595694</v>
      </c>
      <c r="N142" s="124">
        <v>7865.2283941420674</v>
      </c>
      <c r="O142" s="124">
        <v>7.568629039416769</v>
      </c>
      <c r="P142" s="123">
        <f t="shared" si="8"/>
        <v>-468.62196444435631</v>
      </c>
      <c r="Q142" s="123">
        <f t="shared" si="9"/>
        <v>-1.0611204532571996</v>
      </c>
      <c r="R142" s="123">
        <f t="shared" si="6"/>
        <v>122753.56529349368</v>
      </c>
      <c r="S142" s="123">
        <f t="shared" si="7"/>
        <v>143507.35239419332</v>
      </c>
      <c r="T142" s="123">
        <f t="shared" si="10"/>
        <v>0</v>
      </c>
      <c r="U142" s="123">
        <f t="shared" si="11"/>
        <v>1</v>
      </c>
      <c r="V142" s="1"/>
      <c r="W142" s="25"/>
      <c r="X142" s="1"/>
      <c r="Y142" s="1"/>
      <c r="Z142" s="9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</row>
    <row r="143" spans="2:61" x14ac:dyDescent="0.25">
      <c r="B143" s="2"/>
      <c r="C143" s="2"/>
      <c r="D143" s="2"/>
      <c r="E143" s="2"/>
      <c r="F143" s="2"/>
      <c r="G143" s="2"/>
      <c r="H143" s="2"/>
      <c r="I143" s="2"/>
      <c r="J143" s="2"/>
      <c r="K143" s="123" t="s">
        <v>252</v>
      </c>
      <c r="L143" s="124">
        <v>11087.535962340899</v>
      </c>
      <c r="M143" s="124">
        <v>9.2748512618735113</v>
      </c>
      <c r="N143" s="124">
        <v>7235.0172022349861</v>
      </c>
      <c r="O143" s="124">
        <v>6.14048671448489</v>
      </c>
      <c r="P143" s="123">
        <f t="shared" si="8"/>
        <v>3852.5187601059124</v>
      </c>
      <c r="Q143" s="123">
        <f t="shared" si="9"/>
        <v>3.1343645473886212</v>
      </c>
      <c r="R143" s="123">
        <f t="shared" si="6"/>
        <v>174409.48927512934</v>
      </c>
      <c r="S143" s="123">
        <f t="shared" si="7"/>
        <v>115574.71708746281</v>
      </c>
      <c r="T143" s="123">
        <f t="shared" si="10"/>
        <v>1</v>
      </c>
      <c r="U143" s="123">
        <f t="shared" si="11"/>
        <v>0</v>
      </c>
      <c r="V143" s="1"/>
      <c r="W143" s="25"/>
      <c r="X143" s="1"/>
      <c r="Y143" s="1"/>
      <c r="Z143" s="9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</row>
    <row r="144" spans="2:61" x14ac:dyDescent="0.25">
      <c r="B144" s="2"/>
      <c r="C144" s="2"/>
      <c r="D144" s="2"/>
      <c r="E144" s="2"/>
      <c r="F144" s="2"/>
      <c r="G144" s="2"/>
      <c r="H144" s="2"/>
      <c r="I144" s="2"/>
      <c r="J144" s="2"/>
      <c r="K144" s="123" t="s">
        <v>253</v>
      </c>
      <c r="L144" s="124">
        <v>10711.825668261323</v>
      </c>
      <c r="M144" s="124">
        <v>10.36839904013755</v>
      </c>
      <c r="N144" s="124">
        <v>7632.9373347195888</v>
      </c>
      <c r="O144" s="124">
        <v>7.7253550928093295</v>
      </c>
      <c r="P144" s="123">
        <f t="shared" si="8"/>
        <v>3078.888333541734</v>
      </c>
      <c r="Q144" s="123">
        <f t="shared" si="9"/>
        <v>2.6430439473282208</v>
      </c>
      <c r="R144" s="123">
        <f t="shared" si="6"/>
        <v>196656.15513448967</v>
      </c>
      <c r="S144" s="123">
        <f t="shared" si="7"/>
        <v>146874.164521467</v>
      </c>
      <c r="T144" s="123">
        <f t="shared" si="10"/>
        <v>1</v>
      </c>
      <c r="U144" s="123">
        <f t="shared" si="11"/>
        <v>0</v>
      </c>
      <c r="V144" s="1"/>
      <c r="W144" s="25"/>
      <c r="X144" s="1"/>
      <c r="Y144" s="1"/>
      <c r="Z144" s="9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</row>
    <row r="145" spans="2:61" x14ac:dyDescent="0.25">
      <c r="B145" s="2"/>
      <c r="C145" s="2"/>
      <c r="D145" s="2"/>
      <c r="E145" s="2"/>
      <c r="F145" s="2"/>
      <c r="G145" s="2"/>
      <c r="H145" s="2"/>
      <c r="I145" s="2"/>
      <c r="J145" s="2"/>
      <c r="K145" s="123" t="s">
        <v>254</v>
      </c>
      <c r="L145" s="124">
        <v>6581.4947773320127</v>
      </c>
      <c r="M145" s="124">
        <v>6.1929611205908834</v>
      </c>
      <c r="N145" s="124">
        <v>7451.5267187027248</v>
      </c>
      <c r="O145" s="124">
        <v>7.3363512154344841</v>
      </c>
      <c r="P145" s="123">
        <f t="shared" si="8"/>
        <v>-870.03194137071205</v>
      </c>
      <c r="Q145" s="123">
        <f t="shared" si="9"/>
        <v>-1.1433900948436007</v>
      </c>
      <c r="R145" s="123">
        <f t="shared" ref="R145:R208" si="12">M145*willingness_to_pay-L145</f>
        <v>117277.72763448565</v>
      </c>
      <c r="S145" s="123">
        <f t="shared" ref="S145:S208" si="13">O145*willingness_to_pay-N145</f>
        <v>139275.49758998698</v>
      </c>
      <c r="T145" s="123">
        <f t="shared" si="10"/>
        <v>0</v>
      </c>
      <c r="U145" s="123">
        <f t="shared" si="11"/>
        <v>1</v>
      </c>
      <c r="V145" s="1"/>
      <c r="W145" s="25"/>
      <c r="X145" s="1"/>
      <c r="Y145" s="1"/>
      <c r="Z145" s="9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</row>
    <row r="146" spans="2:61" x14ac:dyDescent="0.25">
      <c r="B146" s="2"/>
      <c r="C146" s="2"/>
      <c r="D146" s="2"/>
      <c r="E146" s="2"/>
      <c r="F146" s="2"/>
      <c r="G146" s="2"/>
      <c r="H146" s="2"/>
      <c r="I146" s="2"/>
      <c r="J146" s="2"/>
      <c r="K146" s="123" t="s">
        <v>255</v>
      </c>
      <c r="L146" s="124">
        <v>12369.288975706826</v>
      </c>
      <c r="M146" s="124">
        <v>10.070746724851519</v>
      </c>
      <c r="N146" s="124">
        <v>9050.8163631913394</v>
      </c>
      <c r="O146" s="124">
        <v>7.6554423328674881</v>
      </c>
      <c r="P146" s="123">
        <f t="shared" ref="P146:P209" si="14">L146-N146</f>
        <v>3318.4726125154866</v>
      </c>
      <c r="Q146" s="123">
        <f t="shared" ref="Q146:Q209" si="15">M146-O146</f>
        <v>2.4153043919840309</v>
      </c>
      <c r="R146" s="123">
        <f t="shared" si="12"/>
        <v>189045.64552132357</v>
      </c>
      <c r="S146" s="123">
        <f t="shared" si="13"/>
        <v>144058.03029415841</v>
      </c>
      <c r="T146" s="123">
        <f t="shared" ref="T146:T209" si="16">IF(L146="", "",IF(R146=MAX(R146:S146),1,0))</f>
        <v>1</v>
      </c>
      <c r="U146" s="123">
        <f t="shared" ref="U146:U209" si="17">IF(N146="", "", IF(S146=MAX(R146:S146),1,0))</f>
        <v>0</v>
      </c>
      <c r="V146" s="1"/>
      <c r="W146" s="25"/>
      <c r="X146" s="1"/>
      <c r="Y146" s="1"/>
      <c r="Z146" s="9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</row>
    <row r="147" spans="2:61" x14ac:dyDescent="0.25">
      <c r="B147" s="2"/>
      <c r="C147" s="2"/>
      <c r="D147" s="2"/>
      <c r="E147" s="2"/>
      <c r="F147" s="2"/>
      <c r="G147" s="2"/>
      <c r="H147" s="2"/>
      <c r="I147" s="2"/>
      <c r="J147" s="2"/>
      <c r="K147" s="123" t="s">
        <v>256</v>
      </c>
      <c r="L147" s="124">
        <v>10156.870983899278</v>
      </c>
      <c r="M147" s="124">
        <v>9.7272470396980086</v>
      </c>
      <c r="N147" s="124">
        <v>5354.5035498929064</v>
      </c>
      <c r="O147" s="124">
        <v>5.9781877119633666</v>
      </c>
      <c r="P147" s="123">
        <f t="shared" si="14"/>
        <v>4802.3674340063717</v>
      </c>
      <c r="Q147" s="123">
        <f t="shared" si="15"/>
        <v>3.749059327734642</v>
      </c>
      <c r="R147" s="123">
        <f t="shared" si="12"/>
        <v>184388.0698100609</v>
      </c>
      <c r="S147" s="123">
        <f t="shared" si="13"/>
        <v>114209.25068937443</v>
      </c>
      <c r="T147" s="123">
        <f t="shared" si="16"/>
        <v>1</v>
      </c>
      <c r="U147" s="123">
        <f t="shared" si="17"/>
        <v>0</v>
      </c>
      <c r="V147" s="1"/>
      <c r="W147" s="25"/>
      <c r="X147" s="1"/>
      <c r="Y147" s="1"/>
      <c r="Z147" s="9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</row>
    <row r="148" spans="2:61" x14ac:dyDescent="0.25">
      <c r="B148" s="2"/>
      <c r="C148" s="2"/>
      <c r="D148" s="2"/>
      <c r="E148" s="2"/>
      <c r="F148" s="2"/>
      <c r="G148" s="2"/>
      <c r="H148" s="2"/>
      <c r="I148" s="2"/>
      <c r="J148" s="2"/>
      <c r="K148" s="123" t="s">
        <v>257</v>
      </c>
      <c r="L148" s="124">
        <v>8862.2592449534641</v>
      </c>
      <c r="M148" s="124">
        <v>8.0750307797080882</v>
      </c>
      <c r="N148" s="124">
        <v>5784.2658810924659</v>
      </c>
      <c r="O148" s="124">
        <v>5.7072300582128115</v>
      </c>
      <c r="P148" s="123">
        <f t="shared" si="14"/>
        <v>3077.9933638609982</v>
      </c>
      <c r="Q148" s="123">
        <f t="shared" si="15"/>
        <v>2.3678007214952768</v>
      </c>
      <c r="R148" s="123">
        <f t="shared" si="12"/>
        <v>152638.3563492083</v>
      </c>
      <c r="S148" s="123">
        <f t="shared" si="13"/>
        <v>108360.33528316376</v>
      </c>
      <c r="T148" s="123">
        <f t="shared" si="16"/>
        <v>1</v>
      </c>
      <c r="U148" s="123">
        <f t="shared" si="17"/>
        <v>0</v>
      </c>
      <c r="V148" s="1"/>
      <c r="W148" s="25"/>
      <c r="X148" s="1"/>
      <c r="Y148" s="1"/>
      <c r="Z148" s="9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</row>
    <row r="149" spans="2:61" x14ac:dyDescent="0.25">
      <c r="B149" s="2"/>
      <c r="C149" s="2"/>
      <c r="D149" s="2"/>
      <c r="E149" s="2"/>
      <c r="F149" s="2"/>
      <c r="G149" s="2"/>
      <c r="H149" s="2"/>
      <c r="I149" s="2"/>
      <c r="J149" s="2"/>
      <c r="K149" s="123" t="s">
        <v>258</v>
      </c>
      <c r="L149" s="124">
        <v>5542.4693704729707</v>
      </c>
      <c r="M149" s="124">
        <v>5.3182415671518743</v>
      </c>
      <c r="N149" s="124">
        <v>6005.3803284809146</v>
      </c>
      <c r="O149" s="124">
        <v>6.3890684167673957</v>
      </c>
      <c r="P149" s="123">
        <f t="shared" si="14"/>
        <v>-462.91095800794392</v>
      </c>
      <c r="Q149" s="123">
        <f t="shared" si="15"/>
        <v>-1.0708268496155213</v>
      </c>
      <c r="R149" s="123">
        <f t="shared" si="12"/>
        <v>100822.36197256451</v>
      </c>
      <c r="S149" s="123">
        <f t="shared" si="13"/>
        <v>121775.988006867</v>
      </c>
      <c r="T149" s="123">
        <f t="shared" si="16"/>
        <v>0</v>
      </c>
      <c r="U149" s="123">
        <f t="shared" si="17"/>
        <v>1</v>
      </c>
      <c r="V149" s="1"/>
      <c r="W149" s="25"/>
      <c r="X149" s="1"/>
      <c r="Y149" s="1"/>
      <c r="Z149" s="9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</row>
    <row r="150" spans="2:61" x14ac:dyDescent="0.25">
      <c r="B150" s="2"/>
      <c r="C150" s="2"/>
      <c r="D150" s="2"/>
      <c r="E150" s="2"/>
      <c r="F150" s="2"/>
      <c r="G150" s="2"/>
      <c r="H150" s="2"/>
      <c r="I150" s="2"/>
      <c r="J150" s="2"/>
      <c r="K150" s="123" t="s">
        <v>259</v>
      </c>
      <c r="L150" s="124">
        <v>6521.296637895759</v>
      </c>
      <c r="M150" s="124">
        <v>6.3874284631016796</v>
      </c>
      <c r="N150" s="124">
        <v>6712.3322220919945</v>
      </c>
      <c r="O150" s="124">
        <v>7.4974925228823093</v>
      </c>
      <c r="P150" s="123">
        <f t="shared" si="14"/>
        <v>-191.0355841962355</v>
      </c>
      <c r="Q150" s="123">
        <f t="shared" si="15"/>
        <v>-1.1100640597806297</v>
      </c>
      <c r="R150" s="123">
        <f t="shared" si="12"/>
        <v>121227.27262413783</v>
      </c>
      <c r="S150" s="123">
        <f t="shared" si="13"/>
        <v>143237.51823555419</v>
      </c>
      <c r="T150" s="123">
        <f t="shared" si="16"/>
        <v>0</v>
      </c>
      <c r="U150" s="123">
        <f t="shared" si="17"/>
        <v>1</v>
      </c>
      <c r="V150" s="1"/>
      <c r="W150" s="25"/>
      <c r="X150" s="1"/>
      <c r="Y150" s="1"/>
      <c r="Z150" s="9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</row>
    <row r="151" spans="2:61" x14ac:dyDescent="0.25">
      <c r="B151" s="2"/>
      <c r="C151" s="2"/>
      <c r="D151" s="2"/>
      <c r="E151" s="2"/>
      <c r="F151" s="2"/>
      <c r="G151" s="2"/>
      <c r="H151" s="2"/>
      <c r="I151" s="2"/>
      <c r="J151" s="2"/>
      <c r="K151" s="123" t="s">
        <v>260</v>
      </c>
      <c r="L151" s="124">
        <v>7082.9582608868832</v>
      </c>
      <c r="M151" s="124">
        <v>6.7225661027800321</v>
      </c>
      <c r="N151" s="124">
        <v>5201.4437957404052</v>
      </c>
      <c r="O151" s="124">
        <v>5.2366059132786589</v>
      </c>
      <c r="P151" s="123">
        <f t="shared" si="14"/>
        <v>1881.514465146478</v>
      </c>
      <c r="Q151" s="123">
        <f t="shared" si="15"/>
        <v>1.4859601895013732</v>
      </c>
      <c r="R151" s="123">
        <f t="shared" si="12"/>
        <v>127368.36379471376</v>
      </c>
      <c r="S151" s="123">
        <f t="shared" si="13"/>
        <v>99530.674469832782</v>
      </c>
      <c r="T151" s="123">
        <f t="shared" si="16"/>
        <v>1</v>
      </c>
      <c r="U151" s="123">
        <f t="shared" si="17"/>
        <v>0</v>
      </c>
      <c r="V151" s="1"/>
      <c r="W151" s="25"/>
      <c r="X151" s="1"/>
      <c r="Y151" s="1"/>
      <c r="Z151" s="9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</row>
    <row r="152" spans="2:61" x14ac:dyDescent="0.25">
      <c r="B152" s="2"/>
      <c r="C152" s="2"/>
      <c r="D152" s="2"/>
      <c r="E152" s="2"/>
      <c r="F152" s="2"/>
      <c r="G152" s="2"/>
      <c r="H152" s="2"/>
      <c r="I152" s="2"/>
      <c r="J152" s="2"/>
      <c r="K152" s="123" t="s">
        <v>261</v>
      </c>
      <c r="L152" s="124">
        <v>10029.441228640479</v>
      </c>
      <c r="M152" s="124">
        <v>8.5890913049303457</v>
      </c>
      <c r="N152" s="124">
        <v>7215.720932670476</v>
      </c>
      <c r="O152" s="124">
        <v>6.5151884919626966</v>
      </c>
      <c r="P152" s="123">
        <f t="shared" si="14"/>
        <v>2813.7202959700026</v>
      </c>
      <c r="Q152" s="123">
        <f t="shared" si="15"/>
        <v>2.0739028129676491</v>
      </c>
      <c r="R152" s="123">
        <f t="shared" si="12"/>
        <v>161752.38486996645</v>
      </c>
      <c r="S152" s="123">
        <f t="shared" si="13"/>
        <v>123088.04890658346</v>
      </c>
      <c r="T152" s="123">
        <f t="shared" si="16"/>
        <v>1</v>
      </c>
      <c r="U152" s="123">
        <f t="shared" si="17"/>
        <v>0</v>
      </c>
      <c r="V152" s="1"/>
      <c r="W152" s="25"/>
      <c r="X152" s="1"/>
      <c r="Y152" s="1"/>
      <c r="Z152" s="9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</row>
    <row r="153" spans="2:61" x14ac:dyDescent="0.25">
      <c r="B153" s="2"/>
      <c r="C153" s="2"/>
      <c r="D153" s="2"/>
      <c r="E153" s="2"/>
      <c r="F153" s="2"/>
      <c r="G153" s="2"/>
      <c r="H153" s="2"/>
      <c r="I153" s="2"/>
      <c r="J153" s="2"/>
      <c r="K153" s="123" t="s">
        <v>262</v>
      </c>
      <c r="L153" s="124">
        <v>9047.1304491758619</v>
      </c>
      <c r="M153" s="124">
        <v>8.0725963125614513</v>
      </c>
      <c r="N153" s="124">
        <v>7153.1889845672949</v>
      </c>
      <c r="O153" s="124">
        <v>6.3175674794534444</v>
      </c>
      <c r="P153" s="123">
        <f t="shared" si="14"/>
        <v>1893.941464608567</v>
      </c>
      <c r="Q153" s="123">
        <f t="shared" si="15"/>
        <v>1.7550288331080068</v>
      </c>
      <c r="R153" s="123">
        <f t="shared" si="12"/>
        <v>152404.79580205315</v>
      </c>
      <c r="S153" s="123">
        <f t="shared" si="13"/>
        <v>119198.16060450159</v>
      </c>
      <c r="T153" s="123">
        <f t="shared" si="16"/>
        <v>1</v>
      </c>
      <c r="U153" s="123">
        <f t="shared" si="17"/>
        <v>0</v>
      </c>
      <c r="V153" s="1"/>
      <c r="W153" s="25"/>
      <c r="X153" s="1"/>
      <c r="Y153" s="1"/>
      <c r="Z153" s="9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</row>
    <row r="154" spans="2:61" x14ac:dyDescent="0.25">
      <c r="B154" s="2"/>
      <c r="C154" s="2"/>
      <c r="D154" s="2"/>
      <c r="E154" s="2"/>
      <c r="F154" s="2"/>
      <c r="G154" s="2"/>
      <c r="H154" s="2"/>
      <c r="I154" s="2"/>
      <c r="J154" s="2"/>
      <c r="K154" s="123" t="s">
        <v>263</v>
      </c>
      <c r="L154" s="124">
        <v>7953.6408120089291</v>
      </c>
      <c r="M154" s="124">
        <v>8.2851169005998031</v>
      </c>
      <c r="N154" s="124">
        <v>6058.6271844965258</v>
      </c>
      <c r="O154" s="124">
        <v>7.155454537344891</v>
      </c>
      <c r="P154" s="123">
        <f t="shared" si="14"/>
        <v>1895.0136275124032</v>
      </c>
      <c r="Q154" s="123">
        <f t="shared" si="15"/>
        <v>1.1296623632549121</v>
      </c>
      <c r="R154" s="123">
        <f t="shared" si="12"/>
        <v>157748.69719998713</v>
      </c>
      <c r="S154" s="123">
        <f t="shared" si="13"/>
        <v>137050.4635624013</v>
      </c>
      <c r="T154" s="123">
        <f t="shared" si="16"/>
        <v>1</v>
      </c>
      <c r="U154" s="123">
        <f t="shared" si="17"/>
        <v>0</v>
      </c>
      <c r="V154" s="1"/>
      <c r="W154" s="25"/>
      <c r="X154" s="1"/>
      <c r="Y154" s="1"/>
      <c r="Z154" s="9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</row>
    <row r="155" spans="2:61" x14ac:dyDescent="0.25">
      <c r="B155" s="2"/>
      <c r="C155" s="2"/>
      <c r="D155" s="2"/>
      <c r="E155" s="2"/>
      <c r="F155" s="2"/>
      <c r="G155" s="2"/>
      <c r="H155" s="2"/>
      <c r="I155" s="2"/>
      <c r="J155" s="2"/>
      <c r="K155" s="123" t="s">
        <v>264</v>
      </c>
      <c r="L155" s="124">
        <v>7579.4871089573735</v>
      </c>
      <c r="M155" s="124">
        <v>7.6702257774263094</v>
      </c>
      <c r="N155" s="124">
        <v>6137.6714040065654</v>
      </c>
      <c r="O155" s="124">
        <v>6.9205494256833768</v>
      </c>
      <c r="P155" s="123">
        <f t="shared" si="14"/>
        <v>1441.8157049508081</v>
      </c>
      <c r="Q155" s="123">
        <f t="shared" si="15"/>
        <v>0.74967635174293257</v>
      </c>
      <c r="R155" s="123">
        <f t="shared" si="12"/>
        <v>145825.02843956882</v>
      </c>
      <c r="S155" s="123">
        <f t="shared" si="13"/>
        <v>132273.31710966097</v>
      </c>
      <c r="T155" s="123">
        <f t="shared" si="16"/>
        <v>1</v>
      </c>
      <c r="U155" s="123">
        <f t="shared" si="17"/>
        <v>0</v>
      </c>
      <c r="V155" s="1"/>
      <c r="W155" s="25"/>
      <c r="X155" s="1"/>
      <c r="Y155" s="1"/>
      <c r="Z155" s="9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</row>
    <row r="156" spans="2:61" x14ac:dyDescent="0.25">
      <c r="B156" s="2"/>
      <c r="C156" s="2"/>
      <c r="D156" s="2"/>
      <c r="E156" s="2"/>
      <c r="F156" s="2"/>
      <c r="G156" s="2"/>
      <c r="H156" s="2"/>
      <c r="I156" s="2"/>
      <c r="J156" s="2"/>
      <c r="K156" s="123" t="s">
        <v>265</v>
      </c>
      <c r="L156" s="124">
        <v>11287.993934919537</v>
      </c>
      <c r="M156" s="124">
        <v>10.353464994001598</v>
      </c>
      <c r="N156" s="124">
        <v>6653.080039614144</v>
      </c>
      <c r="O156" s="124">
        <v>6.2279277134111588</v>
      </c>
      <c r="P156" s="123">
        <f t="shared" si="14"/>
        <v>4634.9138953053935</v>
      </c>
      <c r="Q156" s="123">
        <f t="shared" si="15"/>
        <v>4.1255372805904393</v>
      </c>
      <c r="R156" s="123">
        <f t="shared" si="12"/>
        <v>195781.30594511243</v>
      </c>
      <c r="S156" s="123">
        <f t="shared" si="13"/>
        <v>117905.47422860903</v>
      </c>
      <c r="T156" s="123">
        <f t="shared" si="16"/>
        <v>1</v>
      </c>
      <c r="U156" s="123">
        <f t="shared" si="17"/>
        <v>0</v>
      </c>
      <c r="V156" s="1"/>
      <c r="W156" s="25"/>
      <c r="X156" s="1"/>
      <c r="Y156" s="1"/>
      <c r="Z156" s="9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</row>
    <row r="157" spans="2:61" x14ac:dyDescent="0.25">
      <c r="B157" s="2"/>
      <c r="C157" s="2"/>
      <c r="D157" s="2"/>
      <c r="E157" s="2"/>
      <c r="F157" s="2"/>
      <c r="G157" s="2"/>
      <c r="H157" s="2"/>
      <c r="I157" s="2"/>
      <c r="J157" s="2"/>
      <c r="K157" s="123" t="s">
        <v>266</v>
      </c>
      <c r="L157" s="124">
        <v>6448.0850938389494</v>
      </c>
      <c r="M157" s="124">
        <v>6.7467675477895934</v>
      </c>
      <c r="N157" s="124">
        <v>7305.8255668335805</v>
      </c>
      <c r="O157" s="124">
        <v>8.4815804332840798</v>
      </c>
      <c r="P157" s="123">
        <f t="shared" si="14"/>
        <v>-857.74047299463109</v>
      </c>
      <c r="Q157" s="123">
        <f t="shared" si="15"/>
        <v>-1.7348128854944864</v>
      </c>
      <c r="R157" s="123">
        <f t="shared" si="12"/>
        <v>128487.26586195291</v>
      </c>
      <c r="S157" s="123">
        <f t="shared" si="13"/>
        <v>162325.78309884801</v>
      </c>
      <c r="T157" s="123">
        <f t="shared" si="16"/>
        <v>0</v>
      </c>
      <c r="U157" s="123">
        <f t="shared" si="17"/>
        <v>1</v>
      </c>
      <c r="V157" s="1"/>
      <c r="W157" s="25"/>
      <c r="X157" s="1"/>
      <c r="Y157" s="1"/>
      <c r="Z157" s="9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</row>
    <row r="158" spans="2:61" x14ac:dyDescent="0.25">
      <c r="B158" s="2"/>
      <c r="C158" s="2"/>
      <c r="D158" s="2"/>
      <c r="E158" s="2"/>
      <c r="F158" s="2"/>
      <c r="G158" s="2"/>
      <c r="H158" s="2"/>
      <c r="I158" s="2"/>
      <c r="J158" s="2"/>
      <c r="K158" s="123" t="s">
        <v>267</v>
      </c>
      <c r="L158" s="124">
        <v>10383.827470538425</v>
      </c>
      <c r="M158" s="124">
        <v>9.3542582606637783</v>
      </c>
      <c r="N158" s="124">
        <v>6313.8643704242395</v>
      </c>
      <c r="O158" s="124">
        <v>5.8884006972061673</v>
      </c>
      <c r="P158" s="123">
        <f t="shared" si="14"/>
        <v>4069.9631001141852</v>
      </c>
      <c r="Q158" s="123">
        <f t="shared" si="15"/>
        <v>3.465857563457611</v>
      </c>
      <c r="R158" s="123">
        <f t="shared" si="12"/>
        <v>176701.33774273715</v>
      </c>
      <c r="S158" s="123">
        <f t="shared" si="13"/>
        <v>111454.14957369911</v>
      </c>
      <c r="T158" s="123">
        <f t="shared" si="16"/>
        <v>1</v>
      </c>
      <c r="U158" s="123">
        <f t="shared" si="17"/>
        <v>0</v>
      </c>
      <c r="V158" s="1"/>
      <c r="W158" s="25"/>
      <c r="X158" s="1"/>
      <c r="Y158" s="1"/>
      <c r="Z158" s="9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</row>
    <row r="159" spans="2:61" x14ac:dyDescent="0.25">
      <c r="B159" s="2"/>
      <c r="C159" s="2"/>
      <c r="D159" s="2"/>
      <c r="E159" s="2"/>
      <c r="F159" s="2"/>
      <c r="G159" s="2"/>
      <c r="H159" s="2"/>
      <c r="I159" s="2"/>
      <c r="J159" s="2"/>
      <c r="K159" s="123" t="s">
        <v>268</v>
      </c>
      <c r="L159" s="124">
        <v>9771.4045407203248</v>
      </c>
      <c r="M159" s="124">
        <v>9.4283382471909469</v>
      </c>
      <c r="N159" s="124">
        <v>6743.4820897530317</v>
      </c>
      <c r="O159" s="124">
        <v>7.4014274946555378</v>
      </c>
      <c r="P159" s="123">
        <f t="shared" si="14"/>
        <v>3027.9224509672931</v>
      </c>
      <c r="Q159" s="123">
        <f t="shared" si="15"/>
        <v>2.0269107525354091</v>
      </c>
      <c r="R159" s="123">
        <f t="shared" si="12"/>
        <v>178795.3604030986</v>
      </c>
      <c r="S159" s="123">
        <f t="shared" si="13"/>
        <v>141285.06780335773</v>
      </c>
      <c r="T159" s="123">
        <f t="shared" si="16"/>
        <v>1</v>
      </c>
      <c r="U159" s="123">
        <f t="shared" si="17"/>
        <v>0</v>
      </c>
      <c r="V159" s="1"/>
      <c r="W159" s="25"/>
      <c r="X159" s="1"/>
      <c r="Y159" s="1"/>
      <c r="Z159" s="9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</row>
    <row r="160" spans="2:61" x14ac:dyDescent="0.25">
      <c r="B160" s="2"/>
      <c r="C160" s="2"/>
      <c r="D160" s="2"/>
      <c r="E160" s="2"/>
      <c r="F160" s="2"/>
      <c r="G160" s="2"/>
      <c r="H160" s="2"/>
      <c r="I160" s="2"/>
      <c r="J160" s="2"/>
      <c r="K160" s="123" t="s">
        <v>269</v>
      </c>
      <c r="L160" s="124">
        <v>6126.8864583220711</v>
      </c>
      <c r="M160" s="124">
        <v>5.1866160528062935</v>
      </c>
      <c r="N160" s="124">
        <v>5943.6558756879231</v>
      </c>
      <c r="O160" s="124">
        <v>5.5199949232813168</v>
      </c>
      <c r="P160" s="123">
        <f t="shared" si="14"/>
        <v>183.23058263414805</v>
      </c>
      <c r="Q160" s="123">
        <f t="shared" si="15"/>
        <v>-0.33337887047502335</v>
      </c>
      <c r="R160" s="123">
        <f t="shared" si="12"/>
        <v>97605.434597803804</v>
      </c>
      <c r="S160" s="123">
        <f t="shared" si="13"/>
        <v>104456.24258993841</v>
      </c>
      <c r="T160" s="123">
        <f t="shared" si="16"/>
        <v>0</v>
      </c>
      <c r="U160" s="123">
        <f t="shared" si="17"/>
        <v>1</v>
      </c>
      <c r="V160" s="1"/>
      <c r="W160" s="25"/>
      <c r="X160" s="1"/>
      <c r="Y160" s="1"/>
      <c r="Z160" s="9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</row>
    <row r="161" spans="2:61" x14ac:dyDescent="0.25">
      <c r="B161" s="2"/>
      <c r="C161" s="2"/>
      <c r="D161" s="2"/>
      <c r="E161" s="2"/>
      <c r="F161" s="2"/>
      <c r="G161" s="2"/>
      <c r="H161" s="2"/>
      <c r="I161" s="2"/>
      <c r="J161" s="2"/>
      <c r="K161" s="123" t="s">
        <v>270</v>
      </c>
      <c r="L161" s="124">
        <v>7348.48453679876</v>
      </c>
      <c r="M161" s="124">
        <v>7.2866855558634196</v>
      </c>
      <c r="N161" s="124">
        <v>6383.8623459879873</v>
      </c>
      <c r="O161" s="124">
        <v>6.7803299384031011</v>
      </c>
      <c r="P161" s="123">
        <f t="shared" si="14"/>
        <v>964.62219081077274</v>
      </c>
      <c r="Q161" s="123">
        <f t="shared" si="15"/>
        <v>0.50635561746031854</v>
      </c>
      <c r="R161" s="123">
        <f t="shared" si="12"/>
        <v>138385.22658046964</v>
      </c>
      <c r="S161" s="123">
        <f t="shared" si="13"/>
        <v>129222.73642207403</v>
      </c>
      <c r="T161" s="123">
        <f t="shared" si="16"/>
        <v>1</v>
      </c>
      <c r="U161" s="123">
        <f t="shared" si="17"/>
        <v>0</v>
      </c>
      <c r="V161" s="1"/>
      <c r="W161" s="25"/>
      <c r="X161" s="1"/>
      <c r="Y161" s="1"/>
      <c r="Z161" s="9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</row>
    <row r="162" spans="2:61" x14ac:dyDescent="0.25">
      <c r="B162" s="2"/>
      <c r="C162" s="2"/>
      <c r="D162" s="2"/>
      <c r="E162" s="2"/>
      <c r="F162" s="2"/>
      <c r="G162" s="2"/>
      <c r="H162" s="2"/>
      <c r="I162" s="2"/>
      <c r="J162" s="2"/>
      <c r="K162" s="123" t="s">
        <v>271</v>
      </c>
      <c r="L162" s="124">
        <v>9287.0749613090084</v>
      </c>
      <c r="M162" s="124">
        <v>8.8235324890219573</v>
      </c>
      <c r="N162" s="124">
        <v>7571.916234719989</v>
      </c>
      <c r="O162" s="124">
        <v>7.2623941939066974</v>
      </c>
      <c r="P162" s="123">
        <f t="shared" si="14"/>
        <v>1715.1587265890194</v>
      </c>
      <c r="Q162" s="123">
        <f t="shared" si="15"/>
        <v>1.5611382951152599</v>
      </c>
      <c r="R162" s="123">
        <f t="shared" si="12"/>
        <v>167183.57481913015</v>
      </c>
      <c r="S162" s="123">
        <f t="shared" si="13"/>
        <v>137675.96764341398</v>
      </c>
      <c r="T162" s="123">
        <f t="shared" si="16"/>
        <v>1</v>
      </c>
      <c r="U162" s="123">
        <f t="shared" si="17"/>
        <v>0</v>
      </c>
      <c r="V162" s="1"/>
      <c r="W162" s="25"/>
      <c r="X162" s="1"/>
      <c r="Y162" s="1"/>
      <c r="Z162" s="9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</row>
    <row r="163" spans="2:61" x14ac:dyDescent="0.25">
      <c r="B163" s="2"/>
      <c r="C163" s="2"/>
      <c r="D163" s="2"/>
      <c r="E163" s="2"/>
      <c r="F163" s="2"/>
      <c r="G163" s="2"/>
      <c r="H163" s="2"/>
      <c r="I163" s="2"/>
      <c r="J163" s="2"/>
      <c r="K163" s="123" t="s">
        <v>272</v>
      </c>
      <c r="L163" s="124">
        <v>6627.502192830947</v>
      </c>
      <c r="M163" s="124">
        <v>6.0112916052357015</v>
      </c>
      <c r="N163" s="124">
        <v>6948.715818604278</v>
      </c>
      <c r="O163" s="124">
        <v>6.8473803940765565</v>
      </c>
      <c r="P163" s="123">
        <f t="shared" si="14"/>
        <v>-321.21362577333093</v>
      </c>
      <c r="Q163" s="123">
        <f t="shared" si="15"/>
        <v>-0.83608878884085502</v>
      </c>
      <c r="R163" s="123">
        <f t="shared" si="12"/>
        <v>113598.32991188309</v>
      </c>
      <c r="S163" s="123">
        <f t="shared" si="13"/>
        <v>129998.89206292684</v>
      </c>
      <c r="T163" s="123">
        <f t="shared" si="16"/>
        <v>0</v>
      </c>
      <c r="U163" s="123">
        <f t="shared" si="17"/>
        <v>1</v>
      </c>
      <c r="V163" s="1"/>
      <c r="W163" s="25"/>
      <c r="X163" s="1"/>
      <c r="Y163" s="1"/>
      <c r="Z163" s="9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</row>
    <row r="164" spans="2:61" x14ac:dyDescent="0.25">
      <c r="B164" s="2"/>
      <c r="C164" s="2"/>
      <c r="D164" s="2"/>
      <c r="E164" s="2"/>
      <c r="F164" s="2"/>
      <c r="G164" s="2"/>
      <c r="H164" s="2"/>
      <c r="I164" s="2"/>
      <c r="J164" s="2"/>
      <c r="K164" s="123" t="s">
        <v>273</v>
      </c>
      <c r="L164" s="124">
        <v>8657.2449054655372</v>
      </c>
      <c r="M164" s="124">
        <v>7.6170851357155067</v>
      </c>
      <c r="N164" s="124">
        <v>6181.1768765966544</v>
      </c>
      <c r="O164" s="124">
        <v>5.467637279583224</v>
      </c>
      <c r="P164" s="123">
        <f t="shared" si="14"/>
        <v>2476.0680288688827</v>
      </c>
      <c r="Q164" s="123">
        <f t="shared" si="15"/>
        <v>2.1494478561322827</v>
      </c>
      <c r="R164" s="123">
        <f t="shared" si="12"/>
        <v>143684.4578088446</v>
      </c>
      <c r="S164" s="123">
        <f t="shared" si="13"/>
        <v>103171.56871506783</v>
      </c>
      <c r="T164" s="123">
        <f t="shared" si="16"/>
        <v>1</v>
      </c>
      <c r="U164" s="123">
        <f t="shared" si="17"/>
        <v>0</v>
      </c>
      <c r="V164" s="1"/>
      <c r="W164" s="25"/>
      <c r="X164" s="1"/>
      <c r="Y164" s="1"/>
      <c r="Z164" s="9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</row>
    <row r="165" spans="2:61" x14ac:dyDescent="0.25">
      <c r="B165" s="2"/>
      <c r="C165" s="2"/>
      <c r="D165" s="2"/>
      <c r="E165" s="2"/>
      <c r="F165" s="2"/>
      <c r="G165" s="2"/>
      <c r="H165" s="2"/>
      <c r="I165" s="2"/>
      <c r="J165" s="2"/>
      <c r="K165" s="123" t="s">
        <v>274</v>
      </c>
      <c r="L165" s="124">
        <v>11889.397613356325</v>
      </c>
      <c r="M165" s="124">
        <v>11.554490434076524</v>
      </c>
      <c r="N165" s="124">
        <v>7921.2388401821154</v>
      </c>
      <c r="O165" s="124">
        <v>8.8903447893547849</v>
      </c>
      <c r="P165" s="123">
        <f t="shared" si="14"/>
        <v>3968.1587731742093</v>
      </c>
      <c r="Q165" s="123">
        <f t="shared" si="15"/>
        <v>2.6641456447217386</v>
      </c>
      <c r="R165" s="123">
        <f t="shared" si="12"/>
        <v>219200.41106817414</v>
      </c>
      <c r="S165" s="123">
        <f t="shared" si="13"/>
        <v>169885.6569469136</v>
      </c>
      <c r="T165" s="123">
        <f t="shared" si="16"/>
        <v>1</v>
      </c>
      <c r="U165" s="123">
        <f t="shared" si="17"/>
        <v>0</v>
      </c>
      <c r="V165" s="1"/>
      <c r="W165" s="25"/>
      <c r="X165" s="1"/>
      <c r="Y165" s="1"/>
      <c r="Z165" s="9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</row>
    <row r="166" spans="2:61" x14ac:dyDescent="0.25">
      <c r="B166" s="2"/>
      <c r="C166" s="2"/>
      <c r="D166" s="2"/>
      <c r="E166" s="2"/>
      <c r="F166" s="2"/>
      <c r="G166" s="2"/>
      <c r="H166" s="2"/>
      <c r="I166" s="2"/>
      <c r="J166" s="2"/>
      <c r="K166" s="123" t="s">
        <v>275</v>
      </c>
      <c r="L166" s="124">
        <v>9122.1694928734742</v>
      </c>
      <c r="M166" s="124">
        <v>9.2334482394546082</v>
      </c>
      <c r="N166" s="124">
        <v>7200.5443200913051</v>
      </c>
      <c r="O166" s="124">
        <v>8.2603648097081006</v>
      </c>
      <c r="P166" s="123">
        <f t="shared" si="14"/>
        <v>1921.6251727821691</v>
      </c>
      <c r="Q166" s="123">
        <f t="shared" si="15"/>
        <v>0.97308342974650763</v>
      </c>
      <c r="R166" s="123">
        <f t="shared" si="12"/>
        <v>175546.79529621868</v>
      </c>
      <c r="S166" s="123">
        <f t="shared" si="13"/>
        <v>158006.7518740707</v>
      </c>
      <c r="T166" s="123">
        <f t="shared" si="16"/>
        <v>1</v>
      </c>
      <c r="U166" s="123">
        <f t="shared" si="17"/>
        <v>0</v>
      </c>
      <c r="V166" s="1"/>
      <c r="W166" s="25"/>
      <c r="X166" s="1"/>
      <c r="Y166" s="1"/>
      <c r="Z166" s="9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</row>
    <row r="167" spans="2:61" x14ac:dyDescent="0.25">
      <c r="B167" s="2"/>
      <c r="C167" s="2"/>
      <c r="D167" s="2"/>
      <c r="E167" s="2"/>
      <c r="F167" s="2"/>
      <c r="G167" s="2"/>
      <c r="H167" s="2"/>
      <c r="I167" s="2"/>
      <c r="J167" s="2"/>
      <c r="K167" s="123" t="s">
        <v>276</v>
      </c>
      <c r="L167" s="124">
        <v>10140.569688158914</v>
      </c>
      <c r="M167" s="124">
        <v>7.565856834692414</v>
      </c>
      <c r="N167" s="124">
        <v>6292.8265480212285</v>
      </c>
      <c r="O167" s="124">
        <v>5.9146894300298722</v>
      </c>
      <c r="P167" s="123">
        <f t="shared" si="14"/>
        <v>3847.7431401376853</v>
      </c>
      <c r="Q167" s="123">
        <f t="shared" si="15"/>
        <v>1.6511674046625417</v>
      </c>
      <c r="R167" s="123">
        <f t="shared" si="12"/>
        <v>141176.56700568934</v>
      </c>
      <c r="S167" s="123">
        <f t="shared" si="13"/>
        <v>112000.96205257621</v>
      </c>
      <c r="T167" s="123">
        <f t="shared" si="16"/>
        <v>1</v>
      </c>
      <c r="U167" s="123">
        <f t="shared" si="17"/>
        <v>0</v>
      </c>
      <c r="V167" s="1"/>
      <c r="W167" s="25"/>
      <c r="X167" s="1"/>
      <c r="Y167" s="1"/>
      <c r="Z167" s="9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</row>
    <row r="168" spans="2:61" x14ac:dyDescent="0.25">
      <c r="B168" s="2"/>
      <c r="C168" s="2"/>
      <c r="D168" s="2"/>
      <c r="E168" s="2"/>
      <c r="F168" s="2"/>
      <c r="G168" s="2"/>
      <c r="H168" s="2"/>
      <c r="I168" s="2"/>
      <c r="J168" s="2"/>
      <c r="K168" s="123" t="s">
        <v>277</v>
      </c>
      <c r="L168" s="124">
        <v>6356.8922904255978</v>
      </c>
      <c r="M168" s="124">
        <v>5.4596587151110869</v>
      </c>
      <c r="N168" s="124">
        <v>5525.9387491299512</v>
      </c>
      <c r="O168" s="124">
        <v>4.9057529923435785</v>
      </c>
      <c r="P168" s="123">
        <f t="shared" si="14"/>
        <v>830.95354129564657</v>
      </c>
      <c r="Q168" s="123">
        <f t="shared" si="15"/>
        <v>0.55390572276750838</v>
      </c>
      <c r="R168" s="123">
        <f t="shared" si="12"/>
        <v>102836.28201179614</v>
      </c>
      <c r="S168" s="123">
        <f t="shared" si="13"/>
        <v>92589.121097741619</v>
      </c>
      <c r="T168" s="123">
        <f t="shared" si="16"/>
        <v>1</v>
      </c>
      <c r="U168" s="123">
        <f t="shared" si="17"/>
        <v>0</v>
      </c>
      <c r="V168" s="1"/>
      <c r="W168" s="25"/>
      <c r="X168" s="1"/>
      <c r="Y168" s="1"/>
      <c r="Z168" s="9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</row>
    <row r="169" spans="2:61" x14ac:dyDescent="0.25">
      <c r="B169" s="2"/>
      <c r="C169" s="2"/>
      <c r="D169" s="2"/>
      <c r="E169" s="2"/>
      <c r="F169" s="2"/>
      <c r="G169" s="2"/>
      <c r="H169" s="2"/>
      <c r="I169" s="2"/>
      <c r="J169" s="2"/>
      <c r="K169" s="123" t="s">
        <v>278</v>
      </c>
      <c r="L169" s="124">
        <v>10052.711889114998</v>
      </c>
      <c r="M169" s="124">
        <v>9.614472217976969</v>
      </c>
      <c r="N169" s="124">
        <v>6331.305777440195</v>
      </c>
      <c r="O169" s="124">
        <v>6.8768917505800262</v>
      </c>
      <c r="P169" s="123">
        <f t="shared" si="14"/>
        <v>3721.4061116748035</v>
      </c>
      <c r="Q169" s="123">
        <f t="shared" si="15"/>
        <v>2.7375804673969428</v>
      </c>
      <c r="R169" s="123">
        <f t="shared" si="12"/>
        <v>182236.73247042438</v>
      </c>
      <c r="S169" s="123">
        <f t="shared" si="13"/>
        <v>131206.52923416032</v>
      </c>
      <c r="T169" s="123">
        <f t="shared" si="16"/>
        <v>1</v>
      </c>
      <c r="U169" s="123">
        <f t="shared" si="17"/>
        <v>0</v>
      </c>
      <c r="V169" s="1"/>
      <c r="W169" s="25"/>
      <c r="X169" s="1"/>
      <c r="Y169" s="1"/>
      <c r="Z169" s="9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</row>
    <row r="170" spans="2:61" x14ac:dyDescent="0.25">
      <c r="B170" s="2"/>
      <c r="C170" s="2"/>
      <c r="D170" s="2"/>
      <c r="E170" s="2"/>
      <c r="F170" s="2"/>
      <c r="G170" s="2"/>
      <c r="H170" s="2"/>
      <c r="I170" s="2"/>
      <c r="J170" s="2"/>
      <c r="K170" s="123" t="s">
        <v>279</v>
      </c>
      <c r="L170" s="124">
        <v>8478.4353876330788</v>
      </c>
      <c r="M170" s="124">
        <v>7.8389686595850243</v>
      </c>
      <c r="N170" s="124">
        <v>8458.4241228900046</v>
      </c>
      <c r="O170" s="124">
        <v>8.8216038095622107</v>
      </c>
      <c r="P170" s="123">
        <f t="shared" si="14"/>
        <v>20.011264743074207</v>
      </c>
      <c r="Q170" s="123">
        <f t="shared" si="15"/>
        <v>-0.98263514997718637</v>
      </c>
      <c r="R170" s="123">
        <f t="shared" si="12"/>
        <v>148300.93780406742</v>
      </c>
      <c r="S170" s="123">
        <f t="shared" si="13"/>
        <v>167973.65206835422</v>
      </c>
      <c r="T170" s="123">
        <f t="shared" si="16"/>
        <v>0</v>
      </c>
      <c r="U170" s="123">
        <f t="shared" si="17"/>
        <v>1</v>
      </c>
      <c r="V170" s="1"/>
      <c r="W170" s="25"/>
      <c r="X170" s="1"/>
      <c r="Y170" s="1"/>
      <c r="Z170" s="9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</row>
    <row r="171" spans="2:61" x14ac:dyDescent="0.25">
      <c r="B171" s="2"/>
      <c r="C171" s="2"/>
      <c r="D171" s="2"/>
      <c r="E171" s="2"/>
      <c r="F171" s="2"/>
      <c r="G171" s="2"/>
      <c r="H171" s="2"/>
      <c r="I171" s="2"/>
      <c r="J171" s="2"/>
      <c r="K171" s="123" t="s">
        <v>280</v>
      </c>
      <c r="L171" s="124">
        <v>9714.7006686252262</v>
      </c>
      <c r="M171" s="124">
        <v>9.5724174653085843</v>
      </c>
      <c r="N171" s="124">
        <v>7508.4158253790829</v>
      </c>
      <c r="O171" s="124">
        <v>7.7796140393815749</v>
      </c>
      <c r="P171" s="123">
        <f t="shared" si="14"/>
        <v>2206.2848432461433</v>
      </c>
      <c r="Q171" s="123">
        <f t="shared" si="15"/>
        <v>1.7928034259270094</v>
      </c>
      <c r="R171" s="123">
        <f t="shared" si="12"/>
        <v>181733.64863754646</v>
      </c>
      <c r="S171" s="123">
        <f t="shared" si="13"/>
        <v>148083.86496225241</v>
      </c>
      <c r="T171" s="123">
        <f t="shared" si="16"/>
        <v>1</v>
      </c>
      <c r="U171" s="123">
        <f t="shared" si="17"/>
        <v>0</v>
      </c>
      <c r="V171" s="1"/>
      <c r="W171" s="25"/>
      <c r="X171" s="1"/>
      <c r="Y171" s="1"/>
      <c r="Z171" s="9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</row>
    <row r="172" spans="2:61" x14ac:dyDescent="0.25">
      <c r="B172" s="2"/>
      <c r="C172" s="2"/>
      <c r="D172" s="2"/>
      <c r="E172" s="2"/>
      <c r="F172" s="2"/>
      <c r="G172" s="2"/>
      <c r="H172" s="2"/>
      <c r="I172" s="2"/>
      <c r="J172" s="2"/>
      <c r="K172" s="123" t="s">
        <v>281</v>
      </c>
      <c r="L172" s="124">
        <v>11900.253805037641</v>
      </c>
      <c r="M172" s="124">
        <v>12.074484797941988</v>
      </c>
      <c r="N172" s="124">
        <v>7069.3791397705063</v>
      </c>
      <c r="O172" s="124">
        <v>7.1687611494488737</v>
      </c>
      <c r="P172" s="123">
        <f t="shared" si="14"/>
        <v>4830.8746652671343</v>
      </c>
      <c r="Q172" s="123">
        <f t="shared" si="15"/>
        <v>4.9057236484931144</v>
      </c>
      <c r="R172" s="123">
        <f t="shared" si="12"/>
        <v>229589.44215380211</v>
      </c>
      <c r="S172" s="123">
        <f t="shared" si="13"/>
        <v>136305.84384920698</v>
      </c>
      <c r="T172" s="123">
        <f t="shared" si="16"/>
        <v>1</v>
      </c>
      <c r="U172" s="123">
        <f t="shared" si="17"/>
        <v>0</v>
      </c>
      <c r="V172" s="1"/>
      <c r="W172" s="25"/>
      <c r="X172" s="1"/>
      <c r="Y172" s="1"/>
      <c r="Z172" s="9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</row>
    <row r="173" spans="2:61" x14ac:dyDescent="0.25">
      <c r="B173" s="2"/>
      <c r="C173" s="2"/>
      <c r="D173" s="2"/>
      <c r="E173" s="2"/>
      <c r="F173" s="2"/>
      <c r="G173" s="2"/>
      <c r="H173" s="2"/>
      <c r="I173" s="2"/>
      <c r="J173" s="2"/>
      <c r="K173" s="123" t="s">
        <v>282</v>
      </c>
      <c r="L173" s="124">
        <v>5835.0343735090037</v>
      </c>
      <c r="M173" s="124">
        <v>5.2220097382654052</v>
      </c>
      <c r="N173" s="124">
        <v>7014.1519082249624</v>
      </c>
      <c r="O173" s="124">
        <v>6.6822529519710248</v>
      </c>
      <c r="P173" s="123">
        <f t="shared" si="14"/>
        <v>-1179.1175347159588</v>
      </c>
      <c r="Q173" s="123">
        <f t="shared" si="15"/>
        <v>-1.4602432137056196</v>
      </c>
      <c r="R173" s="123">
        <f t="shared" si="12"/>
        <v>98605.160391799101</v>
      </c>
      <c r="S173" s="123">
        <f t="shared" si="13"/>
        <v>126630.90713119555</v>
      </c>
      <c r="T173" s="123">
        <f t="shared" si="16"/>
        <v>0</v>
      </c>
      <c r="U173" s="123">
        <f t="shared" si="17"/>
        <v>1</v>
      </c>
      <c r="V173" s="1"/>
      <c r="W173" s="25"/>
      <c r="X173" s="1"/>
      <c r="Y173" s="1"/>
      <c r="Z173" s="9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</row>
    <row r="174" spans="2:61" x14ac:dyDescent="0.25">
      <c r="B174" s="2"/>
      <c r="C174" s="2"/>
      <c r="D174" s="2"/>
      <c r="E174" s="2"/>
      <c r="F174" s="2"/>
      <c r="G174" s="2"/>
      <c r="H174" s="2"/>
      <c r="I174" s="2"/>
      <c r="J174" s="2"/>
      <c r="K174" s="123" t="s">
        <v>283</v>
      </c>
      <c r="L174" s="124">
        <v>9287.3581381198401</v>
      </c>
      <c r="M174" s="124">
        <v>8.8342398070143471</v>
      </c>
      <c r="N174" s="124">
        <v>6007.4916922091406</v>
      </c>
      <c r="O174" s="124">
        <v>5.9814513413075403</v>
      </c>
      <c r="P174" s="123">
        <f t="shared" si="14"/>
        <v>3279.8664459106994</v>
      </c>
      <c r="Q174" s="123">
        <f t="shared" si="15"/>
        <v>2.8527884657068068</v>
      </c>
      <c r="R174" s="123">
        <f t="shared" si="12"/>
        <v>167397.43800216712</v>
      </c>
      <c r="S174" s="123">
        <f t="shared" si="13"/>
        <v>113621.53513394167</v>
      </c>
      <c r="T174" s="123">
        <f t="shared" si="16"/>
        <v>1</v>
      </c>
      <c r="U174" s="123">
        <f t="shared" si="17"/>
        <v>0</v>
      </c>
      <c r="V174" s="1"/>
      <c r="W174" s="25"/>
      <c r="X174" s="1"/>
      <c r="Y174" s="1"/>
      <c r="Z174" s="9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</row>
    <row r="175" spans="2:61" x14ac:dyDescent="0.25">
      <c r="B175" s="2"/>
      <c r="C175" s="2"/>
      <c r="D175" s="2"/>
      <c r="E175" s="2"/>
      <c r="F175" s="2"/>
      <c r="G175" s="2"/>
      <c r="H175" s="2"/>
      <c r="I175" s="2"/>
      <c r="J175" s="2"/>
      <c r="K175" s="123" t="s">
        <v>284</v>
      </c>
      <c r="L175" s="124">
        <v>9208.4055709652257</v>
      </c>
      <c r="M175" s="124">
        <v>8.83687655839881</v>
      </c>
      <c r="N175" s="124">
        <v>7107.8157969824424</v>
      </c>
      <c r="O175" s="124">
        <v>7.4436503346625447</v>
      </c>
      <c r="P175" s="123">
        <f t="shared" si="14"/>
        <v>2100.5897739827833</v>
      </c>
      <c r="Q175" s="123">
        <f t="shared" si="15"/>
        <v>1.3932262237362654</v>
      </c>
      <c r="R175" s="123">
        <f t="shared" si="12"/>
        <v>167529.12559701098</v>
      </c>
      <c r="S175" s="123">
        <f t="shared" si="13"/>
        <v>141765.19089626847</v>
      </c>
      <c r="T175" s="123">
        <f t="shared" si="16"/>
        <v>1</v>
      </c>
      <c r="U175" s="123">
        <f t="shared" si="17"/>
        <v>0</v>
      </c>
      <c r="V175" s="1"/>
      <c r="W175" s="25"/>
      <c r="X175" s="1"/>
      <c r="Y175" s="1"/>
      <c r="Z175" s="9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</row>
    <row r="176" spans="2:61" x14ac:dyDescent="0.25">
      <c r="B176" s="2"/>
      <c r="C176" s="2"/>
      <c r="D176" s="2"/>
      <c r="E176" s="2"/>
      <c r="F176" s="2"/>
      <c r="G176" s="2"/>
      <c r="H176" s="2"/>
      <c r="I176" s="2"/>
      <c r="J176" s="2"/>
      <c r="K176" s="123" t="s">
        <v>285</v>
      </c>
      <c r="L176" s="124">
        <v>5177.0686843770618</v>
      </c>
      <c r="M176" s="124">
        <v>3.944904773203489</v>
      </c>
      <c r="N176" s="124">
        <v>7610.1440020164446</v>
      </c>
      <c r="O176" s="124">
        <v>6.6831125202924637</v>
      </c>
      <c r="P176" s="123">
        <f t="shared" si="14"/>
        <v>-2433.0753176393828</v>
      </c>
      <c r="Q176" s="123">
        <f t="shared" si="15"/>
        <v>-2.7382077470889747</v>
      </c>
      <c r="R176" s="123">
        <f t="shared" si="12"/>
        <v>73721.026779692707</v>
      </c>
      <c r="S176" s="123">
        <f t="shared" si="13"/>
        <v>126052.10640383283</v>
      </c>
      <c r="T176" s="123">
        <f t="shared" si="16"/>
        <v>0</v>
      </c>
      <c r="U176" s="123">
        <f t="shared" si="17"/>
        <v>1</v>
      </c>
      <c r="V176" s="1"/>
      <c r="W176" s="25"/>
      <c r="X176" s="1"/>
      <c r="Y176" s="1"/>
      <c r="Z176" s="9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</row>
    <row r="177" spans="2:61" x14ac:dyDescent="0.25">
      <c r="B177" s="2"/>
      <c r="C177" s="2"/>
      <c r="D177" s="2"/>
      <c r="E177" s="2"/>
      <c r="F177" s="2"/>
      <c r="G177" s="2"/>
      <c r="H177" s="2"/>
      <c r="I177" s="2"/>
      <c r="J177" s="2"/>
      <c r="K177" s="123" t="s">
        <v>286</v>
      </c>
      <c r="L177" s="124">
        <v>8525.688786771083</v>
      </c>
      <c r="M177" s="124">
        <v>8.1058676650424761</v>
      </c>
      <c r="N177" s="124">
        <v>5702.8721409383206</v>
      </c>
      <c r="O177" s="124">
        <v>5.6910257936049069</v>
      </c>
      <c r="P177" s="123">
        <f t="shared" si="14"/>
        <v>2822.8166458327623</v>
      </c>
      <c r="Q177" s="123">
        <f t="shared" si="15"/>
        <v>2.4148418714375692</v>
      </c>
      <c r="R177" s="123">
        <f t="shared" si="12"/>
        <v>153591.66451407844</v>
      </c>
      <c r="S177" s="123">
        <f t="shared" si="13"/>
        <v>108117.64373115983</v>
      </c>
      <c r="T177" s="123">
        <f t="shared" si="16"/>
        <v>1</v>
      </c>
      <c r="U177" s="123">
        <f t="shared" si="17"/>
        <v>0</v>
      </c>
      <c r="V177" s="1"/>
      <c r="W177" s="25"/>
      <c r="X177" s="1"/>
      <c r="Y177" s="1"/>
      <c r="Z177" s="9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</row>
    <row r="178" spans="2:61" x14ac:dyDescent="0.25">
      <c r="B178" s="2"/>
      <c r="C178" s="2"/>
      <c r="D178" s="2"/>
      <c r="E178" s="2"/>
      <c r="F178" s="2"/>
      <c r="G178" s="2"/>
      <c r="H178" s="2"/>
      <c r="I178" s="2"/>
      <c r="J178" s="2"/>
      <c r="K178" s="123" t="s">
        <v>287</v>
      </c>
      <c r="L178" s="124">
        <v>5591.4164861598074</v>
      </c>
      <c r="M178" s="124">
        <v>4.9209353402307183</v>
      </c>
      <c r="N178" s="124">
        <v>7376.4837527291575</v>
      </c>
      <c r="O178" s="124">
        <v>7.1970450147853251</v>
      </c>
      <c r="P178" s="123">
        <f t="shared" si="14"/>
        <v>-1785.0672665693501</v>
      </c>
      <c r="Q178" s="123">
        <f t="shared" si="15"/>
        <v>-2.2761096745546068</v>
      </c>
      <c r="R178" s="123">
        <f t="shared" si="12"/>
        <v>92827.290318454558</v>
      </c>
      <c r="S178" s="123">
        <f t="shared" si="13"/>
        <v>136564.41654297733</v>
      </c>
      <c r="T178" s="123">
        <f t="shared" si="16"/>
        <v>0</v>
      </c>
      <c r="U178" s="123">
        <f t="shared" si="17"/>
        <v>1</v>
      </c>
      <c r="V178" s="1"/>
      <c r="W178" s="25"/>
      <c r="X178" s="1"/>
      <c r="Y178" s="1"/>
      <c r="Z178" s="9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</row>
    <row r="179" spans="2:61" x14ac:dyDescent="0.25">
      <c r="B179" s="2"/>
      <c r="C179" s="2"/>
      <c r="D179" s="2"/>
      <c r="E179" s="2"/>
      <c r="F179" s="2"/>
      <c r="G179" s="2"/>
      <c r="H179" s="2"/>
      <c r="I179" s="2"/>
      <c r="J179" s="2"/>
      <c r="K179" s="123" t="s">
        <v>288</v>
      </c>
      <c r="L179" s="124">
        <v>5345.877217686937</v>
      </c>
      <c r="M179" s="124">
        <v>5.9756666095053266</v>
      </c>
      <c r="N179" s="124">
        <v>5348.9396255243946</v>
      </c>
      <c r="O179" s="124">
        <v>6.4824187313515722</v>
      </c>
      <c r="P179" s="123">
        <f t="shared" si="14"/>
        <v>-3.0624078374576129</v>
      </c>
      <c r="Q179" s="123">
        <f t="shared" si="15"/>
        <v>-0.50675212184624563</v>
      </c>
      <c r="R179" s="123">
        <f t="shared" si="12"/>
        <v>114167.4549724196</v>
      </c>
      <c r="S179" s="123">
        <f t="shared" si="13"/>
        <v>124299.43500150705</v>
      </c>
      <c r="T179" s="123">
        <f t="shared" si="16"/>
        <v>0</v>
      </c>
      <c r="U179" s="123">
        <f t="shared" si="17"/>
        <v>1</v>
      </c>
      <c r="V179" s="1"/>
      <c r="W179" s="25"/>
      <c r="X179" s="1"/>
      <c r="Y179" s="1"/>
      <c r="Z179" s="9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</row>
    <row r="180" spans="2:61" x14ac:dyDescent="0.25">
      <c r="B180" s="2"/>
      <c r="C180" s="2"/>
      <c r="D180" s="2"/>
      <c r="E180" s="2"/>
      <c r="F180" s="2"/>
      <c r="G180" s="2"/>
      <c r="H180" s="2"/>
      <c r="I180" s="2"/>
      <c r="J180" s="2"/>
      <c r="K180" s="123" t="s">
        <v>289</v>
      </c>
      <c r="L180" s="124">
        <v>7860.316553635932</v>
      </c>
      <c r="M180" s="124">
        <v>7.2718182541151775</v>
      </c>
      <c r="N180" s="124">
        <v>8397.4855888816674</v>
      </c>
      <c r="O180" s="124">
        <v>7.9640038143549052</v>
      </c>
      <c r="P180" s="123">
        <f t="shared" si="14"/>
        <v>-537.16903524573536</v>
      </c>
      <c r="Q180" s="123">
        <f t="shared" si="15"/>
        <v>-0.69218556023972777</v>
      </c>
      <c r="R180" s="123">
        <f t="shared" si="12"/>
        <v>137576.04852866763</v>
      </c>
      <c r="S180" s="123">
        <f t="shared" si="13"/>
        <v>150882.59069821646</v>
      </c>
      <c r="T180" s="123">
        <f t="shared" si="16"/>
        <v>0</v>
      </c>
      <c r="U180" s="123">
        <f t="shared" si="17"/>
        <v>1</v>
      </c>
      <c r="V180" s="1"/>
      <c r="W180" s="25"/>
      <c r="X180" s="1"/>
      <c r="Y180" s="1"/>
      <c r="Z180" s="9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</row>
    <row r="181" spans="2:61" x14ac:dyDescent="0.25">
      <c r="B181" s="2"/>
      <c r="C181" s="2"/>
      <c r="D181" s="2"/>
      <c r="E181" s="2"/>
      <c r="F181" s="2"/>
      <c r="G181" s="2"/>
      <c r="H181" s="2"/>
      <c r="I181" s="2"/>
      <c r="J181" s="2"/>
      <c r="K181" s="123" t="s">
        <v>290</v>
      </c>
      <c r="L181" s="124">
        <v>7190.5394769201703</v>
      </c>
      <c r="M181" s="124">
        <v>8.3013314383011299</v>
      </c>
      <c r="N181" s="124">
        <v>4969.236823754989</v>
      </c>
      <c r="O181" s="124">
        <v>6.1475344021415781</v>
      </c>
      <c r="P181" s="123">
        <f t="shared" si="14"/>
        <v>2221.3026531651813</v>
      </c>
      <c r="Q181" s="123">
        <f t="shared" si="15"/>
        <v>2.1537970361595518</v>
      </c>
      <c r="R181" s="123">
        <f t="shared" si="12"/>
        <v>158836.08928910241</v>
      </c>
      <c r="S181" s="123">
        <f t="shared" si="13"/>
        <v>117981.45121907658</v>
      </c>
      <c r="T181" s="123">
        <f t="shared" si="16"/>
        <v>1</v>
      </c>
      <c r="U181" s="123">
        <f t="shared" si="17"/>
        <v>0</v>
      </c>
      <c r="V181" s="1"/>
      <c r="W181" s="25"/>
      <c r="X181" s="1"/>
      <c r="Y181" s="1"/>
      <c r="Z181" s="9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</row>
    <row r="182" spans="2:61" x14ac:dyDescent="0.25">
      <c r="B182" s="2"/>
      <c r="C182" s="2"/>
      <c r="D182" s="2"/>
      <c r="E182" s="2"/>
      <c r="F182" s="2"/>
      <c r="G182" s="2"/>
      <c r="H182" s="2"/>
      <c r="I182" s="2"/>
      <c r="J182" s="2"/>
      <c r="K182" s="123" t="s">
        <v>291</v>
      </c>
      <c r="L182" s="124">
        <v>6325.5601511963523</v>
      </c>
      <c r="M182" s="124">
        <v>6.8138389787064284</v>
      </c>
      <c r="N182" s="124">
        <v>5076.4198497655316</v>
      </c>
      <c r="O182" s="124">
        <v>5.6933244392612039</v>
      </c>
      <c r="P182" s="123">
        <f t="shared" si="14"/>
        <v>1249.1403014308207</v>
      </c>
      <c r="Q182" s="123">
        <f t="shared" si="15"/>
        <v>1.1205145394452245</v>
      </c>
      <c r="R182" s="123">
        <f t="shared" si="12"/>
        <v>129951.21942293222</v>
      </c>
      <c r="S182" s="123">
        <f t="shared" si="13"/>
        <v>108790.06893545855</v>
      </c>
      <c r="T182" s="123">
        <f t="shared" si="16"/>
        <v>1</v>
      </c>
      <c r="U182" s="123">
        <f t="shared" si="17"/>
        <v>0</v>
      </c>
      <c r="V182" s="1"/>
      <c r="W182" s="25"/>
      <c r="X182" s="1"/>
      <c r="Y182" s="1"/>
      <c r="Z182" s="9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</row>
    <row r="183" spans="2:61" x14ac:dyDescent="0.25">
      <c r="B183" s="2"/>
      <c r="C183" s="2"/>
      <c r="D183" s="2"/>
      <c r="E183" s="2"/>
      <c r="F183" s="2"/>
      <c r="G183" s="2"/>
      <c r="H183" s="2"/>
      <c r="I183" s="2"/>
      <c r="J183" s="2"/>
      <c r="K183" s="123" t="s">
        <v>292</v>
      </c>
      <c r="L183" s="124">
        <v>10813.377781196976</v>
      </c>
      <c r="M183" s="124">
        <v>10.050722224942774</v>
      </c>
      <c r="N183" s="124">
        <v>7140.9418692040672</v>
      </c>
      <c r="O183" s="124">
        <v>7.2979392418711289</v>
      </c>
      <c r="P183" s="123">
        <f t="shared" si="14"/>
        <v>3672.4359119929086</v>
      </c>
      <c r="Q183" s="123">
        <f t="shared" si="15"/>
        <v>2.7527829830716453</v>
      </c>
      <c r="R183" s="123">
        <f t="shared" si="12"/>
        <v>190201.06671765851</v>
      </c>
      <c r="S183" s="123">
        <f t="shared" si="13"/>
        <v>138817.84296821849</v>
      </c>
      <c r="T183" s="123">
        <f t="shared" si="16"/>
        <v>1</v>
      </c>
      <c r="U183" s="123">
        <f t="shared" si="17"/>
        <v>0</v>
      </c>
      <c r="V183" s="1"/>
      <c r="W183" s="25"/>
      <c r="X183" s="1"/>
      <c r="Y183" s="1"/>
      <c r="Z183" s="9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</row>
    <row r="184" spans="2:61" x14ac:dyDescent="0.25">
      <c r="B184" s="2"/>
      <c r="C184" s="2"/>
      <c r="D184" s="2"/>
      <c r="E184" s="2"/>
      <c r="F184" s="2"/>
      <c r="G184" s="2"/>
      <c r="H184" s="2"/>
      <c r="I184" s="2"/>
      <c r="J184" s="2"/>
      <c r="K184" s="123" t="s">
        <v>293</v>
      </c>
      <c r="L184" s="124">
        <v>9747.4544629185984</v>
      </c>
      <c r="M184" s="124">
        <v>10.722303195936195</v>
      </c>
      <c r="N184" s="124">
        <v>4880.8182765437505</v>
      </c>
      <c r="O184" s="124">
        <v>6.039854614113616</v>
      </c>
      <c r="P184" s="123">
        <f t="shared" si="14"/>
        <v>4866.636186374848</v>
      </c>
      <c r="Q184" s="123">
        <f t="shared" si="15"/>
        <v>4.6824485818225794</v>
      </c>
      <c r="R184" s="123">
        <f t="shared" si="12"/>
        <v>204698.6094558053</v>
      </c>
      <c r="S184" s="123">
        <f t="shared" si="13"/>
        <v>115916.27400572857</v>
      </c>
      <c r="T184" s="123">
        <f t="shared" si="16"/>
        <v>1</v>
      </c>
      <c r="U184" s="123">
        <f t="shared" si="17"/>
        <v>0</v>
      </c>
      <c r="V184" s="1"/>
      <c r="W184" s="25"/>
      <c r="X184" s="1"/>
      <c r="Y184" s="1"/>
      <c r="Z184" s="9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</row>
    <row r="185" spans="2:61" x14ac:dyDescent="0.25">
      <c r="B185" s="2"/>
      <c r="C185" s="2"/>
      <c r="D185" s="2"/>
      <c r="E185" s="2"/>
      <c r="F185" s="2"/>
      <c r="G185" s="2"/>
      <c r="H185" s="2"/>
      <c r="I185" s="2"/>
      <c r="J185" s="2"/>
      <c r="K185" s="123" t="s">
        <v>294</v>
      </c>
      <c r="L185" s="124">
        <v>10036.691402276514</v>
      </c>
      <c r="M185" s="124">
        <v>9.2594767808885283</v>
      </c>
      <c r="N185" s="124">
        <v>6256.7764385458022</v>
      </c>
      <c r="O185" s="124">
        <v>5.8354253926139297</v>
      </c>
      <c r="P185" s="123">
        <f t="shared" si="14"/>
        <v>3779.9149637307119</v>
      </c>
      <c r="Q185" s="123">
        <f t="shared" si="15"/>
        <v>3.4240513882745987</v>
      </c>
      <c r="R185" s="123">
        <f t="shared" si="12"/>
        <v>175152.84421549406</v>
      </c>
      <c r="S185" s="123">
        <f t="shared" si="13"/>
        <v>110451.73141373279</v>
      </c>
      <c r="T185" s="123">
        <f t="shared" si="16"/>
        <v>1</v>
      </c>
      <c r="U185" s="123">
        <f t="shared" si="17"/>
        <v>0</v>
      </c>
      <c r="V185" s="1"/>
      <c r="W185" s="25"/>
      <c r="X185" s="1"/>
      <c r="Y185" s="1"/>
      <c r="Z185" s="9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</row>
    <row r="186" spans="2:61" x14ac:dyDescent="0.25">
      <c r="B186" s="2"/>
      <c r="C186" s="2"/>
      <c r="D186" s="2"/>
      <c r="E186" s="2"/>
      <c r="F186" s="2"/>
      <c r="G186" s="2"/>
      <c r="H186" s="2"/>
      <c r="I186" s="2"/>
      <c r="J186" s="2"/>
      <c r="K186" s="123" t="s">
        <v>295</v>
      </c>
      <c r="L186" s="124">
        <v>12158.293229531746</v>
      </c>
      <c r="M186" s="124">
        <v>11.866203736887483</v>
      </c>
      <c r="N186" s="124">
        <v>6156.8267873248433</v>
      </c>
      <c r="O186" s="124">
        <v>6.4883674348181479</v>
      </c>
      <c r="P186" s="123">
        <f t="shared" si="14"/>
        <v>6001.4664422069027</v>
      </c>
      <c r="Q186" s="123">
        <f t="shared" si="15"/>
        <v>5.3778363020693352</v>
      </c>
      <c r="R186" s="123">
        <f t="shared" si="12"/>
        <v>225165.78150821791</v>
      </c>
      <c r="S186" s="123">
        <f t="shared" si="13"/>
        <v>123610.52190903811</v>
      </c>
      <c r="T186" s="123">
        <f t="shared" si="16"/>
        <v>1</v>
      </c>
      <c r="U186" s="123">
        <f t="shared" si="17"/>
        <v>0</v>
      </c>
      <c r="V186" s="1"/>
      <c r="W186" s="25"/>
      <c r="X186" s="1"/>
      <c r="Y186" s="1"/>
      <c r="Z186" s="9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</row>
    <row r="187" spans="2:61" x14ac:dyDescent="0.25">
      <c r="B187" s="2"/>
      <c r="C187" s="2"/>
      <c r="D187" s="2"/>
      <c r="E187" s="2"/>
      <c r="F187" s="2"/>
      <c r="G187" s="2"/>
      <c r="H187" s="2"/>
      <c r="I187" s="2"/>
      <c r="J187" s="2"/>
      <c r="K187" s="123" t="s">
        <v>296</v>
      </c>
      <c r="L187" s="124">
        <v>6261.7932831027319</v>
      </c>
      <c r="M187" s="124">
        <v>5.5034100003642221</v>
      </c>
      <c r="N187" s="124">
        <v>6981.8134877848552</v>
      </c>
      <c r="O187" s="124">
        <v>6.8490126939103355</v>
      </c>
      <c r="P187" s="123">
        <f t="shared" si="14"/>
        <v>-720.02020468212322</v>
      </c>
      <c r="Q187" s="123">
        <f t="shared" si="15"/>
        <v>-1.3456026935461134</v>
      </c>
      <c r="R187" s="123">
        <f t="shared" si="12"/>
        <v>103806.40672418171</v>
      </c>
      <c r="S187" s="123">
        <f t="shared" si="13"/>
        <v>129998.44039042186</v>
      </c>
      <c r="T187" s="123">
        <f t="shared" si="16"/>
        <v>0</v>
      </c>
      <c r="U187" s="123">
        <f t="shared" si="17"/>
        <v>1</v>
      </c>
      <c r="V187" s="1"/>
      <c r="W187" s="25"/>
      <c r="X187" s="1"/>
      <c r="Y187" s="1"/>
      <c r="Z187" s="9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</row>
    <row r="188" spans="2:61" x14ac:dyDescent="0.25">
      <c r="B188" s="2"/>
      <c r="C188" s="2"/>
      <c r="D188" s="2"/>
      <c r="E188" s="2"/>
      <c r="F188" s="2"/>
      <c r="G188" s="2"/>
      <c r="H188" s="2"/>
      <c r="I188" s="2"/>
      <c r="J188" s="2"/>
      <c r="K188" s="123" t="s">
        <v>297</v>
      </c>
      <c r="L188" s="124">
        <v>10807.985794128852</v>
      </c>
      <c r="M188" s="124">
        <v>11.477094121234174</v>
      </c>
      <c r="N188" s="124">
        <v>5939.0821163471437</v>
      </c>
      <c r="O188" s="124">
        <v>6.1216102372811712</v>
      </c>
      <c r="P188" s="123">
        <f t="shared" si="14"/>
        <v>4868.9036777817082</v>
      </c>
      <c r="Q188" s="123">
        <f t="shared" si="15"/>
        <v>5.3554838839530028</v>
      </c>
      <c r="R188" s="123">
        <f t="shared" si="12"/>
        <v>218733.89663055463</v>
      </c>
      <c r="S188" s="123">
        <f t="shared" si="13"/>
        <v>116493.12262927629</v>
      </c>
      <c r="T188" s="123">
        <f t="shared" si="16"/>
        <v>1</v>
      </c>
      <c r="U188" s="123">
        <f t="shared" si="17"/>
        <v>0</v>
      </c>
      <c r="V188" s="1"/>
      <c r="W188" s="25"/>
      <c r="X188" s="1"/>
      <c r="Y188" s="1"/>
      <c r="Z188" s="9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</row>
    <row r="189" spans="2:61" x14ac:dyDescent="0.25">
      <c r="B189" s="2"/>
      <c r="C189" s="2"/>
      <c r="D189" s="2"/>
      <c r="E189" s="2"/>
      <c r="F189" s="2"/>
      <c r="G189" s="2"/>
      <c r="H189" s="2"/>
      <c r="I189" s="2"/>
      <c r="J189" s="2"/>
      <c r="K189" s="123" t="s">
        <v>298</v>
      </c>
      <c r="L189" s="124">
        <v>6504.4884331995581</v>
      </c>
      <c r="M189" s="124">
        <v>6.8448430169980048</v>
      </c>
      <c r="N189" s="124">
        <v>7398.0374715096805</v>
      </c>
      <c r="O189" s="124">
        <v>8.9812663452622665</v>
      </c>
      <c r="P189" s="123">
        <f t="shared" si="14"/>
        <v>-893.54903831012234</v>
      </c>
      <c r="Q189" s="123">
        <f t="shared" si="15"/>
        <v>-2.1364233282642617</v>
      </c>
      <c r="R189" s="123">
        <f t="shared" si="12"/>
        <v>130392.37190676053</v>
      </c>
      <c r="S189" s="123">
        <f t="shared" si="13"/>
        <v>172227.28943373566</v>
      </c>
      <c r="T189" s="123">
        <f t="shared" si="16"/>
        <v>0</v>
      </c>
      <c r="U189" s="123">
        <f t="shared" si="17"/>
        <v>1</v>
      </c>
      <c r="V189" s="1"/>
      <c r="W189" s="25"/>
      <c r="X189" s="1"/>
      <c r="Y189" s="1"/>
      <c r="Z189" s="9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</row>
    <row r="190" spans="2:61" x14ac:dyDescent="0.25">
      <c r="B190" s="2"/>
      <c r="C190" s="2"/>
      <c r="D190" s="2"/>
      <c r="E190" s="2"/>
      <c r="F190" s="2"/>
      <c r="G190" s="2"/>
      <c r="H190" s="2"/>
      <c r="I190" s="2"/>
      <c r="J190" s="2"/>
      <c r="K190" s="123" t="s">
        <v>299</v>
      </c>
      <c r="L190" s="124">
        <v>10044.063026485714</v>
      </c>
      <c r="M190" s="124">
        <v>8.6301210342974244</v>
      </c>
      <c r="N190" s="124">
        <v>7608.9647110095102</v>
      </c>
      <c r="O190" s="124">
        <v>7.5717048239609692</v>
      </c>
      <c r="P190" s="123">
        <f t="shared" si="14"/>
        <v>2435.0983154762034</v>
      </c>
      <c r="Q190" s="123">
        <f t="shared" si="15"/>
        <v>1.0584162103364552</v>
      </c>
      <c r="R190" s="123">
        <f t="shared" si="12"/>
        <v>162558.35765946278</v>
      </c>
      <c r="S190" s="123">
        <f t="shared" si="13"/>
        <v>143825.13176820986</v>
      </c>
      <c r="T190" s="123">
        <f t="shared" si="16"/>
        <v>1</v>
      </c>
      <c r="U190" s="123">
        <f t="shared" si="17"/>
        <v>0</v>
      </c>
      <c r="V190" s="1"/>
      <c r="W190" s="25"/>
      <c r="X190" s="1"/>
      <c r="Y190" s="1"/>
      <c r="Z190" s="9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</row>
    <row r="191" spans="2:61" x14ac:dyDescent="0.25">
      <c r="B191" s="2"/>
      <c r="C191" s="2"/>
      <c r="D191" s="2"/>
      <c r="E191" s="2"/>
      <c r="F191" s="2"/>
      <c r="G191" s="2"/>
      <c r="H191" s="2"/>
      <c r="I191" s="2"/>
      <c r="J191" s="2"/>
      <c r="K191" s="123" t="s">
        <v>300</v>
      </c>
      <c r="L191" s="124">
        <v>5007.5631727504297</v>
      </c>
      <c r="M191" s="124">
        <v>4.5518752203033443</v>
      </c>
      <c r="N191" s="124">
        <v>6319.7781381102068</v>
      </c>
      <c r="O191" s="124">
        <v>6.2898048049054092</v>
      </c>
      <c r="P191" s="123">
        <f t="shared" si="14"/>
        <v>-1312.2149653597771</v>
      </c>
      <c r="Q191" s="123">
        <f t="shared" si="15"/>
        <v>-1.7379295846020648</v>
      </c>
      <c r="R191" s="123">
        <f t="shared" si="12"/>
        <v>86029.941233316466</v>
      </c>
      <c r="S191" s="123">
        <f t="shared" si="13"/>
        <v>119476.31795999798</v>
      </c>
      <c r="T191" s="123">
        <f t="shared" si="16"/>
        <v>0</v>
      </c>
      <c r="U191" s="123">
        <f t="shared" si="17"/>
        <v>1</v>
      </c>
      <c r="V191" s="1"/>
      <c r="W191" s="25"/>
      <c r="X191" s="1"/>
      <c r="Y191" s="1"/>
      <c r="Z191" s="9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</row>
    <row r="192" spans="2:61" x14ac:dyDescent="0.25">
      <c r="B192" s="2"/>
      <c r="C192" s="2"/>
      <c r="D192" s="2"/>
      <c r="E192" s="2"/>
      <c r="F192" s="2"/>
      <c r="G192" s="2"/>
      <c r="H192" s="2"/>
      <c r="I192" s="2"/>
      <c r="J192" s="2"/>
      <c r="K192" s="123" t="s">
        <v>301</v>
      </c>
      <c r="L192" s="124">
        <v>8445.8551801987414</v>
      </c>
      <c r="M192" s="124">
        <v>8.3141288586443913</v>
      </c>
      <c r="N192" s="124">
        <v>5087.072983183295</v>
      </c>
      <c r="O192" s="124">
        <v>5.473969174335001</v>
      </c>
      <c r="P192" s="123">
        <f t="shared" si="14"/>
        <v>3358.7821970154464</v>
      </c>
      <c r="Q192" s="123">
        <f t="shared" si="15"/>
        <v>2.8401596843093904</v>
      </c>
      <c r="R192" s="123">
        <f t="shared" si="12"/>
        <v>157836.7219926891</v>
      </c>
      <c r="S192" s="123">
        <f t="shared" si="13"/>
        <v>104392.31050351672</v>
      </c>
      <c r="T192" s="123">
        <f t="shared" si="16"/>
        <v>1</v>
      </c>
      <c r="U192" s="123">
        <f t="shared" si="17"/>
        <v>0</v>
      </c>
      <c r="V192" s="1"/>
      <c r="W192" s="25"/>
      <c r="X192" s="1"/>
      <c r="Y192" s="1"/>
      <c r="Z192" s="9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</row>
    <row r="193" spans="2:61" x14ac:dyDescent="0.25">
      <c r="B193" s="2"/>
      <c r="C193" s="2"/>
      <c r="D193" s="2"/>
      <c r="E193" s="2"/>
      <c r="F193" s="2"/>
      <c r="G193" s="2"/>
      <c r="H193" s="2"/>
      <c r="I193" s="2"/>
      <c r="J193" s="2"/>
      <c r="K193" s="123" t="s">
        <v>302</v>
      </c>
      <c r="L193" s="124">
        <v>5930.7425285705021</v>
      </c>
      <c r="M193" s="124">
        <v>5.351360963142576</v>
      </c>
      <c r="N193" s="124">
        <v>7878.2952207187936</v>
      </c>
      <c r="O193" s="124">
        <v>7.5526279127427562</v>
      </c>
      <c r="P193" s="123">
        <f t="shared" si="14"/>
        <v>-1947.5526921482915</v>
      </c>
      <c r="Q193" s="123">
        <f t="shared" si="15"/>
        <v>-2.2012669496001802</v>
      </c>
      <c r="R193" s="123">
        <f t="shared" si="12"/>
        <v>101096.47673428102</v>
      </c>
      <c r="S193" s="123">
        <f t="shared" si="13"/>
        <v>143174.26303413633</v>
      </c>
      <c r="T193" s="123">
        <f t="shared" si="16"/>
        <v>0</v>
      </c>
      <c r="U193" s="123">
        <f t="shared" si="17"/>
        <v>1</v>
      </c>
      <c r="V193" s="1"/>
      <c r="W193" s="25"/>
      <c r="X193" s="1"/>
      <c r="Y193" s="1"/>
      <c r="Z193" s="9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</row>
    <row r="194" spans="2:61" x14ac:dyDescent="0.25">
      <c r="B194" s="2"/>
      <c r="C194" s="2"/>
      <c r="D194" s="2"/>
      <c r="E194" s="2"/>
      <c r="F194" s="2"/>
      <c r="G194" s="2"/>
      <c r="H194" s="2"/>
      <c r="I194" s="2"/>
      <c r="J194" s="2"/>
      <c r="K194" s="123" t="s">
        <v>303</v>
      </c>
      <c r="L194" s="124">
        <v>6968.1748646851102</v>
      </c>
      <c r="M194" s="124">
        <v>6.3341085635390959</v>
      </c>
      <c r="N194" s="124">
        <v>7850.9026521073029</v>
      </c>
      <c r="O194" s="124">
        <v>7.7892304258555916</v>
      </c>
      <c r="P194" s="123">
        <f t="shared" si="14"/>
        <v>-882.7277874221927</v>
      </c>
      <c r="Q194" s="123">
        <f t="shared" si="15"/>
        <v>-1.4551218623164957</v>
      </c>
      <c r="R194" s="123">
        <f t="shared" si="12"/>
        <v>119713.99640609682</v>
      </c>
      <c r="S194" s="123">
        <f t="shared" si="13"/>
        <v>147933.70586500454</v>
      </c>
      <c r="T194" s="123">
        <f t="shared" si="16"/>
        <v>0</v>
      </c>
      <c r="U194" s="123">
        <f t="shared" si="17"/>
        <v>1</v>
      </c>
      <c r="V194" s="1"/>
      <c r="W194" s="25"/>
      <c r="X194" s="1"/>
      <c r="Y194" s="1"/>
      <c r="Z194" s="9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</row>
    <row r="195" spans="2:61" x14ac:dyDescent="0.25">
      <c r="B195" s="2"/>
      <c r="C195" s="2"/>
      <c r="D195" s="2"/>
      <c r="E195" s="2"/>
      <c r="F195" s="2"/>
      <c r="G195" s="2"/>
      <c r="H195" s="2"/>
      <c r="I195" s="2"/>
      <c r="J195" s="2"/>
      <c r="K195" s="123" t="s">
        <v>304</v>
      </c>
      <c r="L195" s="124">
        <v>9495.5637529045835</v>
      </c>
      <c r="M195" s="124">
        <v>8.339110115520711</v>
      </c>
      <c r="N195" s="124">
        <v>6909.0822836614479</v>
      </c>
      <c r="O195" s="124">
        <v>6.6220973949268842</v>
      </c>
      <c r="P195" s="123">
        <f t="shared" si="14"/>
        <v>2586.4814692431355</v>
      </c>
      <c r="Q195" s="123">
        <f t="shared" si="15"/>
        <v>1.7170127205938268</v>
      </c>
      <c r="R195" s="123">
        <f t="shared" si="12"/>
        <v>157286.63855750964</v>
      </c>
      <c r="S195" s="123">
        <f t="shared" si="13"/>
        <v>125532.86561487622</v>
      </c>
      <c r="T195" s="123">
        <f t="shared" si="16"/>
        <v>1</v>
      </c>
      <c r="U195" s="123">
        <f t="shared" si="17"/>
        <v>0</v>
      </c>
      <c r="V195" s="1"/>
      <c r="W195" s="25"/>
      <c r="X195" s="1"/>
      <c r="Y195" s="1"/>
      <c r="Z195" s="9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</row>
    <row r="196" spans="2:61" x14ac:dyDescent="0.25">
      <c r="B196" s="2"/>
      <c r="C196" s="2"/>
      <c r="D196" s="2"/>
      <c r="E196" s="2"/>
      <c r="F196" s="2"/>
      <c r="G196" s="2"/>
      <c r="H196" s="2"/>
      <c r="I196" s="2"/>
      <c r="J196" s="2"/>
      <c r="K196" s="123" t="s">
        <v>305</v>
      </c>
      <c r="L196" s="124">
        <v>8002.7691379070911</v>
      </c>
      <c r="M196" s="124">
        <v>6.5922924700581511</v>
      </c>
      <c r="N196" s="124">
        <v>7388.4726366015429</v>
      </c>
      <c r="O196" s="124">
        <v>6.6288161457805881</v>
      </c>
      <c r="P196" s="123">
        <f t="shared" si="14"/>
        <v>614.29650130554819</v>
      </c>
      <c r="Q196" s="123">
        <f t="shared" si="15"/>
        <v>-3.6523675722436977E-2</v>
      </c>
      <c r="R196" s="123">
        <f t="shared" si="12"/>
        <v>123843.08026325594</v>
      </c>
      <c r="S196" s="123">
        <f t="shared" si="13"/>
        <v>125187.85027901022</v>
      </c>
      <c r="T196" s="123">
        <f t="shared" si="16"/>
        <v>0</v>
      </c>
      <c r="U196" s="123">
        <f t="shared" si="17"/>
        <v>1</v>
      </c>
      <c r="V196" s="1"/>
      <c r="W196" s="25"/>
      <c r="X196" s="1"/>
      <c r="Y196" s="1"/>
      <c r="Z196" s="9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</row>
    <row r="197" spans="2:61" x14ac:dyDescent="0.25">
      <c r="B197" s="2"/>
      <c r="C197" s="2"/>
      <c r="D197" s="2"/>
      <c r="E197" s="2"/>
      <c r="F197" s="2"/>
      <c r="G197" s="2"/>
      <c r="H197" s="2"/>
      <c r="I197" s="2"/>
      <c r="J197" s="2"/>
      <c r="K197" s="123" t="s">
        <v>306</v>
      </c>
      <c r="L197" s="124">
        <v>12755.567578378628</v>
      </c>
      <c r="M197" s="124">
        <v>12.328843912306287</v>
      </c>
      <c r="N197" s="124">
        <v>4439.7192794511247</v>
      </c>
      <c r="O197" s="124">
        <v>4.7656910650088848</v>
      </c>
      <c r="P197" s="123">
        <f t="shared" si="14"/>
        <v>8315.8482989275035</v>
      </c>
      <c r="Q197" s="123">
        <f t="shared" si="15"/>
        <v>7.5631528472974017</v>
      </c>
      <c r="R197" s="123">
        <f t="shared" si="12"/>
        <v>233821.31066774711</v>
      </c>
      <c r="S197" s="123">
        <f t="shared" si="13"/>
        <v>90874.102020726583</v>
      </c>
      <c r="T197" s="123">
        <f t="shared" si="16"/>
        <v>1</v>
      </c>
      <c r="U197" s="123">
        <f t="shared" si="17"/>
        <v>0</v>
      </c>
      <c r="V197" s="1"/>
      <c r="W197" s="25"/>
      <c r="X197" s="1"/>
      <c r="Y197" s="1"/>
      <c r="Z197" s="9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</row>
    <row r="198" spans="2:61" x14ac:dyDescent="0.25">
      <c r="B198" s="2"/>
      <c r="C198" s="2"/>
      <c r="D198" s="2"/>
      <c r="E198" s="2"/>
      <c r="F198" s="2"/>
      <c r="G198" s="2"/>
      <c r="H198" s="2"/>
      <c r="I198" s="2"/>
      <c r="J198" s="2"/>
      <c r="K198" s="123" t="s">
        <v>307</v>
      </c>
      <c r="L198" s="124">
        <v>9562.6538914258181</v>
      </c>
      <c r="M198" s="124">
        <v>8.8431401054415772</v>
      </c>
      <c r="N198" s="124">
        <v>7281.42847909392</v>
      </c>
      <c r="O198" s="124">
        <v>6.7895146540946278</v>
      </c>
      <c r="P198" s="123">
        <f t="shared" si="14"/>
        <v>2281.225412331898</v>
      </c>
      <c r="Q198" s="123">
        <f t="shared" si="15"/>
        <v>2.0536254513469494</v>
      </c>
      <c r="R198" s="123">
        <f t="shared" si="12"/>
        <v>167300.14821740575</v>
      </c>
      <c r="S198" s="123">
        <f t="shared" si="13"/>
        <v>128508.86460279865</v>
      </c>
      <c r="T198" s="123">
        <f t="shared" si="16"/>
        <v>1</v>
      </c>
      <c r="U198" s="123">
        <f t="shared" si="17"/>
        <v>0</v>
      </c>
      <c r="V198" s="1"/>
      <c r="W198" s="25"/>
      <c r="X198" s="1"/>
      <c r="Y198" s="1"/>
      <c r="Z198" s="9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</row>
    <row r="199" spans="2:61" x14ac:dyDescent="0.25">
      <c r="B199" s="2"/>
      <c r="C199" s="2"/>
      <c r="D199" s="2"/>
      <c r="E199" s="2"/>
      <c r="F199" s="2"/>
      <c r="G199" s="2"/>
      <c r="H199" s="2"/>
      <c r="I199" s="2"/>
      <c r="J199" s="2"/>
      <c r="K199" s="123" t="s">
        <v>308</v>
      </c>
      <c r="L199" s="124">
        <v>10430.203377305961</v>
      </c>
      <c r="M199" s="124">
        <v>9.3333318748290477</v>
      </c>
      <c r="N199" s="124">
        <v>7722.3124964568306</v>
      </c>
      <c r="O199" s="124">
        <v>7.5999348462896164</v>
      </c>
      <c r="P199" s="123">
        <f t="shared" si="14"/>
        <v>2707.8908808491306</v>
      </c>
      <c r="Q199" s="123">
        <f t="shared" si="15"/>
        <v>1.7333970285394313</v>
      </c>
      <c r="R199" s="123">
        <f t="shared" si="12"/>
        <v>176236.43411927499</v>
      </c>
      <c r="S199" s="123">
        <f t="shared" si="13"/>
        <v>144276.38442933548</v>
      </c>
      <c r="T199" s="123">
        <f t="shared" si="16"/>
        <v>1</v>
      </c>
      <c r="U199" s="123">
        <f t="shared" si="17"/>
        <v>0</v>
      </c>
      <c r="V199" s="1"/>
      <c r="W199" s="25"/>
      <c r="X199" s="1"/>
      <c r="Y199" s="1"/>
      <c r="Z199" s="9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</row>
    <row r="200" spans="2:61" x14ac:dyDescent="0.25">
      <c r="B200" s="2"/>
      <c r="C200" s="2"/>
      <c r="D200" s="2"/>
      <c r="E200" s="2"/>
      <c r="F200" s="2"/>
      <c r="G200" s="2"/>
      <c r="H200" s="2"/>
      <c r="I200" s="2"/>
      <c r="J200" s="2"/>
      <c r="K200" s="123" t="s">
        <v>309</v>
      </c>
      <c r="L200" s="124">
        <v>8211.2224425867244</v>
      </c>
      <c r="M200" s="124">
        <v>6.2175832226109247</v>
      </c>
      <c r="N200" s="124">
        <v>7128.2193846083683</v>
      </c>
      <c r="O200" s="124">
        <v>6.4153165621927633</v>
      </c>
      <c r="P200" s="123">
        <f t="shared" si="14"/>
        <v>1083.0030579783561</v>
      </c>
      <c r="Q200" s="123">
        <f t="shared" si="15"/>
        <v>-0.19773333958183859</v>
      </c>
      <c r="R200" s="123">
        <f t="shared" si="12"/>
        <v>116140.44200963178</v>
      </c>
      <c r="S200" s="123">
        <f t="shared" si="13"/>
        <v>121178.1118592469</v>
      </c>
      <c r="T200" s="123">
        <f t="shared" si="16"/>
        <v>0</v>
      </c>
      <c r="U200" s="123">
        <f t="shared" si="17"/>
        <v>1</v>
      </c>
      <c r="V200" s="1"/>
      <c r="W200" s="25"/>
      <c r="X200" s="1"/>
      <c r="Y200" s="1"/>
      <c r="Z200" s="9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</row>
    <row r="201" spans="2:61" x14ac:dyDescent="0.25">
      <c r="B201" s="2"/>
      <c r="C201" s="2"/>
      <c r="D201" s="2"/>
      <c r="E201" s="2"/>
      <c r="F201" s="2"/>
      <c r="G201" s="2"/>
      <c r="H201" s="2"/>
      <c r="I201" s="2"/>
      <c r="J201" s="2"/>
      <c r="K201" s="123" t="s">
        <v>310</v>
      </c>
      <c r="L201" s="124">
        <v>6406.3529503778318</v>
      </c>
      <c r="M201" s="124">
        <v>6.4303711761528177</v>
      </c>
      <c r="N201" s="124">
        <v>7662.0461521626521</v>
      </c>
      <c r="O201" s="124">
        <v>8.4119055503841889</v>
      </c>
      <c r="P201" s="123">
        <f t="shared" si="14"/>
        <v>-1255.6932017848203</v>
      </c>
      <c r="Q201" s="123">
        <f t="shared" si="15"/>
        <v>-1.9815343742313711</v>
      </c>
      <c r="R201" s="123">
        <f t="shared" si="12"/>
        <v>122201.07057267852</v>
      </c>
      <c r="S201" s="123">
        <f t="shared" si="13"/>
        <v>160576.06485552111</v>
      </c>
      <c r="T201" s="123">
        <f t="shared" si="16"/>
        <v>0</v>
      </c>
      <c r="U201" s="123">
        <f t="shared" si="17"/>
        <v>1</v>
      </c>
      <c r="V201" s="1"/>
      <c r="W201" s="25"/>
      <c r="X201" s="1"/>
      <c r="Y201" s="1"/>
      <c r="Z201" s="9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</row>
    <row r="202" spans="2:61" x14ac:dyDescent="0.25">
      <c r="B202" s="2"/>
      <c r="C202" s="2"/>
      <c r="D202" s="2"/>
      <c r="E202" s="2"/>
      <c r="F202" s="2"/>
      <c r="G202" s="2"/>
      <c r="H202" s="2"/>
      <c r="I202" s="2"/>
      <c r="J202" s="2"/>
      <c r="K202" s="123" t="s">
        <v>311</v>
      </c>
      <c r="L202" s="124">
        <v>8941.1058783126537</v>
      </c>
      <c r="M202" s="124">
        <v>7.9207025028643594</v>
      </c>
      <c r="N202" s="124">
        <v>7548.1249195120236</v>
      </c>
      <c r="O202" s="124">
        <v>7.0511752457882535</v>
      </c>
      <c r="P202" s="123">
        <f t="shared" si="14"/>
        <v>1392.9809588006301</v>
      </c>
      <c r="Q202" s="123">
        <f t="shared" si="15"/>
        <v>0.8695272570761059</v>
      </c>
      <c r="R202" s="123">
        <f t="shared" si="12"/>
        <v>149472.94417897452</v>
      </c>
      <c r="S202" s="123">
        <f t="shared" si="13"/>
        <v>133475.37999625306</v>
      </c>
      <c r="T202" s="123">
        <f t="shared" si="16"/>
        <v>1</v>
      </c>
      <c r="U202" s="123">
        <f t="shared" si="17"/>
        <v>0</v>
      </c>
      <c r="V202" s="1"/>
      <c r="W202" s="25"/>
      <c r="X202" s="1"/>
      <c r="Y202" s="1"/>
      <c r="Z202" s="9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</row>
    <row r="203" spans="2:61" x14ac:dyDescent="0.25">
      <c r="B203" s="2"/>
      <c r="C203" s="2"/>
      <c r="D203" s="2"/>
      <c r="E203" s="2"/>
      <c r="F203" s="2"/>
      <c r="G203" s="2"/>
      <c r="H203" s="2"/>
      <c r="I203" s="2"/>
      <c r="J203" s="2"/>
      <c r="K203" s="123" t="s">
        <v>312</v>
      </c>
      <c r="L203" s="124">
        <v>8871.093236642886</v>
      </c>
      <c r="M203" s="124">
        <v>7.4609279809281173</v>
      </c>
      <c r="N203" s="124">
        <v>6548.9153015615411</v>
      </c>
      <c r="O203" s="124">
        <v>6.4428093809468869</v>
      </c>
      <c r="P203" s="123">
        <f t="shared" si="14"/>
        <v>2322.1779350813449</v>
      </c>
      <c r="Q203" s="123">
        <f t="shared" si="15"/>
        <v>1.0181185999812303</v>
      </c>
      <c r="R203" s="123">
        <f t="shared" si="12"/>
        <v>140347.46638191945</v>
      </c>
      <c r="S203" s="123">
        <f t="shared" si="13"/>
        <v>122307.27231737619</v>
      </c>
      <c r="T203" s="123">
        <f t="shared" si="16"/>
        <v>1</v>
      </c>
      <c r="U203" s="123">
        <f t="shared" si="17"/>
        <v>0</v>
      </c>
      <c r="V203" s="1"/>
      <c r="W203" s="25"/>
      <c r="X203" s="1"/>
      <c r="Y203" s="1"/>
      <c r="Z203" s="9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</row>
    <row r="204" spans="2:61" x14ac:dyDescent="0.25">
      <c r="B204" s="2"/>
      <c r="C204" s="2"/>
      <c r="D204" s="2"/>
      <c r="E204" s="2"/>
      <c r="F204" s="2"/>
      <c r="G204" s="2"/>
      <c r="H204" s="2"/>
      <c r="I204" s="2"/>
      <c r="J204" s="2"/>
      <c r="K204" s="123" t="s">
        <v>313</v>
      </c>
      <c r="L204" s="124">
        <v>7028.4930740797408</v>
      </c>
      <c r="M204" s="124">
        <v>6.0665734078267803</v>
      </c>
      <c r="N204" s="124">
        <v>6624.3711168856762</v>
      </c>
      <c r="O204" s="124">
        <v>6.4800844516726048</v>
      </c>
      <c r="P204" s="123">
        <f t="shared" si="14"/>
        <v>404.12195719406463</v>
      </c>
      <c r="Q204" s="123">
        <f t="shared" si="15"/>
        <v>-0.41351104384582449</v>
      </c>
      <c r="R204" s="123">
        <f t="shared" si="12"/>
        <v>114302.97508245586</v>
      </c>
      <c r="S204" s="123">
        <f t="shared" si="13"/>
        <v>122977.31791656642</v>
      </c>
      <c r="T204" s="123">
        <f t="shared" si="16"/>
        <v>0</v>
      </c>
      <c r="U204" s="123">
        <f t="shared" si="17"/>
        <v>1</v>
      </c>
      <c r="V204" s="1"/>
      <c r="W204" s="25"/>
      <c r="X204" s="1"/>
      <c r="Y204" s="1"/>
      <c r="Z204" s="9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</row>
    <row r="205" spans="2:61" x14ac:dyDescent="0.25">
      <c r="K205" s="123" t="s">
        <v>314</v>
      </c>
      <c r="L205" s="126">
        <v>8881.0510061328714</v>
      </c>
      <c r="M205" s="126">
        <v>7.9601869576435202</v>
      </c>
      <c r="N205" s="126">
        <v>5179.187135838607</v>
      </c>
      <c r="O205" s="126">
        <v>5.1899949828877929</v>
      </c>
      <c r="P205" s="123">
        <f t="shared" si="14"/>
        <v>3701.8638702942644</v>
      </c>
      <c r="Q205" s="123">
        <f t="shared" si="15"/>
        <v>2.7701919747557273</v>
      </c>
      <c r="R205" s="123">
        <f t="shared" si="12"/>
        <v>150322.68814673752</v>
      </c>
      <c r="S205" s="123">
        <f t="shared" si="13"/>
        <v>98620.712521917245</v>
      </c>
      <c r="T205" s="123">
        <f t="shared" si="16"/>
        <v>1</v>
      </c>
      <c r="U205" s="123">
        <f t="shared" si="17"/>
        <v>0</v>
      </c>
      <c r="V205" s="1"/>
      <c r="W205" s="25"/>
      <c r="X205" s="1"/>
      <c r="Y205" s="1"/>
      <c r="Z205" s="9"/>
    </row>
    <row r="206" spans="2:61" x14ac:dyDescent="0.25">
      <c r="K206" s="123" t="s">
        <v>315</v>
      </c>
      <c r="L206" s="126">
        <v>8715.0178086778742</v>
      </c>
      <c r="M206" s="126">
        <v>9.3473643104451085</v>
      </c>
      <c r="N206" s="126">
        <v>7815.7038068464253</v>
      </c>
      <c r="O206" s="126">
        <v>9.2366226908406741</v>
      </c>
      <c r="P206" s="123">
        <f t="shared" si="14"/>
        <v>899.31400183144888</v>
      </c>
      <c r="Q206" s="123">
        <f t="shared" si="15"/>
        <v>0.1107416196044344</v>
      </c>
      <c r="R206" s="123">
        <f t="shared" si="12"/>
        <v>178232.2684002243</v>
      </c>
      <c r="S206" s="123">
        <f t="shared" si="13"/>
        <v>176916.75000996704</v>
      </c>
      <c r="T206" s="123">
        <f t="shared" si="16"/>
        <v>1</v>
      </c>
      <c r="U206" s="123">
        <f t="shared" si="17"/>
        <v>0</v>
      </c>
      <c r="V206" s="1"/>
      <c r="W206" s="25"/>
      <c r="X206" s="1"/>
      <c r="Y206" s="1"/>
      <c r="Z206" s="9"/>
    </row>
    <row r="207" spans="2:61" x14ac:dyDescent="0.25">
      <c r="K207" s="123" t="s">
        <v>316</v>
      </c>
      <c r="L207" s="126">
        <v>8103.3162806923974</v>
      </c>
      <c r="M207" s="126">
        <v>6.7143675669860485</v>
      </c>
      <c r="N207" s="126">
        <v>6941.6760559035592</v>
      </c>
      <c r="O207" s="126">
        <v>5.8850613447049973</v>
      </c>
      <c r="P207" s="123">
        <f t="shared" si="14"/>
        <v>1161.6402247888382</v>
      </c>
      <c r="Q207" s="123">
        <f t="shared" si="15"/>
        <v>0.82930622228105122</v>
      </c>
      <c r="R207" s="123">
        <f t="shared" si="12"/>
        <v>126184.03505902858</v>
      </c>
      <c r="S207" s="123">
        <f t="shared" si="13"/>
        <v>110759.55083819639</v>
      </c>
      <c r="T207" s="123">
        <f t="shared" si="16"/>
        <v>1</v>
      </c>
      <c r="U207" s="123">
        <f t="shared" si="17"/>
        <v>0</v>
      </c>
      <c r="V207" s="1"/>
      <c r="W207" s="25"/>
      <c r="X207" s="1"/>
      <c r="Y207" s="1"/>
      <c r="Z207" s="9"/>
    </row>
    <row r="208" spans="2:61" x14ac:dyDescent="0.25">
      <c r="K208" s="123" t="s">
        <v>317</v>
      </c>
      <c r="L208" s="126">
        <v>7988.3093762346689</v>
      </c>
      <c r="M208" s="126">
        <v>7.6514456053901201</v>
      </c>
      <c r="N208" s="126">
        <v>6618.0179962925467</v>
      </c>
      <c r="O208" s="126">
        <v>6.9326700895040467</v>
      </c>
      <c r="P208" s="123">
        <f t="shared" si="14"/>
        <v>1370.2913799421221</v>
      </c>
      <c r="Q208" s="123">
        <f t="shared" si="15"/>
        <v>0.71877551588607336</v>
      </c>
      <c r="R208" s="123">
        <f t="shared" si="12"/>
        <v>145040.60273156775</v>
      </c>
      <c r="S208" s="123">
        <f t="shared" si="13"/>
        <v>132035.38379378838</v>
      </c>
      <c r="T208" s="123">
        <f t="shared" si="16"/>
        <v>1</v>
      </c>
      <c r="U208" s="123">
        <f t="shared" si="17"/>
        <v>0</v>
      </c>
      <c r="V208" s="1"/>
      <c r="W208" s="25"/>
      <c r="X208" s="1"/>
      <c r="Y208" s="1"/>
      <c r="Z208" s="9"/>
    </row>
    <row r="209" spans="11:26" x14ac:dyDescent="0.25">
      <c r="K209" s="123" t="s">
        <v>318</v>
      </c>
      <c r="L209" s="126">
        <v>9355.6735913799766</v>
      </c>
      <c r="M209" s="126">
        <v>8.4324854443442927</v>
      </c>
      <c r="N209" s="126">
        <v>7809.3043577519984</v>
      </c>
      <c r="O209" s="126">
        <v>7.5369600193976218</v>
      </c>
      <c r="P209" s="123">
        <f t="shared" si="14"/>
        <v>1546.3692336279782</v>
      </c>
      <c r="Q209" s="123">
        <f t="shared" si="15"/>
        <v>0.89552542494667087</v>
      </c>
      <c r="R209" s="123">
        <f t="shared" ref="R209:R272" si="18">M209*willingness_to_pay-L209</f>
        <v>159294.03529550586</v>
      </c>
      <c r="S209" s="123">
        <f t="shared" ref="S209:S272" si="19">O209*willingness_to_pay-N209</f>
        <v>142929.89603020044</v>
      </c>
      <c r="T209" s="123">
        <f t="shared" si="16"/>
        <v>1</v>
      </c>
      <c r="U209" s="123">
        <f t="shared" si="17"/>
        <v>0</v>
      </c>
      <c r="V209" s="1"/>
      <c r="W209" s="25"/>
      <c r="X209" s="1"/>
      <c r="Y209" s="1"/>
      <c r="Z209" s="9"/>
    </row>
    <row r="210" spans="11:26" x14ac:dyDescent="0.25">
      <c r="K210" s="123" t="s">
        <v>319</v>
      </c>
      <c r="L210" s="126">
        <v>8541.6238586183317</v>
      </c>
      <c r="M210" s="126">
        <v>7.6396593388517315</v>
      </c>
      <c r="N210" s="126">
        <v>8791.8101103503577</v>
      </c>
      <c r="O210" s="126">
        <v>8.4085168368089249</v>
      </c>
      <c r="P210" s="123">
        <f t="shared" ref="P210:P273" si="20">L210-N210</f>
        <v>-250.18625173202599</v>
      </c>
      <c r="Q210" s="123">
        <f t="shared" ref="Q210:Q273" si="21">M210-O210</f>
        <v>-0.76885749795719338</v>
      </c>
      <c r="R210" s="123">
        <f t="shared" si="18"/>
        <v>144251.56291841628</v>
      </c>
      <c r="S210" s="123">
        <f t="shared" si="19"/>
        <v>159378.52662582812</v>
      </c>
      <c r="T210" s="123">
        <f t="shared" ref="T210:T273" si="22">IF(L210="", "",IF(R210=MAX(R210:S210),1,0))</f>
        <v>0</v>
      </c>
      <c r="U210" s="123">
        <f t="shared" ref="U210:U273" si="23">IF(N210="", "", IF(S210=MAX(R210:S210),1,0))</f>
        <v>1</v>
      </c>
      <c r="V210" s="1"/>
      <c r="W210" s="25"/>
      <c r="X210" s="1"/>
      <c r="Y210" s="1"/>
      <c r="Z210" s="9"/>
    </row>
    <row r="211" spans="11:26" x14ac:dyDescent="0.25">
      <c r="K211" s="123" t="s">
        <v>320</v>
      </c>
      <c r="L211" s="126">
        <v>12516.911133438149</v>
      </c>
      <c r="M211" s="126">
        <v>10.3867205805892</v>
      </c>
      <c r="N211" s="126">
        <v>6908.4407822318435</v>
      </c>
      <c r="O211" s="126">
        <v>5.8197909400915888</v>
      </c>
      <c r="P211" s="123">
        <f t="shared" si="20"/>
        <v>5608.4703512063052</v>
      </c>
      <c r="Q211" s="123">
        <f t="shared" si="21"/>
        <v>4.5669296404976114</v>
      </c>
      <c r="R211" s="123">
        <f t="shared" si="18"/>
        <v>195217.50047834587</v>
      </c>
      <c r="S211" s="123">
        <f t="shared" si="19"/>
        <v>109487.37801959993</v>
      </c>
      <c r="T211" s="123">
        <f t="shared" si="22"/>
        <v>1</v>
      </c>
      <c r="U211" s="123">
        <f t="shared" si="23"/>
        <v>0</v>
      </c>
      <c r="V211" s="1"/>
      <c r="W211" s="25"/>
      <c r="X211" s="1"/>
      <c r="Y211" s="1"/>
      <c r="Z211" s="9"/>
    </row>
    <row r="212" spans="11:26" x14ac:dyDescent="0.25">
      <c r="K212" s="123" t="s">
        <v>321</v>
      </c>
      <c r="L212" s="126">
        <v>11734.078240514558</v>
      </c>
      <c r="M212" s="126">
        <v>11.977499653592606</v>
      </c>
      <c r="N212" s="126">
        <v>5864.8511365979066</v>
      </c>
      <c r="O212" s="126">
        <v>6.4686046325854702</v>
      </c>
      <c r="P212" s="123">
        <f t="shared" si="20"/>
        <v>5869.2271039166517</v>
      </c>
      <c r="Q212" s="123">
        <f t="shared" si="21"/>
        <v>5.5088950210071355</v>
      </c>
      <c r="R212" s="123">
        <f t="shared" si="18"/>
        <v>227815.91483133755</v>
      </c>
      <c r="S212" s="123">
        <f t="shared" si="19"/>
        <v>123507.2415151115</v>
      </c>
      <c r="T212" s="123">
        <f t="shared" si="22"/>
        <v>1</v>
      </c>
      <c r="U212" s="123">
        <f t="shared" si="23"/>
        <v>0</v>
      </c>
      <c r="V212" s="1"/>
      <c r="W212" s="25"/>
      <c r="X212" s="1"/>
      <c r="Y212" s="1"/>
      <c r="Z212" s="9"/>
    </row>
    <row r="213" spans="11:26" x14ac:dyDescent="0.25">
      <c r="K213" s="123" t="s">
        <v>322</v>
      </c>
      <c r="L213" s="126">
        <v>6803.5977368412678</v>
      </c>
      <c r="M213" s="126">
        <v>6.1517452856356938</v>
      </c>
      <c r="N213" s="126">
        <v>5819.3342583699923</v>
      </c>
      <c r="O213" s="126">
        <v>5.6987760210431757</v>
      </c>
      <c r="P213" s="123">
        <f t="shared" si="20"/>
        <v>984.26347847127545</v>
      </c>
      <c r="Q213" s="123">
        <f t="shared" si="21"/>
        <v>0.45296926459251807</v>
      </c>
      <c r="R213" s="123">
        <f t="shared" si="18"/>
        <v>116231.30797587261</v>
      </c>
      <c r="S213" s="123">
        <f t="shared" si="19"/>
        <v>108156.18616249351</v>
      </c>
      <c r="T213" s="123">
        <f t="shared" si="22"/>
        <v>1</v>
      </c>
      <c r="U213" s="123">
        <f t="shared" si="23"/>
        <v>0</v>
      </c>
      <c r="V213" s="1"/>
      <c r="W213" s="25"/>
      <c r="X213" s="1"/>
      <c r="Y213" s="1"/>
      <c r="Z213" s="9"/>
    </row>
    <row r="214" spans="11:26" x14ac:dyDescent="0.25">
      <c r="K214" s="123" t="s">
        <v>323</v>
      </c>
      <c r="L214" s="126">
        <v>10951.536765737712</v>
      </c>
      <c r="M214" s="126">
        <v>9.2854026183879093</v>
      </c>
      <c r="N214" s="126">
        <v>9073.4396122669823</v>
      </c>
      <c r="O214" s="126">
        <v>8.4105958132947762</v>
      </c>
      <c r="P214" s="123">
        <f t="shared" si="20"/>
        <v>1878.0971534707296</v>
      </c>
      <c r="Q214" s="123">
        <f t="shared" si="21"/>
        <v>0.87480680509313302</v>
      </c>
      <c r="R214" s="123">
        <f t="shared" si="18"/>
        <v>174756.51560202046</v>
      </c>
      <c r="S214" s="123">
        <f t="shared" si="19"/>
        <v>159138.47665362855</v>
      </c>
      <c r="T214" s="123">
        <f t="shared" si="22"/>
        <v>1</v>
      </c>
      <c r="U214" s="123">
        <f t="shared" si="23"/>
        <v>0</v>
      </c>
      <c r="V214" s="1"/>
      <c r="W214" s="25"/>
      <c r="X214" s="1"/>
      <c r="Y214" s="1"/>
      <c r="Z214" s="9"/>
    </row>
    <row r="215" spans="11:26" x14ac:dyDescent="0.25">
      <c r="K215" s="123" t="s">
        <v>324</v>
      </c>
      <c r="L215" s="126">
        <v>9073.1788677512886</v>
      </c>
      <c r="M215" s="126">
        <v>7.9627563517358038</v>
      </c>
      <c r="N215" s="126">
        <v>5789.3615543268161</v>
      </c>
      <c r="O215" s="126">
        <v>5.3680930106242384</v>
      </c>
      <c r="P215" s="123">
        <f t="shared" si="20"/>
        <v>3283.8173134244726</v>
      </c>
      <c r="Q215" s="123">
        <f t="shared" si="21"/>
        <v>2.5946633411115654</v>
      </c>
      <c r="R215" s="123">
        <f t="shared" si="18"/>
        <v>150181.94816696478</v>
      </c>
      <c r="S215" s="123">
        <f t="shared" si="19"/>
        <v>101572.49865815796</v>
      </c>
      <c r="T215" s="123">
        <f t="shared" si="22"/>
        <v>1</v>
      </c>
      <c r="U215" s="123">
        <f t="shared" si="23"/>
        <v>0</v>
      </c>
      <c r="V215" s="1"/>
      <c r="W215" s="25"/>
      <c r="X215" s="1"/>
      <c r="Y215" s="1"/>
      <c r="Z215" s="9"/>
    </row>
    <row r="216" spans="11:26" x14ac:dyDescent="0.25">
      <c r="K216" s="123" t="s">
        <v>325</v>
      </c>
      <c r="L216" s="126">
        <v>12600.632903536291</v>
      </c>
      <c r="M216" s="126">
        <v>11.584307789346509</v>
      </c>
      <c r="N216" s="126">
        <v>7353.4112765193322</v>
      </c>
      <c r="O216" s="126">
        <v>7.2848705926131156</v>
      </c>
      <c r="P216" s="123">
        <f t="shared" si="20"/>
        <v>5247.2216270169583</v>
      </c>
      <c r="Q216" s="123">
        <f t="shared" si="21"/>
        <v>4.2994371967333933</v>
      </c>
      <c r="R216" s="123">
        <f t="shared" si="18"/>
        <v>219085.52288339389</v>
      </c>
      <c r="S216" s="123">
        <f t="shared" si="19"/>
        <v>138344.00057574298</v>
      </c>
      <c r="T216" s="123">
        <f t="shared" si="22"/>
        <v>1</v>
      </c>
      <c r="U216" s="123">
        <f t="shared" si="23"/>
        <v>0</v>
      </c>
      <c r="V216" s="1"/>
      <c r="W216" s="25"/>
      <c r="X216" s="1"/>
      <c r="Y216" s="1"/>
      <c r="Z216" s="9"/>
    </row>
    <row r="217" spans="11:26" x14ac:dyDescent="0.25">
      <c r="K217" s="123" t="s">
        <v>326</v>
      </c>
      <c r="L217" s="126">
        <v>6834.9874846781568</v>
      </c>
      <c r="M217" s="126">
        <v>6.2356054496083946</v>
      </c>
      <c r="N217" s="126">
        <v>7471.4848893455637</v>
      </c>
      <c r="O217" s="126">
        <v>7.1051917963055145</v>
      </c>
      <c r="P217" s="123">
        <f t="shared" si="20"/>
        <v>-636.49740466740695</v>
      </c>
      <c r="Q217" s="123">
        <f t="shared" si="21"/>
        <v>-0.86958634669711987</v>
      </c>
      <c r="R217" s="123">
        <f t="shared" si="18"/>
        <v>117877.12150748973</v>
      </c>
      <c r="S217" s="123">
        <f t="shared" si="19"/>
        <v>134632.35103676474</v>
      </c>
      <c r="T217" s="123">
        <f t="shared" si="22"/>
        <v>0</v>
      </c>
      <c r="U217" s="123">
        <f t="shared" si="23"/>
        <v>1</v>
      </c>
      <c r="V217" s="1"/>
      <c r="W217" s="25"/>
      <c r="X217" s="1"/>
      <c r="Y217" s="1"/>
      <c r="Z217" s="9"/>
    </row>
    <row r="218" spans="11:26" x14ac:dyDescent="0.25">
      <c r="K218" s="123" t="s">
        <v>327</v>
      </c>
      <c r="L218" s="126">
        <v>7053.1108250635116</v>
      </c>
      <c r="M218" s="126">
        <v>6.3275997396077539</v>
      </c>
      <c r="N218" s="126">
        <v>6555.2163350001265</v>
      </c>
      <c r="O218" s="126">
        <v>6.3893079149963272</v>
      </c>
      <c r="P218" s="123">
        <f t="shared" si="20"/>
        <v>497.89449006338509</v>
      </c>
      <c r="Q218" s="123">
        <f t="shared" si="21"/>
        <v>-6.1708175388573316E-2</v>
      </c>
      <c r="R218" s="123">
        <f t="shared" si="18"/>
        <v>119498.88396709156</v>
      </c>
      <c r="S218" s="123">
        <f t="shared" si="19"/>
        <v>121230.94196492642</v>
      </c>
      <c r="T218" s="123">
        <f t="shared" si="22"/>
        <v>0</v>
      </c>
      <c r="U218" s="123">
        <f t="shared" si="23"/>
        <v>1</v>
      </c>
      <c r="V218" s="1"/>
      <c r="W218" s="25"/>
      <c r="X218" s="1"/>
      <c r="Y218" s="1"/>
      <c r="Z218" s="9"/>
    </row>
    <row r="219" spans="11:26" x14ac:dyDescent="0.25">
      <c r="K219" s="123" t="s">
        <v>328</v>
      </c>
      <c r="L219" s="126">
        <v>9753.9396494497651</v>
      </c>
      <c r="M219" s="126">
        <v>9.2335272816338119</v>
      </c>
      <c r="N219" s="126">
        <v>7429.9363392535934</v>
      </c>
      <c r="O219" s="126">
        <v>7.6276397907254072</v>
      </c>
      <c r="P219" s="123">
        <f t="shared" si="20"/>
        <v>2324.0033101961717</v>
      </c>
      <c r="Q219" s="123">
        <f t="shared" si="21"/>
        <v>1.6058874909084047</v>
      </c>
      <c r="R219" s="123">
        <f t="shared" si="18"/>
        <v>174916.60598322647</v>
      </c>
      <c r="S219" s="123">
        <f t="shared" si="19"/>
        <v>145122.85947525455</v>
      </c>
      <c r="T219" s="123">
        <f t="shared" si="22"/>
        <v>1</v>
      </c>
      <c r="U219" s="123">
        <f t="shared" si="23"/>
        <v>0</v>
      </c>
      <c r="V219" s="1"/>
      <c r="W219" s="25"/>
      <c r="X219" s="1"/>
      <c r="Y219" s="1"/>
      <c r="Z219" s="9"/>
    </row>
    <row r="220" spans="11:26" x14ac:dyDescent="0.25">
      <c r="K220" s="123" t="s">
        <v>329</v>
      </c>
      <c r="L220" s="126">
        <v>7429.2849696322528</v>
      </c>
      <c r="M220" s="126">
        <v>6.9838418554979365</v>
      </c>
      <c r="N220" s="126">
        <v>8195.4744539556377</v>
      </c>
      <c r="O220" s="126">
        <v>8.3548480496818716</v>
      </c>
      <c r="P220" s="123">
        <f t="shared" si="20"/>
        <v>-766.18948432338493</v>
      </c>
      <c r="Q220" s="123">
        <f t="shared" si="21"/>
        <v>-1.3710061941839351</v>
      </c>
      <c r="R220" s="123">
        <f t="shared" si="18"/>
        <v>132247.55214032647</v>
      </c>
      <c r="S220" s="123">
        <f t="shared" si="19"/>
        <v>158901.48653968179</v>
      </c>
      <c r="T220" s="123">
        <f t="shared" si="22"/>
        <v>0</v>
      </c>
      <c r="U220" s="123">
        <f t="shared" si="23"/>
        <v>1</v>
      </c>
      <c r="V220" s="1"/>
      <c r="W220" s="25"/>
      <c r="X220" s="1"/>
      <c r="Y220" s="1"/>
      <c r="Z220" s="9"/>
    </row>
    <row r="221" spans="11:26" x14ac:dyDescent="0.25">
      <c r="K221" s="123" t="s">
        <v>330</v>
      </c>
      <c r="L221" s="126">
        <v>6693.5577866634703</v>
      </c>
      <c r="M221" s="126">
        <v>6.1154378007183858</v>
      </c>
      <c r="N221" s="126">
        <v>7369.6467266217496</v>
      </c>
      <c r="O221" s="126">
        <v>7.4034070084205119</v>
      </c>
      <c r="P221" s="123">
        <f t="shared" si="20"/>
        <v>-676.0889399582793</v>
      </c>
      <c r="Q221" s="123">
        <f t="shared" si="21"/>
        <v>-1.2879692077021261</v>
      </c>
      <c r="R221" s="123">
        <f t="shared" si="18"/>
        <v>115615.19822770424</v>
      </c>
      <c r="S221" s="123">
        <f t="shared" si="19"/>
        <v>140698.49344178848</v>
      </c>
      <c r="T221" s="123">
        <f t="shared" si="22"/>
        <v>0</v>
      </c>
      <c r="U221" s="123">
        <f t="shared" si="23"/>
        <v>1</v>
      </c>
      <c r="V221" s="1"/>
      <c r="W221" s="25"/>
      <c r="X221" s="1"/>
      <c r="Y221" s="1"/>
      <c r="Z221" s="9"/>
    </row>
    <row r="222" spans="11:26" x14ac:dyDescent="0.25">
      <c r="K222" s="123" t="s">
        <v>331</v>
      </c>
      <c r="L222" s="126">
        <v>6150.4635954519399</v>
      </c>
      <c r="M222" s="126">
        <v>6.2916126919548638</v>
      </c>
      <c r="N222" s="126">
        <v>6690.4203952570497</v>
      </c>
      <c r="O222" s="126">
        <v>7.6100890677584809</v>
      </c>
      <c r="P222" s="123">
        <f t="shared" si="20"/>
        <v>-539.95679980510977</v>
      </c>
      <c r="Q222" s="123">
        <f t="shared" si="21"/>
        <v>-1.3184763758036171</v>
      </c>
      <c r="R222" s="123">
        <f t="shared" si="18"/>
        <v>119681.79024364534</v>
      </c>
      <c r="S222" s="123">
        <f t="shared" si="19"/>
        <v>145511.36095991259</v>
      </c>
      <c r="T222" s="123">
        <f t="shared" si="22"/>
        <v>0</v>
      </c>
      <c r="U222" s="123">
        <f t="shared" si="23"/>
        <v>1</v>
      </c>
      <c r="V222" s="1"/>
      <c r="W222" s="25"/>
      <c r="X222" s="1"/>
      <c r="Y222" s="1"/>
      <c r="Z222" s="9"/>
    </row>
    <row r="223" spans="11:26" x14ac:dyDescent="0.25">
      <c r="K223" s="123" t="s">
        <v>332</v>
      </c>
      <c r="L223" s="126">
        <v>5667.32319576394</v>
      </c>
      <c r="M223" s="126">
        <v>5.3808329635296932</v>
      </c>
      <c r="N223" s="126">
        <v>6888.9903873200637</v>
      </c>
      <c r="O223" s="126">
        <v>7.1141400829198487</v>
      </c>
      <c r="P223" s="123">
        <f t="shared" si="20"/>
        <v>-1221.6671915561237</v>
      </c>
      <c r="Q223" s="123">
        <f t="shared" si="21"/>
        <v>-1.7333071193901555</v>
      </c>
      <c r="R223" s="123">
        <f t="shared" si="18"/>
        <v>101949.33607482993</v>
      </c>
      <c r="S223" s="123">
        <f t="shared" si="19"/>
        <v>135393.81127107693</v>
      </c>
      <c r="T223" s="123">
        <f t="shared" si="22"/>
        <v>0</v>
      </c>
      <c r="U223" s="123">
        <f t="shared" si="23"/>
        <v>1</v>
      </c>
      <c r="V223" s="1"/>
      <c r="W223" s="25"/>
      <c r="X223" s="1"/>
      <c r="Y223" s="1"/>
      <c r="Z223" s="9"/>
    </row>
    <row r="224" spans="11:26" x14ac:dyDescent="0.25">
      <c r="K224" s="123" t="s">
        <v>333</v>
      </c>
      <c r="L224" s="126">
        <v>8100.8264723931279</v>
      </c>
      <c r="M224" s="126">
        <v>7.1337593598729674</v>
      </c>
      <c r="N224" s="126">
        <v>10795.957941085999</v>
      </c>
      <c r="O224" s="126">
        <v>9.9367043915014772</v>
      </c>
      <c r="P224" s="123">
        <f t="shared" si="20"/>
        <v>-2695.1314686928708</v>
      </c>
      <c r="Q224" s="123">
        <f t="shared" si="21"/>
        <v>-2.8029450316285098</v>
      </c>
      <c r="R224" s="123">
        <f t="shared" si="18"/>
        <v>134574.36072506622</v>
      </c>
      <c r="S224" s="123">
        <f t="shared" si="19"/>
        <v>187938.12988894354</v>
      </c>
      <c r="T224" s="123">
        <f t="shared" si="22"/>
        <v>0</v>
      </c>
      <c r="U224" s="123">
        <f t="shared" si="23"/>
        <v>1</v>
      </c>
      <c r="V224" s="1"/>
      <c r="W224" s="25"/>
      <c r="X224" s="1"/>
      <c r="Y224" s="1"/>
      <c r="Z224" s="9"/>
    </row>
    <row r="225" spans="11:26" x14ac:dyDescent="0.25">
      <c r="K225" s="123" t="s">
        <v>334</v>
      </c>
      <c r="L225" s="126">
        <v>5298.3009126932247</v>
      </c>
      <c r="M225" s="126">
        <v>4.3714839030933907</v>
      </c>
      <c r="N225" s="126">
        <v>7895.5658895199385</v>
      </c>
      <c r="O225" s="126">
        <v>7.4195552965394613</v>
      </c>
      <c r="P225" s="123">
        <f t="shared" si="20"/>
        <v>-2597.2649768267138</v>
      </c>
      <c r="Q225" s="123">
        <f t="shared" si="21"/>
        <v>-3.0480713934460706</v>
      </c>
      <c r="R225" s="123">
        <f t="shared" si="18"/>
        <v>82131.377149174587</v>
      </c>
      <c r="S225" s="123">
        <f t="shared" si="19"/>
        <v>140495.5400412693</v>
      </c>
      <c r="T225" s="123">
        <f t="shared" si="22"/>
        <v>0</v>
      </c>
      <c r="U225" s="123">
        <f t="shared" si="23"/>
        <v>1</v>
      </c>
      <c r="V225" s="1"/>
      <c r="W225" s="25"/>
      <c r="X225" s="1"/>
      <c r="Y225" s="1"/>
      <c r="Z225" s="9"/>
    </row>
    <row r="226" spans="11:26" x14ac:dyDescent="0.25">
      <c r="K226" s="123" t="s">
        <v>335</v>
      </c>
      <c r="L226" s="126">
        <v>4371.9465531030537</v>
      </c>
      <c r="M226" s="126">
        <v>4.2641719894629828</v>
      </c>
      <c r="N226" s="126">
        <v>6956.7762112620157</v>
      </c>
      <c r="O226" s="126">
        <v>7.5770166848124703</v>
      </c>
      <c r="P226" s="123">
        <f t="shared" si="20"/>
        <v>-2584.829658158962</v>
      </c>
      <c r="Q226" s="123">
        <f t="shared" si="21"/>
        <v>-3.3128446953494874</v>
      </c>
      <c r="R226" s="123">
        <f t="shared" si="18"/>
        <v>80911.493236156603</v>
      </c>
      <c r="S226" s="123">
        <f t="shared" si="19"/>
        <v>144583.5574849874</v>
      </c>
      <c r="T226" s="123">
        <f t="shared" si="22"/>
        <v>0</v>
      </c>
      <c r="U226" s="123">
        <f t="shared" si="23"/>
        <v>1</v>
      </c>
      <c r="V226" s="1"/>
      <c r="W226" s="25"/>
      <c r="X226" s="1"/>
      <c r="Y226" s="1"/>
      <c r="Z226" s="9"/>
    </row>
    <row r="227" spans="11:26" x14ac:dyDescent="0.25">
      <c r="K227" s="123" t="s">
        <v>336</v>
      </c>
      <c r="L227" s="126">
        <v>10126.244360818111</v>
      </c>
      <c r="M227" s="126">
        <v>9.0945586855165228</v>
      </c>
      <c r="N227" s="126">
        <v>8723.4927368666595</v>
      </c>
      <c r="O227" s="126">
        <v>8.1990620358176685</v>
      </c>
      <c r="P227" s="123">
        <f t="shared" si="20"/>
        <v>1402.7516239514516</v>
      </c>
      <c r="Q227" s="123">
        <f t="shared" si="21"/>
        <v>0.89549664969885434</v>
      </c>
      <c r="R227" s="123">
        <f t="shared" si="18"/>
        <v>171764.92934951233</v>
      </c>
      <c r="S227" s="123">
        <f t="shared" si="19"/>
        <v>155257.74797948671</v>
      </c>
      <c r="T227" s="123">
        <f t="shared" si="22"/>
        <v>1</v>
      </c>
      <c r="U227" s="123">
        <f t="shared" si="23"/>
        <v>0</v>
      </c>
      <c r="V227" s="1"/>
      <c r="W227" s="25"/>
      <c r="X227" s="1"/>
      <c r="Y227" s="1"/>
      <c r="Z227" s="9"/>
    </row>
    <row r="228" spans="11:26" x14ac:dyDescent="0.25">
      <c r="K228" s="123" t="s">
        <v>337</v>
      </c>
      <c r="L228" s="126">
        <v>7815.3306037660186</v>
      </c>
      <c r="M228" s="126">
        <v>8.6398334017723339</v>
      </c>
      <c r="N228" s="126">
        <v>5402.8026396323585</v>
      </c>
      <c r="O228" s="126">
        <v>6.8081463059760035</v>
      </c>
      <c r="P228" s="123">
        <f t="shared" si="20"/>
        <v>2412.5279641336601</v>
      </c>
      <c r="Q228" s="123">
        <f t="shared" si="21"/>
        <v>1.8316870957963305</v>
      </c>
      <c r="R228" s="123">
        <f t="shared" si="18"/>
        <v>164981.33743168064</v>
      </c>
      <c r="S228" s="123">
        <f t="shared" si="19"/>
        <v>130760.12347988771</v>
      </c>
      <c r="T228" s="123">
        <f t="shared" si="22"/>
        <v>1</v>
      </c>
      <c r="U228" s="123">
        <f t="shared" si="23"/>
        <v>0</v>
      </c>
      <c r="V228" s="1"/>
      <c r="W228" s="25"/>
      <c r="X228" s="1"/>
      <c r="Y228" s="1"/>
      <c r="Z228" s="9"/>
    </row>
    <row r="229" spans="11:26" x14ac:dyDescent="0.25">
      <c r="K229" s="123" t="s">
        <v>338</v>
      </c>
      <c r="L229" s="126">
        <v>6899.0621788190711</v>
      </c>
      <c r="M229" s="126">
        <v>6.7075319249242442</v>
      </c>
      <c r="N229" s="126">
        <v>5849.0602631559796</v>
      </c>
      <c r="O229" s="126">
        <v>6.1550443233266989</v>
      </c>
      <c r="P229" s="123">
        <f t="shared" si="20"/>
        <v>1050.0019156630915</v>
      </c>
      <c r="Q229" s="123">
        <f t="shared" si="21"/>
        <v>0.55248760159754529</v>
      </c>
      <c r="R229" s="123">
        <f t="shared" si="18"/>
        <v>127251.57631966581</v>
      </c>
      <c r="S229" s="123">
        <f t="shared" si="19"/>
        <v>117251.826203378</v>
      </c>
      <c r="T229" s="123">
        <f t="shared" si="22"/>
        <v>1</v>
      </c>
      <c r="U229" s="123">
        <f t="shared" si="23"/>
        <v>0</v>
      </c>
      <c r="V229" s="1"/>
      <c r="W229" s="25"/>
      <c r="X229" s="1"/>
      <c r="Y229" s="1"/>
      <c r="Z229" s="9"/>
    </row>
    <row r="230" spans="11:26" x14ac:dyDescent="0.25">
      <c r="K230" s="123" t="s">
        <v>339</v>
      </c>
      <c r="L230" s="126">
        <v>9242.1911949325204</v>
      </c>
      <c r="M230" s="126">
        <v>9.2623736473151528</v>
      </c>
      <c r="N230" s="126">
        <v>5969.0188724969503</v>
      </c>
      <c r="O230" s="126">
        <v>6.7326340305671195</v>
      </c>
      <c r="P230" s="123">
        <f t="shared" si="20"/>
        <v>3273.1723224355701</v>
      </c>
      <c r="Q230" s="123">
        <f t="shared" si="21"/>
        <v>2.5297396167480333</v>
      </c>
      <c r="R230" s="123">
        <f t="shared" si="18"/>
        <v>176005.28175137052</v>
      </c>
      <c r="S230" s="123">
        <f t="shared" si="19"/>
        <v>128683.66173884545</v>
      </c>
      <c r="T230" s="123">
        <f t="shared" si="22"/>
        <v>1</v>
      </c>
      <c r="U230" s="123">
        <f t="shared" si="23"/>
        <v>0</v>
      </c>
      <c r="V230" s="1"/>
      <c r="W230" s="25"/>
      <c r="X230" s="1"/>
      <c r="Y230" s="1"/>
      <c r="Z230" s="9"/>
    </row>
    <row r="231" spans="11:26" x14ac:dyDescent="0.25">
      <c r="K231" s="123" t="s">
        <v>340</v>
      </c>
      <c r="L231" s="126">
        <v>6827.9660613444985</v>
      </c>
      <c r="M231" s="126">
        <v>7.2777477623738696</v>
      </c>
      <c r="N231" s="126">
        <v>5557.0468664721702</v>
      </c>
      <c r="O231" s="126">
        <v>5.8621433264448699</v>
      </c>
      <c r="P231" s="123">
        <f t="shared" si="20"/>
        <v>1270.9191948723283</v>
      </c>
      <c r="Q231" s="123">
        <f t="shared" si="21"/>
        <v>1.4156044359289996</v>
      </c>
      <c r="R231" s="123">
        <f t="shared" si="18"/>
        <v>138726.98918613291</v>
      </c>
      <c r="S231" s="123">
        <f t="shared" si="19"/>
        <v>111685.81966242523</v>
      </c>
      <c r="T231" s="123">
        <f t="shared" si="22"/>
        <v>1</v>
      </c>
      <c r="U231" s="123">
        <f t="shared" si="23"/>
        <v>0</v>
      </c>
      <c r="V231" s="1"/>
      <c r="W231" s="25"/>
      <c r="X231" s="1"/>
      <c r="Y231" s="1"/>
      <c r="Z231" s="9"/>
    </row>
    <row r="232" spans="11:26" x14ac:dyDescent="0.25">
      <c r="K232" s="123" t="s">
        <v>341</v>
      </c>
      <c r="L232" s="126">
        <v>5865.0146759069003</v>
      </c>
      <c r="M232" s="126">
        <v>5.7043493420695501</v>
      </c>
      <c r="N232" s="126">
        <v>8732.1986329400679</v>
      </c>
      <c r="O232" s="126">
        <v>9.4221881593051062</v>
      </c>
      <c r="P232" s="123">
        <f t="shared" si="20"/>
        <v>-2867.1839570331676</v>
      </c>
      <c r="Q232" s="123">
        <f t="shared" si="21"/>
        <v>-3.7178388172355561</v>
      </c>
      <c r="R232" s="123">
        <f t="shared" si="18"/>
        <v>108221.9721654841</v>
      </c>
      <c r="S232" s="123">
        <f t="shared" si="19"/>
        <v>179711.56455316205</v>
      </c>
      <c r="T232" s="123">
        <f t="shared" si="22"/>
        <v>0</v>
      </c>
      <c r="U232" s="123">
        <f t="shared" si="23"/>
        <v>1</v>
      </c>
      <c r="V232" s="1"/>
      <c r="W232" s="25"/>
      <c r="X232" s="1"/>
      <c r="Y232" s="1"/>
      <c r="Z232" s="9"/>
    </row>
    <row r="233" spans="11:26" x14ac:dyDescent="0.25">
      <c r="K233" s="123" t="s">
        <v>342</v>
      </c>
      <c r="L233" s="126">
        <v>6384.4129408601239</v>
      </c>
      <c r="M233" s="126">
        <v>5.4761571818282748</v>
      </c>
      <c r="N233" s="126">
        <v>7575.1384787473535</v>
      </c>
      <c r="O233" s="126">
        <v>7.1668739346262207</v>
      </c>
      <c r="P233" s="123">
        <f t="shared" si="20"/>
        <v>-1190.7255378872296</v>
      </c>
      <c r="Q233" s="123">
        <f t="shared" si="21"/>
        <v>-1.6907167527979459</v>
      </c>
      <c r="R233" s="123">
        <f t="shared" si="18"/>
        <v>103138.73069570537</v>
      </c>
      <c r="S233" s="123">
        <f t="shared" si="19"/>
        <v>135762.34021377706</v>
      </c>
      <c r="T233" s="123">
        <f t="shared" si="22"/>
        <v>0</v>
      </c>
      <c r="U233" s="123">
        <f t="shared" si="23"/>
        <v>1</v>
      </c>
      <c r="V233" s="1"/>
      <c r="W233" s="25"/>
      <c r="X233" s="1"/>
      <c r="Y233" s="1"/>
      <c r="Z233" s="9"/>
    </row>
    <row r="234" spans="11:26" x14ac:dyDescent="0.25">
      <c r="K234" s="123" t="s">
        <v>343</v>
      </c>
      <c r="L234" s="126">
        <v>6537.1761626924072</v>
      </c>
      <c r="M234" s="126">
        <v>6.2752505667274043</v>
      </c>
      <c r="N234" s="126">
        <v>6151.1781122118191</v>
      </c>
      <c r="O234" s="126">
        <v>6.5326417191385362</v>
      </c>
      <c r="P234" s="123">
        <f t="shared" si="20"/>
        <v>385.99805048058806</v>
      </c>
      <c r="Q234" s="123">
        <f t="shared" si="21"/>
        <v>-0.25739115241113186</v>
      </c>
      <c r="R234" s="123">
        <f t="shared" si="18"/>
        <v>118967.83517185568</v>
      </c>
      <c r="S234" s="123">
        <f t="shared" si="19"/>
        <v>124501.65627055892</v>
      </c>
      <c r="T234" s="123">
        <f t="shared" si="22"/>
        <v>0</v>
      </c>
      <c r="U234" s="123">
        <f t="shared" si="23"/>
        <v>1</v>
      </c>
      <c r="V234" s="1"/>
      <c r="W234" s="25"/>
      <c r="X234" s="1"/>
      <c r="Y234" s="1"/>
      <c r="Z234" s="9"/>
    </row>
    <row r="235" spans="11:26" x14ac:dyDescent="0.25">
      <c r="K235" s="123" t="s">
        <v>344</v>
      </c>
      <c r="L235" s="126">
        <v>6365.483161595037</v>
      </c>
      <c r="M235" s="126">
        <v>6.5976059273302532</v>
      </c>
      <c r="N235" s="126">
        <v>7314.9406519564091</v>
      </c>
      <c r="O235" s="126">
        <v>8.1691233380696264</v>
      </c>
      <c r="P235" s="123">
        <f t="shared" si="20"/>
        <v>-949.45749036137204</v>
      </c>
      <c r="Q235" s="123">
        <f t="shared" si="21"/>
        <v>-1.5715174107393732</v>
      </c>
      <c r="R235" s="123">
        <f t="shared" si="18"/>
        <v>125586.63538501001</v>
      </c>
      <c r="S235" s="123">
        <f t="shared" si="19"/>
        <v>156067.52610943612</v>
      </c>
      <c r="T235" s="123">
        <f t="shared" si="22"/>
        <v>0</v>
      </c>
      <c r="U235" s="123">
        <f t="shared" si="23"/>
        <v>1</v>
      </c>
      <c r="V235" s="1"/>
      <c r="W235" s="25"/>
      <c r="X235" s="1"/>
      <c r="Y235" s="1"/>
      <c r="Z235" s="9"/>
    </row>
    <row r="236" spans="11:26" x14ac:dyDescent="0.25">
      <c r="K236" s="123" t="s">
        <v>345</v>
      </c>
      <c r="L236" s="126">
        <v>8062.1813048884896</v>
      </c>
      <c r="M236" s="126">
        <v>7.5244285206558867</v>
      </c>
      <c r="N236" s="126">
        <v>7977.8842960624215</v>
      </c>
      <c r="O236" s="126">
        <v>8.1552113545845568</v>
      </c>
      <c r="P236" s="123">
        <f t="shared" si="20"/>
        <v>84.297008826068122</v>
      </c>
      <c r="Q236" s="123">
        <f t="shared" si="21"/>
        <v>-0.63078283392867007</v>
      </c>
      <c r="R236" s="123">
        <f t="shared" si="18"/>
        <v>142426.38910822925</v>
      </c>
      <c r="S236" s="123">
        <f t="shared" si="19"/>
        <v>155126.34279562871</v>
      </c>
      <c r="T236" s="123">
        <f t="shared" si="22"/>
        <v>0</v>
      </c>
      <c r="U236" s="123">
        <f t="shared" si="23"/>
        <v>1</v>
      </c>
      <c r="V236" s="1"/>
      <c r="W236" s="25"/>
      <c r="X236" s="1"/>
      <c r="Y236" s="1"/>
      <c r="Z236" s="9"/>
    </row>
    <row r="237" spans="11:26" x14ac:dyDescent="0.25">
      <c r="K237" s="123" t="s">
        <v>346</v>
      </c>
      <c r="L237" s="126">
        <v>6757.447834456797</v>
      </c>
      <c r="M237" s="126">
        <v>6.1619468370367887</v>
      </c>
      <c r="N237" s="126">
        <v>7101.0311441169715</v>
      </c>
      <c r="O237" s="126">
        <v>6.8346109132839148</v>
      </c>
      <c r="P237" s="123">
        <f t="shared" si="20"/>
        <v>-343.58330966017456</v>
      </c>
      <c r="Q237" s="123">
        <f t="shared" si="21"/>
        <v>-0.6726640762471261</v>
      </c>
      <c r="R237" s="123">
        <f t="shared" si="18"/>
        <v>116481.48890627899</v>
      </c>
      <c r="S237" s="123">
        <f t="shared" si="19"/>
        <v>129591.18712156132</v>
      </c>
      <c r="T237" s="123">
        <f t="shared" si="22"/>
        <v>0</v>
      </c>
      <c r="U237" s="123">
        <f t="shared" si="23"/>
        <v>1</v>
      </c>
      <c r="V237" s="1"/>
      <c r="W237" s="25"/>
      <c r="X237" s="1"/>
      <c r="Y237" s="1"/>
      <c r="Z237" s="9"/>
    </row>
    <row r="238" spans="11:26" x14ac:dyDescent="0.25">
      <c r="K238" s="123" t="s">
        <v>347</v>
      </c>
      <c r="L238" s="126">
        <v>6198.9159876982631</v>
      </c>
      <c r="M238" s="126">
        <v>6.028276782242143</v>
      </c>
      <c r="N238" s="126">
        <v>5936.9310430448104</v>
      </c>
      <c r="O238" s="126">
        <v>6.1224179269505941</v>
      </c>
      <c r="P238" s="123">
        <f t="shared" si="20"/>
        <v>261.98494465345266</v>
      </c>
      <c r="Q238" s="123">
        <f t="shared" si="21"/>
        <v>-9.414114470845103E-2</v>
      </c>
      <c r="R238" s="123">
        <f t="shared" si="18"/>
        <v>114366.61965714461</v>
      </c>
      <c r="S238" s="123">
        <f t="shared" si="19"/>
        <v>116511.42749596707</v>
      </c>
      <c r="T238" s="123">
        <f t="shared" si="22"/>
        <v>0</v>
      </c>
      <c r="U238" s="123">
        <f t="shared" si="23"/>
        <v>1</v>
      </c>
      <c r="V238" s="1"/>
      <c r="W238" s="25"/>
      <c r="X238" s="1"/>
      <c r="Y238" s="1"/>
      <c r="Z238" s="9"/>
    </row>
    <row r="239" spans="11:26" x14ac:dyDescent="0.25">
      <c r="K239" s="123" t="s">
        <v>348</v>
      </c>
      <c r="L239" s="126">
        <v>7504.8741254937495</v>
      </c>
      <c r="M239" s="126">
        <v>7.178107979009317</v>
      </c>
      <c r="N239" s="126">
        <v>7283.5362730727629</v>
      </c>
      <c r="O239" s="126">
        <v>7.4158940172416763</v>
      </c>
      <c r="P239" s="123">
        <f t="shared" si="20"/>
        <v>221.33785242098656</v>
      </c>
      <c r="Q239" s="123">
        <f t="shared" si="21"/>
        <v>-0.23778603823235933</v>
      </c>
      <c r="R239" s="123">
        <f t="shared" si="18"/>
        <v>136057.28545469258</v>
      </c>
      <c r="S239" s="123">
        <f t="shared" si="19"/>
        <v>141034.34407176077</v>
      </c>
      <c r="T239" s="123">
        <f t="shared" si="22"/>
        <v>0</v>
      </c>
      <c r="U239" s="123">
        <f t="shared" si="23"/>
        <v>1</v>
      </c>
      <c r="V239" s="1"/>
      <c r="W239" s="25"/>
      <c r="X239" s="1"/>
      <c r="Y239" s="1"/>
      <c r="Z239" s="9"/>
    </row>
    <row r="240" spans="11:26" x14ac:dyDescent="0.25">
      <c r="K240" s="123" t="s">
        <v>349</v>
      </c>
      <c r="L240" s="126">
        <v>5971.2346068609459</v>
      </c>
      <c r="M240" s="126">
        <v>5.6230324414601798</v>
      </c>
      <c r="N240" s="126">
        <v>9110.5583706933285</v>
      </c>
      <c r="O240" s="126">
        <v>9.5405192052329824</v>
      </c>
      <c r="P240" s="123">
        <f t="shared" si="20"/>
        <v>-3139.3237638323826</v>
      </c>
      <c r="Q240" s="123">
        <f t="shared" si="21"/>
        <v>-3.9174867637728026</v>
      </c>
      <c r="R240" s="123">
        <f t="shared" si="18"/>
        <v>106489.41422234265</v>
      </c>
      <c r="S240" s="123">
        <f t="shared" si="19"/>
        <v>181699.82573396631</v>
      </c>
      <c r="T240" s="123">
        <f t="shared" si="22"/>
        <v>0</v>
      </c>
      <c r="U240" s="123">
        <f t="shared" si="23"/>
        <v>1</v>
      </c>
      <c r="V240" s="1"/>
      <c r="W240" s="25"/>
      <c r="X240" s="1"/>
      <c r="Y240" s="1"/>
      <c r="Z240" s="9"/>
    </row>
    <row r="241" spans="11:26" x14ac:dyDescent="0.25">
      <c r="K241" s="123" t="s">
        <v>350</v>
      </c>
      <c r="L241" s="126">
        <v>9379.3146120228503</v>
      </c>
      <c r="M241" s="126">
        <v>7.4918999653754454</v>
      </c>
      <c r="N241" s="126">
        <v>7497.9096112674688</v>
      </c>
      <c r="O241" s="126">
        <v>6.0240829937372533</v>
      </c>
      <c r="P241" s="123">
        <f t="shared" si="20"/>
        <v>1881.4050007553815</v>
      </c>
      <c r="Q241" s="123">
        <f t="shared" si="21"/>
        <v>1.4678169716381921</v>
      </c>
      <c r="R241" s="123">
        <f t="shared" si="18"/>
        <v>140458.68469548604</v>
      </c>
      <c r="S241" s="123">
        <f t="shared" si="19"/>
        <v>112983.75026347759</v>
      </c>
      <c r="T241" s="123">
        <f t="shared" si="22"/>
        <v>1</v>
      </c>
      <c r="U241" s="123">
        <f t="shared" si="23"/>
        <v>0</v>
      </c>
      <c r="V241" s="1"/>
      <c r="W241" s="25"/>
      <c r="X241" s="1"/>
      <c r="Y241" s="1"/>
      <c r="Z241" s="9"/>
    </row>
    <row r="242" spans="11:26" x14ac:dyDescent="0.25">
      <c r="K242" s="123" t="s">
        <v>351</v>
      </c>
      <c r="L242" s="126">
        <v>5897.3623770736222</v>
      </c>
      <c r="M242" s="126">
        <v>4.9404173776442093</v>
      </c>
      <c r="N242" s="126">
        <v>5796.2253658266063</v>
      </c>
      <c r="O242" s="126">
        <v>4.8550057215939031</v>
      </c>
      <c r="P242" s="123">
        <f t="shared" si="20"/>
        <v>101.13701124701583</v>
      </c>
      <c r="Q242" s="123">
        <f t="shared" si="21"/>
        <v>8.5411656050306206E-2</v>
      </c>
      <c r="R242" s="123">
        <f t="shared" si="18"/>
        <v>92910.985175810565</v>
      </c>
      <c r="S242" s="123">
        <f t="shared" si="19"/>
        <v>91303.889066051444</v>
      </c>
      <c r="T242" s="123">
        <f t="shared" si="22"/>
        <v>1</v>
      </c>
      <c r="U242" s="123">
        <f t="shared" si="23"/>
        <v>0</v>
      </c>
      <c r="V242" s="1"/>
      <c r="W242" s="25"/>
      <c r="X242" s="1"/>
      <c r="Y242" s="1"/>
      <c r="Z242" s="9"/>
    </row>
    <row r="243" spans="11:26" x14ac:dyDescent="0.25">
      <c r="K243" s="123" t="s">
        <v>352</v>
      </c>
      <c r="L243" s="126">
        <v>8454.6940697658792</v>
      </c>
      <c r="M243" s="126">
        <v>7.4241623604035718</v>
      </c>
      <c r="N243" s="126">
        <v>8248.2458886445929</v>
      </c>
      <c r="O243" s="126">
        <v>8.0578176478613202</v>
      </c>
      <c r="P243" s="123">
        <f t="shared" si="20"/>
        <v>206.44818112128632</v>
      </c>
      <c r="Q243" s="123">
        <f t="shared" si="21"/>
        <v>-0.63365528745774835</v>
      </c>
      <c r="R243" s="123">
        <f t="shared" si="18"/>
        <v>140028.55313830555</v>
      </c>
      <c r="S243" s="123">
        <f t="shared" si="19"/>
        <v>152908.1070685818</v>
      </c>
      <c r="T243" s="123">
        <f t="shared" si="22"/>
        <v>0</v>
      </c>
      <c r="U243" s="123">
        <f t="shared" si="23"/>
        <v>1</v>
      </c>
      <c r="V243" s="1"/>
      <c r="W243" s="25"/>
      <c r="X243" s="1"/>
      <c r="Y243" s="1"/>
      <c r="Z243" s="9"/>
    </row>
    <row r="244" spans="11:26" x14ac:dyDescent="0.25">
      <c r="K244" s="123" t="s">
        <v>353</v>
      </c>
      <c r="L244" s="126">
        <v>9381.0201002860449</v>
      </c>
      <c r="M244" s="126">
        <v>9.1275750978324552</v>
      </c>
      <c r="N244" s="126">
        <v>6019.9464447932642</v>
      </c>
      <c r="O244" s="126">
        <v>5.920315330740987</v>
      </c>
      <c r="P244" s="123">
        <f t="shared" si="20"/>
        <v>3361.0736554927807</v>
      </c>
      <c r="Q244" s="123">
        <f t="shared" si="21"/>
        <v>3.2072597670914682</v>
      </c>
      <c r="R244" s="123">
        <f t="shared" si="18"/>
        <v>173170.48185636304</v>
      </c>
      <c r="S244" s="123">
        <f t="shared" si="19"/>
        <v>112386.36017002647</v>
      </c>
      <c r="T244" s="123">
        <f t="shared" si="22"/>
        <v>1</v>
      </c>
      <c r="U244" s="123">
        <f t="shared" si="23"/>
        <v>0</v>
      </c>
      <c r="V244" s="1"/>
      <c r="W244" s="25"/>
      <c r="X244" s="1"/>
      <c r="Y244" s="1"/>
      <c r="Z244" s="9"/>
    </row>
    <row r="245" spans="11:26" x14ac:dyDescent="0.25">
      <c r="K245" s="123" t="s">
        <v>354</v>
      </c>
      <c r="L245" s="126">
        <v>11827.850401162175</v>
      </c>
      <c r="M245" s="126">
        <v>12.220798226248522</v>
      </c>
      <c r="N245" s="126">
        <v>5743.2529239161022</v>
      </c>
      <c r="O245" s="126">
        <v>6.0785924483773011</v>
      </c>
      <c r="P245" s="123">
        <f t="shared" si="20"/>
        <v>6084.5974772460731</v>
      </c>
      <c r="Q245" s="123">
        <f t="shared" si="21"/>
        <v>6.1422057778712214</v>
      </c>
      <c r="R245" s="123">
        <f t="shared" si="18"/>
        <v>232588.11412380828</v>
      </c>
      <c r="S245" s="123">
        <f t="shared" si="19"/>
        <v>115828.59604362991</v>
      </c>
      <c r="T245" s="123">
        <f t="shared" si="22"/>
        <v>1</v>
      </c>
      <c r="U245" s="123">
        <f t="shared" si="23"/>
        <v>0</v>
      </c>
      <c r="V245" s="1"/>
      <c r="W245" s="25"/>
      <c r="X245" s="1"/>
      <c r="Y245" s="1"/>
      <c r="Z245" s="9"/>
    </row>
    <row r="246" spans="11:26" x14ac:dyDescent="0.25">
      <c r="K246" s="123" t="s">
        <v>355</v>
      </c>
      <c r="L246" s="126">
        <v>8368.495712710017</v>
      </c>
      <c r="M246" s="126">
        <v>8.5259814081719885</v>
      </c>
      <c r="N246" s="126">
        <v>6268.859271074366</v>
      </c>
      <c r="O246" s="126">
        <v>6.8968160564923586</v>
      </c>
      <c r="P246" s="123">
        <f t="shared" si="20"/>
        <v>2099.636441635651</v>
      </c>
      <c r="Q246" s="123">
        <f t="shared" si="21"/>
        <v>1.6291653516796298</v>
      </c>
      <c r="R246" s="123">
        <f t="shared" si="18"/>
        <v>162151.13245072975</v>
      </c>
      <c r="S246" s="123">
        <f t="shared" si="19"/>
        <v>131667.46185877282</v>
      </c>
      <c r="T246" s="123">
        <f t="shared" si="22"/>
        <v>1</v>
      </c>
      <c r="U246" s="123">
        <f t="shared" si="23"/>
        <v>0</v>
      </c>
      <c r="V246" s="1"/>
      <c r="W246" s="25"/>
      <c r="X246" s="1"/>
      <c r="Y246" s="1"/>
      <c r="Z246" s="9"/>
    </row>
    <row r="247" spans="11:26" x14ac:dyDescent="0.25">
      <c r="K247" s="123" t="s">
        <v>356</v>
      </c>
      <c r="L247" s="126">
        <v>6995.7438199625158</v>
      </c>
      <c r="M247" s="126">
        <v>7.6827158762588033</v>
      </c>
      <c r="N247" s="126">
        <v>7907.883557643162</v>
      </c>
      <c r="O247" s="126">
        <v>9.5569928786083924</v>
      </c>
      <c r="P247" s="123">
        <f t="shared" si="20"/>
        <v>-912.13973768064625</v>
      </c>
      <c r="Q247" s="123">
        <f t="shared" si="21"/>
        <v>-1.8742770023495892</v>
      </c>
      <c r="R247" s="123">
        <f t="shared" si="18"/>
        <v>146658.57370521355</v>
      </c>
      <c r="S247" s="123">
        <f t="shared" si="19"/>
        <v>183231.97401452469</v>
      </c>
      <c r="T247" s="123">
        <f t="shared" si="22"/>
        <v>0</v>
      </c>
      <c r="U247" s="123">
        <f t="shared" si="23"/>
        <v>1</v>
      </c>
      <c r="V247" s="1"/>
      <c r="W247" s="25"/>
      <c r="X247" s="1"/>
      <c r="Y247" s="1"/>
      <c r="Z247" s="9"/>
    </row>
    <row r="248" spans="11:26" x14ac:dyDescent="0.25">
      <c r="K248" s="123" t="s">
        <v>357</v>
      </c>
      <c r="L248" s="126">
        <v>8560.6275961657775</v>
      </c>
      <c r="M248" s="126">
        <v>7.905926105223207</v>
      </c>
      <c r="N248" s="126">
        <v>5137.1723381332604</v>
      </c>
      <c r="O248" s="126">
        <v>5.0939323249829354</v>
      </c>
      <c r="P248" s="123">
        <f t="shared" si="20"/>
        <v>3423.4552580325171</v>
      </c>
      <c r="Q248" s="123">
        <f t="shared" si="21"/>
        <v>2.8119937802402717</v>
      </c>
      <c r="R248" s="123">
        <f t="shared" si="18"/>
        <v>149557.89450829837</v>
      </c>
      <c r="S248" s="123">
        <f t="shared" si="19"/>
        <v>96741.474161525446</v>
      </c>
      <c r="T248" s="123">
        <f t="shared" si="22"/>
        <v>1</v>
      </c>
      <c r="U248" s="123">
        <f t="shared" si="23"/>
        <v>0</v>
      </c>
      <c r="V248" s="1"/>
      <c r="W248" s="25"/>
      <c r="X248" s="1"/>
      <c r="Y248" s="1"/>
      <c r="Z248" s="9"/>
    </row>
    <row r="249" spans="11:26" x14ac:dyDescent="0.25">
      <c r="K249" s="123" t="s">
        <v>358</v>
      </c>
      <c r="L249" s="126">
        <v>9341.6089220344838</v>
      </c>
      <c r="M249" s="126">
        <v>8.0889449044326884</v>
      </c>
      <c r="N249" s="126">
        <v>7683.087807320826</v>
      </c>
      <c r="O249" s="126">
        <v>7.2695973925549664</v>
      </c>
      <c r="P249" s="123">
        <f t="shared" si="20"/>
        <v>1658.5211147136579</v>
      </c>
      <c r="Q249" s="123">
        <f t="shared" si="21"/>
        <v>0.81934751187772203</v>
      </c>
      <c r="R249" s="123">
        <f t="shared" si="18"/>
        <v>152437.2891666193</v>
      </c>
      <c r="S249" s="123">
        <f t="shared" si="19"/>
        <v>137708.86004377852</v>
      </c>
      <c r="T249" s="123">
        <f t="shared" si="22"/>
        <v>1</v>
      </c>
      <c r="U249" s="123">
        <f t="shared" si="23"/>
        <v>0</v>
      </c>
      <c r="V249" s="1"/>
      <c r="W249" s="25"/>
      <c r="X249" s="1"/>
      <c r="Y249" s="1"/>
      <c r="Z249" s="9"/>
    </row>
    <row r="250" spans="11:26" x14ac:dyDescent="0.25">
      <c r="K250" s="123" t="s">
        <v>359</v>
      </c>
      <c r="L250" s="126">
        <v>8519.3025780720855</v>
      </c>
      <c r="M250" s="126">
        <v>7.5574500649108165</v>
      </c>
      <c r="N250" s="126">
        <v>10003.438548234528</v>
      </c>
      <c r="O250" s="126">
        <v>9.9601928281408263</v>
      </c>
      <c r="P250" s="123">
        <f t="shared" si="20"/>
        <v>-1484.1359701624424</v>
      </c>
      <c r="Q250" s="123">
        <f t="shared" si="21"/>
        <v>-2.4027427632300098</v>
      </c>
      <c r="R250" s="123">
        <f t="shared" si="18"/>
        <v>142629.69872014422</v>
      </c>
      <c r="S250" s="123">
        <f t="shared" si="19"/>
        <v>189200.41801458201</v>
      </c>
      <c r="T250" s="123">
        <f t="shared" si="22"/>
        <v>0</v>
      </c>
      <c r="U250" s="123">
        <f t="shared" si="23"/>
        <v>1</v>
      </c>
      <c r="V250" s="1"/>
      <c r="W250" s="25"/>
      <c r="X250" s="1"/>
      <c r="Y250" s="1"/>
      <c r="Z250" s="9"/>
    </row>
    <row r="251" spans="11:26" x14ac:dyDescent="0.25">
      <c r="K251" s="123" t="s">
        <v>360</v>
      </c>
      <c r="L251" s="126">
        <v>7434.8174449029939</v>
      </c>
      <c r="M251" s="126">
        <v>7.3666834736178473</v>
      </c>
      <c r="N251" s="126">
        <v>9219.3924224395632</v>
      </c>
      <c r="O251" s="126">
        <v>11.190577646977093</v>
      </c>
      <c r="P251" s="123">
        <f t="shared" si="20"/>
        <v>-1784.5749775365693</v>
      </c>
      <c r="Q251" s="123">
        <f t="shared" si="21"/>
        <v>-3.8238941733592462</v>
      </c>
      <c r="R251" s="123">
        <f t="shared" si="18"/>
        <v>139898.85202745395</v>
      </c>
      <c r="S251" s="123">
        <f t="shared" si="19"/>
        <v>214592.16051710231</v>
      </c>
      <c r="T251" s="123">
        <f t="shared" si="22"/>
        <v>0</v>
      </c>
      <c r="U251" s="123">
        <f t="shared" si="23"/>
        <v>1</v>
      </c>
      <c r="V251" s="1"/>
      <c r="W251" s="25"/>
      <c r="X251" s="1"/>
      <c r="Y251" s="1"/>
    </row>
    <row r="252" spans="11:26" x14ac:dyDescent="0.25">
      <c r="K252" s="123" t="s">
        <v>361</v>
      </c>
      <c r="L252" s="126">
        <v>10649.161210886592</v>
      </c>
      <c r="M252" s="126">
        <v>9.4999190530100499</v>
      </c>
      <c r="N252" s="126">
        <v>6558.0217877943269</v>
      </c>
      <c r="O252" s="126">
        <v>6.4730717787304455</v>
      </c>
      <c r="P252" s="123">
        <f t="shared" si="20"/>
        <v>4091.1394230922651</v>
      </c>
      <c r="Q252" s="123">
        <f t="shared" si="21"/>
        <v>3.0268472742796044</v>
      </c>
      <c r="R252" s="123">
        <f t="shared" si="18"/>
        <v>179349.21984931442</v>
      </c>
      <c r="S252" s="123">
        <f t="shared" si="19"/>
        <v>122903.41378681459</v>
      </c>
      <c r="T252" s="123">
        <f t="shared" si="22"/>
        <v>1</v>
      </c>
      <c r="U252" s="123">
        <f t="shared" si="23"/>
        <v>0</v>
      </c>
      <c r="V252" s="1"/>
      <c r="W252" s="25"/>
      <c r="X252" s="1"/>
      <c r="Y252" s="1"/>
    </row>
    <row r="253" spans="11:26" x14ac:dyDescent="0.25">
      <c r="K253" s="123" t="s">
        <v>362</v>
      </c>
      <c r="L253" s="126">
        <v>7567.1187606107405</v>
      </c>
      <c r="M253" s="126">
        <v>6.6480853153373491</v>
      </c>
      <c r="N253" s="126">
        <v>7606.5174691888969</v>
      </c>
      <c r="O253" s="126">
        <v>7.2292920258974362</v>
      </c>
      <c r="P253" s="123">
        <f t="shared" si="20"/>
        <v>-39.398708578156402</v>
      </c>
      <c r="Q253" s="123">
        <f t="shared" si="21"/>
        <v>-0.5812067105600871</v>
      </c>
      <c r="R253" s="123">
        <f t="shared" si="18"/>
        <v>125394.58754613624</v>
      </c>
      <c r="S253" s="123">
        <f t="shared" si="19"/>
        <v>136979.32304875983</v>
      </c>
      <c r="T253" s="123">
        <f t="shared" si="22"/>
        <v>0</v>
      </c>
      <c r="U253" s="123">
        <f t="shared" si="23"/>
        <v>1</v>
      </c>
      <c r="V253" s="1"/>
      <c r="W253" s="25"/>
      <c r="X253" s="1"/>
      <c r="Y253" s="1"/>
    </row>
    <row r="254" spans="11:26" x14ac:dyDescent="0.25">
      <c r="K254" s="123" t="s">
        <v>363</v>
      </c>
      <c r="L254" s="126">
        <v>9416.7181426533989</v>
      </c>
      <c r="M254" s="126">
        <v>8.639735374860658</v>
      </c>
      <c r="N254" s="126">
        <v>5874.8493533731162</v>
      </c>
      <c r="O254" s="126">
        <v>6.0115920737414239</v>
      </c>
      <c r="P254" s="123">
        <f t="shared" si="20"/>
        <v>3541.8687892802827</v>
      </c>
      <c r="Q254" s="123">
        <f t="shared" si="21"/>
        <v>2.6281433011192341</v>
      </c>
      <c r="R254" s="123">
        <f t="shared" si="18"/>
        <v>163377.98935455974</v>
      </c>
      <c r="S254" s="123">
        <f t="shared" si="19"/>
        <v>114356.99212145538</v>
      </c>
      <c r="T254" s="123">
        <f t="shared" si="22"/>
        <v>1</v>
      </c>
      <c r="U254" s="123">
        <f t="shared" si="23"/>
        <v>0</v>
      </c>
      <c r="V254" s="1"/>
      <c r="W254" s="25"/>
      <c r="X254" s="1"/>
      <c r="Y254" s="1"/>
    </row>
    <row r="255" spans="11:26" x14ac:dyDescent="0.25">
      <c r="K255" s="123" t="s">
        <v>364</v>
      </c>
      <c r="L255" s="126">
        <v>7739.2417871834168</v>
      </c>
      <c r="M255" s="126">
        <v>7.3034572736433923</v>
      </c>
      <c r="N255" s="126">
        <v>6062.1211180686923</v>
      </c>
      <c r="O255" s="126">
        <v>6.2487167168192057</v>
      </c>
      <c r="P255" s="123">
        <f t="shared" si="20"/>
        <v>1677.1206691147245</v>
      </c>
      <c r="Q255" s="123">
        <f t="shared" si="21"/>
        <v>1.0547405568241865</v>
      </c>
      <c r="R255" s="123">
        <f t="shared" si="18"/>
        <v>138329.90368568443</v>
      </c>
      <c r="S255" s="123">
        <f t="shared" si="19"/>
        <v>118912.21321831542</v>
      </c>
      <c r="T255" s="123">
        <f t="shared" si="22"/>
        <v>1</v>
      </c>
      <c r="U255" s="123">
        <f t="shared" si="23"/>
        <v>0</v>
      </c>
      <c r="V255" s="1"/>
      <c r="W255" s="25"/>
      <c r="X255" s="1"/>
      <c r="Y255" s="1"/>
    </row>
    <row r="256" spans="11:26" x14ac:dyDescent="0.25">
      <c r="K256" s="123" t="s">
        <v>365</v>
      </c>
      <c r="L256" s="126">
        <v>11756.438767248335</v>
      </c>
      <c r="M256" s="126">
        <v>10.389415947767802</v>
      </c>
      <c r="N256" s="126">
        <v>7644.3592003420836</v>
      </c>
      <c r="O256" s="126">
        <v>6.853183905591516</v>
      </c>
      <c r="P256" s="123">
        <f t="shared" si="20"/>
        <v>4112.0795669062518</v>
      </c>
      <c r="Q256" s="123">
        <f t="shared" si="21"/>
        <v>3.5362320421762856</v>
      </c>
      <c r="R256" s="123">
        <f t="shared" si="18"/>
        <v>196031.88018810769</v>
      </c>
      <c r="S256" s="123">
        <f t="shared" si="19"/>
        <v>129419.31891148824</v>
      </c>
      <c r="T256" s="123">
        <f t="shared" si="22"/>
        <v>1</v>
      </c>
      <c r="U256" s="123">
        <f t="shared" si="23"/>
        <v>0</v>
      </c>
      <c r="V256" s="1"/>
      <c r="W256" s="25"/>
      <c r="X256" s="1"/>
      <c r="Y256" s="1"/>
    </row>
    <row r="257" spans="11:25" x14ac:dyDescent="0.25">
      <c r="K257" s="123" t="s">
        <v>366</v>
      </c>
      <c r="L257" s="126">
        <v>7058.7068927352984</v>
      </c>
      <c r="M257" s="126">
        <v>6.5506707410717606</v>
      </c>
      <c r="N257" s="126">
        <v>8942.9534699370797</v>
      </c>
      <c r="O257" s="126">
        <v>9.1491419926918098</v>
      </c>
      <c r="P257" s="123">
        <f t="shared" si="20"/>
        <v>-1884.2465772017813</v>
      </c>
      <c r="Q257" s="123">
        <f t="shared" si="21"/>
        <v>-2.5984712516200492</v>
      </c>
      <c r="R257" s="123">
        <f t="shared" si="18"/>
        <v>123954.70792869992</v>
      </c>
      <c r="S257" s="123">
        <f t="shared" si="19"/>
        <v>174039.88638389911</v>
      </c>
      <c r="T257" s="123">
        <f t="shared" si="22"/>
        <v>0</v>
      </c>
      <c r="U257" s="123">
        <f t="shared" si="23"/>
        <v>1</v>
      </c>
      <c r="V257" s="1"/>
      <c r="W257" s="25"/>
      <c r="X257" s="1"/>
      <c r="Y257" s="1"/>
    </row>
    <row r="258" spans="11:25" x14ac:dyDescent="0.25">
      <c r="K258" s="123" t="s">
        <v>367</v>
      </c>
      <c r="L258" s="126">
        <v>6315.2327757796284</v>
      </c>
      <c r="M258" s="126">
        <v>6.2942636196478885</v>
      </c>
      <c r="N258" s="126">
        <v>7546.7736895159815</v>
      </c>
      <c r="O258" s="126">
        <v>7.9826452266913002</v>
      </c>
      <c r="P258" s="123">
        <f t="shared" si="20"/>
        <v>-1231.5409137363531</v>
      </c>
      <c r="Q258" s="123">
        <f t="shared" si="21"/>
        <v>-1.6883816070434117</v>
      </c>
      <c r="R258" s="123">
        <f t="shared" si="18"/>
        <v>119570.03961717815</v>
      </c>
      <c r="S258" s="123">
        <f t="shared" si="19"/>
        <v>152106.13084431001</v>
      </c>
      <c r="T258" s="123">
        <f t="shared" si="22"/>
        <v>0</v>
      </c>
      <c r="U258" s="123">
        <f t="shared" si="23"/>
        <v>1</v>
      </c>
      <c r="V258" s="1"/>
      <c r="W258" s="25"/>
      <c r="X258" s="1"/>
      <c r="Y258" s="1"/>
    </row>
    <row r="259" spans="11:25" x14ac:dyDescent="0.25">
      <c r="K259" s="123" t="s">
        <v>368</v>
      </c>
      <c r="L259" s="126">
        <v>8695.62394868927</v>
      </c>
      <c r="M259" s="126">
        <v>7.5167716542929304</v>
      </c>
      <c r="N259" s="126">
        <v>8068.0972435465428</v>
      </c>
      <c r="O259" s="126">
        <v>7.5039336890225057</v>
      </c>
      <c r="P259" s="123">
        <f t="shared" si="20"/>
        <v>627.52670514272722</v>
      </c>
      <c r="Q259" s="123">
        <f t="shared" si="21"/>
        <v>1.2837965270424689E-2</v>
      </c>
      <c r="R259" s="123">
        <f t="shared" si="18"/>
        <v>141639.80913716936</v>
      </c>
      <c r="S259" s="123">
        <f t="shared" si="19"/>
        <v>142010.57653690357</v>
      </c>
      <c r="T259" s="123">
        <f t="shared" si="22"/>
        <v>0</v>
      </c>
      <c r="U259" s="123">
        <f t="shared" si="23"/>
        <v>1</v>
      </c>
      <c r="V259" s="1"/>
      <c r="W259" s="25"/>
      <c r="X259" s="1"/>
      <c r="Y259" s="1"/>
    </row>
    <row r="260" spans="11:25" x14ac:dyDescent="0.25">
      <c r="K260" s="123" t="s">
        <v>369</v>
      </c>
      <c r="L260" s="126">
        <v>10217.148169516662</v>
      </c>
      <c r="M260" s="126">
        <v>6.8910202800839846</v>
      </c>
      <c r="N260" s="126">
        <v>6820.9160022932138</v>
      </c>
      <c r="O260" s="126">
        <v>5.0272921756330406</v>
      </c>
      <c r="P260" s="123">
        <f t="shared" si="20"/>
        <v>3396.2321672234484</v>
      </c>
      <c r="Q260" s="123">
        <f t="shared" si="21"/>
        <v>1.8637281044509439</v>
      </c>
      <c r="R260" s="123">
        <f t="shared" si="18"/>
        <v>127603.25743216304</v>
      </c>
      <c r="S260" s="123">
        <f t="shared" si="19"/>
        <v>93724.92751036759</v>
      </c>
      <c r="T260" s="123">
        <f t="shared" si="22"/>
        <v>1</v>
      </c>
      <c r="U260" s="123">
        <f t="shared" si="23"/>
        <v>0</v>
      </c>
      <c r="V260" s="1"/>
      <c r="W260" s="25"/>
      <c r="X260" s="1"/>
      <c r="Y260" s="1"/>
    </row>
    <row r="261" spans="11:25" x14ac:dyDescent="0.25">
      <c r="K261" s="123" t="s">
        <v>370</v>
      </c>
      <c r="L261" s="126">
        <v>10351.122260164395</v>
      </c>
      <c r="M261" s="126">
        <v>10.040467404683259</v>
      </c>
      <c r="N261" s="126">
        <v>7563.2371076323252</v>
      </c>
      <c r="O261" s="126">
        <v>7.5168892024887093</v>
      </c>
      <c r="P261" s="123">
        <f t="shared" si="20"/>
        <v>2787.8851525320697</v>
      </c>
      <c r="Q261" s="123">
        <f t="shared" si="21"/>
        <v>2.5235782021945496</v>
      </c>
      <c r="R261" s="123">
        <f t="shared" si="18"/>
        <v>190458.22583350079</v>
      </c>
      <c r="S261" s="123">
        <f t="shared" si="19"/>
        <v>142774.54694214187</v>
      </c>
      <c r="T261" s="123">
        <f t="shared" si="22"/>
        <v>1</v>
      </c>
      <c r="U261" s="123">
        <f t="shared" si="23"/>
        <v>0</v>
      </c>
      <c r="V261" s="1"/>
      <c r="W261" s="25"/>
      <c r="X261" s="1"/>
      <c r="Y261" s="1"/>
    </row>
    <row r="262" spans="11:25" x14ac:dyDescent="0.25">
      <c r="K262" s="123" t="s">
        <v>371</v>
      </c>
      <c r="L262" s="126">
        <v>11367.878010095468</v>
      </c>
      <c r="M262" s="126">
        <v>10.217568253292129</v>
      </c>
      <c r="N262" s="126">
        <v>6525.3861946874031</v>
      </c>
      <c r="O262" s="126">
        <v>6.4440228736078202</v>
      </c>
      <c r="P262" s="123">
        <f t="shared" si="20"/>
        <v>4842.4918154080651</v>
      </c>
      <c r="Q262" s="123">
        <f t="shared" si="21"/>
        <v>3.7735453796843084</v>
      </c>
      <c r="R262" s="123">
        <f t="shared" si="18"/>
        <v>192983.4870557471</v>
      </c>
      <c r="S262" s="123">
        <f t="shared" si="19"/>
        <v>122355.07127746899</v>
      </c>
      <c r="T262" s="123">
        <f t="shared" si="22"/>
        <v>1</v>
      </c>
      <c r="U262" s="123">
        <f t="shared" si="23"/>
        <v>0</v>
      </c>
      <c r="V262" s="1"/>
      <c r="W262" s="25"/>
      <c r="X262" s="1"/>
      <c r="Y262" s="1"/>
    </row>
    <row r="263" spans="11:25" x14ac:dyDescent="0.25">
      <c r="K263" s="123" t="s">
        <v>372</v>
      </c>
      <c r="L263" s="126">
        <v>7275.987267211598</v>
      </c>
      <c r="M263" s="126">
        <v>6.2223945023772798</v>
      </c>
      <c r="N263" s="126">
        <v>7341.812870699745</v>
      </c>
      <c r="O263" s="126">
        <v>6.8392201436274167</v>
      </c>
      <c r="P263" s="123">
        <f t="shared" si="20"/>
        <v>-65.825603488146953</v>
      </c>
      <c r="Q263" s="123">
        <f t="shared" si="21"/>
        <v>-0.61682564125013695</v>
      </c>
      <c r="R263" s="123">
        <f t="shared" si="18"/>
        <v>117171.90278033398</v>
      </c>
      <c r="S263" s="123">
        <f t="shared" si="19"/>
        <v>129442.59000184858</v>
      </c>
      <c r="T263" s="123">
        <f t="shared" si="22"/>
        <v>0</v>
      </c>
      <c r="U263" s="123">
        <f t="shared" si="23"/>
        <v>1</v>
      </c>
      <c r="V263" s="1"/>
      <c r="W263" s="25"/>
      <c r="X263" s="1"/>
      <c r="Y263" s="1"/>
    </row>
    <row r="264" spans="11:25" x14ac:dyDescent="0.25">
      <c r="K264" s="123" t="s">
        <v>373</v>
      </c>
      <c r="L264" s="126">
        <v>7050.1613281611262</v>
      </c>
      <c r="M264" s="126">
        <v>7.0244414194106559</v>
      </c>
      <c r="N264" s="126">
        <v>6497.0430028288229</v>
      </c>
      <c r="O264" s="126">
        <v>7.082145122770191</v>
      </c>
      <c r="P264" s="123">
        <f t="shared" si="20"/>
        <v>553.11832533230336</v>
      </c>
      <c r="Q264" s="123">
        <f t="shared" si="21"/>
        <v>-5.7703703359535119E-2</v>
      </c>
      <c r="R264" s="123">
        <f t="shared" si="18"/>
        <v>133438.66706005199</v>
      </c>
      <c r="S264" s="123">
        <f t="shared" si="19"/>
        <v>135145.85945257501</v>
      </c>
      <c r="T264" s="123">
        <f t="shared" si="22"/>
        <v>0</v>
      </c>
      <c r="U264" s="123">
        <f t="shared" si="23"/>
        <v>1</v>
      </c>
      <c r="V264" s="1"/>
      <c r="W264" s="25"/>
      <c r="X264" s="1"/>
      <c r="Y264" s="1"/>
    </row>
    <row r="265" spans="11:25" x14ac:dyDescent="0.25">
      <c r="K265" s="123" t="s">
        <v>374</v>
      </c>
      <c r="L265" s="126">
        <v>9134.1831865623881</v>
      </c>
      <c r="M265" s="126">
        <v>7.9718650253621668</v>
      </c>
      <c r="N265" s="126">
        <v>6387.6459719061622</v>
      </c>
      <c r="O265" s="126">
        <v>5.8993387548086131</v>
      </c>
      <c r="P265" s="123">
        <f t="shared" si="20"/>
        <v>2746.5372146562258</v>
      </c>
      <c r="Q265" s="123">
        <f t="shared" si="21"/>
        <v>2.0725262705535537</v>
      </c>
      <c r="R265" s="123">
        <f t="shared" si="18"/>
        <v>150303.11732068096</v>
      </c>
      <c r="S265" s="123">
        <f t="shared" si="19"/>
        <v>111599.1291242661</v>
      </c>
      <c r="T265" s="123">
        <f t="shared" si="22"/>
        <v>1</v>
      </c>
      <c r="U265" s="123">
        <f t="shared" si="23"/>
        <v>0</v>
      </c>
      <c r="V265" s="1"/>
      <c r="W265" s="25"/>
      <c r="X265" s="1"/>
      <c r="Y265" s="1"/>
    </row>
    <row r="266" spans="11:25" x14ac:dyDescent="0.25">
      <c r="K266" s="123" t="s">
        <v>375</v>
      </c>
      <c r="L266" s="126">
        <v>7445.895440839704</v>
      </c>
      <c r="M266" s="126">
        <v>6.9259056640440209</v>
      </c>
      <c r="N266" s="126">
        <v>7371.9331858629857</v>
      </c>
      <c r="O266" s="126">
        <v>6.8456952761289278</v>
      </c>
      <c r="P266" s="123">
        <f t="shared" si="20"/>
        <v>73.962254976718214</v>
      </c>
      <c r="Q266" s="123">
        <f t="shared" si="21"/>
        <v>8.0210387915093051E-2</v>
      </c>
      <c r="R266" s="123">
        <f t="shared" si="18"/>
        <v>131072.21784004071</v>
      </c>
      <c r="S266" s="123">
        <f t="shared" si="19"/>
        <v>129541.97233671558</v>
      </c>
      <c r="T266" s="123">
        <f t="shared" si="22"/>
        <v>1</v>
      </c>
      <c r="U266" s="123">
        <f t="shared" si="23"/>
        <v>0</v>
      </c>
      <c r="V266" s="1"/>
      <c r="W266" s="25"/>
      <c r="X266" s="1"/>
      <c r="Y266" s="1"/>
    </row>
    <row r="267" spans="11:25" x14ac:dyDescent="0.25">
      <c r="K267" s="123" t="s">
        <v>376</v>
      </c>
      <c r="L267" s="126">
        <v>6110.9529116818585</v>
      </c>
      <c r="M267" s="126">
        <v>5.4686382111976393</v>
      </c>
      <c r="N267" s="126">
        <v>6030.5558675161428</v>
      </c>
      <c r="O267" s="126">
        <v>5.8303872533519669</v>
      </c>
      <c r="P267" s="123">
        <f t="shared" si="20"/>
        <v>80.39704416571567</v>
      </c>
      <c r="Q267" s="123">
        <f t="shared" si="21"/>
        <v>-0.36174904215432768</v>
      </c>
      <c r="R267" s="123">
        <f t="shared" si="18"/>
        <v>103261.81131227093</v>
      </c>
      <c r="S267" s="123">
        <f t="shared" si="19"/>
        <v>110577.1891995232</v>
      </c>
      <c r="T267" s="123">
        <f t="shared" si="22"/>
        <v>0</v>
      </c>
      <c r="U267" s="123">
        <f t="shared" si="23"/>
        <v>1</v>
      </c>
      <c r="V267" s="1"/>
      <c r="W267" s="25"/>
      <c r="X267" s="1"/>
      <c r="Y267" s="1"/>
    </row>
    <row r="268" spans="11:25" x14ac:dyDescent="0.25">
      <c r="K268" s="123" t="s">
        <v>377</v>
      </c>
      <c r="L268" s="126">
        <v>5858.4087183980901</v>
      </c>
      <c r="M268" s="126">
        <v>5.8856213173464376</v>
      </c>
      <c r="N268" s="126">
        <v>5169.7210704386252</v>
      </c>
      <c r="O268" s="126">
        <v>5.3256308983381571</v>
      </c>
      <c r="P268" s="123">
        <f t="shared" si="20"/>
        <v>688.68764795946481</v>
      </c>
      <c r="Q268" s="123">
        <f t="shared" si="21"/>
        <v>0.5599904190082805</v>
      </c>
      <c r="R268" s="123">
        <f t="shared" si="18"/>
        <v>111854.01762853067</v>
      </c>
      <c r="S268" s="123">
        <f t="shared" si="19"/>
        <v>101342.89689632451</v>
      </c>
      <c r="T268" s="123">
        <f t="shared" si="22"/>
        <v>1</v>
      </c>
      <c r="U268" s="123">
        <f t="shared" si="23"/>
        <v>0</v>
      </c>
      <c r="V268" s="1"/>
      <c r="W268" s="25"/>
      <c r="X268" s="1"/>
      <c r="Y268" s="1"/>
    </row>
    <row r="269" spans="11:25" x14ac:dyDescent="0.25">
      <c r="K269" s="123" t="s">
        <v>378</v>
      </c>
      <c r="L269" s="126">
        <v>6949.1124346261968</v>
      </c>
      <c r="M269" s="126">
        <v>6.524345864019315</v>
      </c>
      <c r="N269" s="126">
        <v>6240.7651721509392</v>
      </c>
      <c r="O269" s="126">
        <v>6.5139115730477801</v>
      </c>
      <c r="P269" s="123">
        <f t="shared" si="20"/>
        <v>708.34726247525759</v>
      </c>
      <c r="Q269" s="123">
        <f t="shared" si="21"/>
        <v>1.0434290971534921E-2</v>
      </c>
      <c r="R269" s="123">
        <f t="shared" si="18"/>
        <v>123537.80484576011</v>
      </c>
      <c r="S269" s="123">
        <f t="shared" si="19"/>
        <v>124037.46628880466</v>
      </c>
      <c r="T269" s="123">
        <f t="shared" si="22"/>
        <v>0</v>
      </c>
      <c r="U269" s="123">
        <f t="shared" si="23"/>
        <v>1</v>
      </c>
      <c r="V269" s="1"/>
      <c r="W269" s="25"/>
      <c r="X269" s="1"/>
      <c r="Y269" s="1"/>
    </row>
    <row r="270" spans="11:25" x14ac:dyDescent="0.25">
      <c r="K270" s="123" t="s">
        <v>379</v>
      </c>
      <c r="L270" s="126">
        <v>10946.662074489621</v>
      </c>
      <c r="M270" s="126">
        <v>9.9436333466726872</v>
      </c>
      <c r="N270" s="126">
        <v>7467.8697008340341</v>
      </c>
      <c r="O270" s="126">
        <v>6.8423849120163904</v>
      </c>
      <c r="P270" s="123">
        <f t="shared" si="20"/>
        <v>3478.7923736555867</v>
      </c>
      <c r="Q270" s="123">
        <f t="shared" si="21"/>
        <v>3.1012484346562967</v>
      </c>
      <c r="R270" s="123">
        <f t="shared" si="18"/>
        <v>187926.00485896412</v>
      </c>
      <c r="S270" s="123">
        <f t="shared" si="19"/>
        <v>129379.82853949376</v>
      </c>
      <c r="T270" s="123">
        <f t="shared" si="22"/>
        <v>1</v>
      </c>
      <c r="U270" s="123">
        <f t="shared" si="23"/>
        <v>0</v>
      </c>
      <c r="V270" s="1"/>
      <c r="W270" s="25"/>
      <c r="X270" s="1"/>
      <c r="Y270" s="1"/>
    </row>
    <row r="271" spans="11:25" x14ac:dyDescent="0.25">
      <c r="K271" s="123" t="s">
        <v>380</v>
      </c>
      <c r="L271" s="126">
        <v>5931.5036860164118</v>
      </c>
      <c r="M271" s="126">
        <v>4.8568719769553645</v>
      </c>
      <c r="N271" s="126">
        <v>6877.7371179264037</v>
      </c>
      <c r="O271" s="126">
        <v>6.0572649015894537</v>
      </c>
      <c r="P271" s="123">
        <f t="shared" si="20"/>
        <v>-946.23343190999185</v>
      </c>
      <c r="Q271" s="123">
        <f t="shared" si="21"/>
        <v>-1.2003929246340892</v>
      </c>
      <c r="R271" s="123">
        <f t="shared" si="18"/>
        <v>91205.935853090879</v>
      </c>
      <c r="S271" s="123">
        <f t="shared" si="19"/>
        <v>114267.56091386268</v>
      </c>
      <c r="T271" s="123">
        <f t="shared" si="22"/>
        <v>0</v>
      </c>
      <c r="U271" s="123">
        <f t="shared" si="23"/>
        <v>1</v>
      </c>
      <c r="V271" s="1"/>
      <c r="W271" s="25"/>
      <c r="X271" s="1"/>
      <c r="Y271" s="1"/>
    </row>
    <row r="272" spans="11:25" x14ac:dyDescent="0.25">
      <c r="K272" s="123" t="s">
        <v>381</v>
      </c>
      <c r="L272" s="126">
        <v>5801.9031607574625</v>
      </c>
      <c r="M272" s="126">
        <v>5.3212883755982787</v>
      </c>
      <c r="N272" s="126">
        <v>8369.5117211571414</v>
      </c>
      <c r="O272" s="126">
        <v>8.7512335993418979</v>
      </c>
      <c r="P272" s="123">
        <f t="shared" si="20"/>
        <v>-2567.6085603996789</v>
      </c>
      <c r="Q272" s="123">
        <f t="shared" si="21"/>
        <v>-3.4299452237436192</v>
      </c>
      <c r="R272" s="123">
        <f t="shared" si="18"/>
        <v>100623.86435120812</v>
      </c>
      <c r="S272" s="123">
        <f t="shared" si="19"/>
        <v>166655.16026568081</v>
      </c>
      <c r="T272" s="123">
        <f t="shared" si="22"/>
        <v>0</v>
      </c>
      <c r="U272" s="123">
        <f t="shared" si="23"/>
        <v>1</v>
      </c>
      <c r="V272" s="1"/>
      <c r="W272" s="25"/>
      <c r="X272" s="1"/>
      <c r="Y272" s="1"/>
    </row>
    <row r="273" spans="11:25" x14ac:dyDescent="0.25">
      <c r="K273" s="123" t="s">
        <v>382</v>
      </c>
      <c r="L273" s="126">
        <v>11762.005315275004</v>
      </c>
      <c r="M273" s="126">
        <v>10.821326413645936</v>
      </c>
      <c r="N273" s="126">
        <v>5686.988307229185</v>
      </c>
      <c r="O273" s="126">
        <v>5.7246379772053171</v>
      </c>
      <c r="P273" s="123">
        <f t="shared" si="20"/>
        <v>6075.0170080458192</v>
      </c>
      <c r="Q273" s="123">
        <f t="shared" si="21"/>
        <v>5.0966884364406191</v>
      </c>
      <c r="R273" s="123">
        <f t="shared" ref="R273:R336" si="24">M273*willingness_to_pay-L273</f>
        <v>204664.52295764373</v>
      </c>
      <c r="S273" s="123">
        <f t="shared" ref="S273:S336" si="25">O273*willingness_to_pay-N273</f>
        <v>108805.77123687716</v>
      </c>
      <c r="T273" s="123">
        <f t="shared" si="22"/>
        <v>1</v>
      </c>
      <c r="U273" s="123">
        <f t="shared" si="23"/>
        <v>0</v>
      </c>
      <c r="V273" s="1"/>
      <c r="W273" s="25"/>
      <c r="X273" s="1"/>
      <c r="Y273" s="1"/>
    </row>
    <row r="274" spans="11:25" x14ac:dyDescent="0.25">
      <c r="K274" s="123" t="s">
        <v>383</v>
      </c>
      <c r="L274" s="126">
        <v>4873.9755547226605</v>
      </c>
      <c r="M274" s="126">
        <v>5.7479127984524485</v>
      </c>
      <c r="N274" s="126">
        <v>4392.1833787094429</v>
      </c>
      <c r="O274" s="126">
        <v>5.8173555039105462</v>
      </c>
      <c r="P274" s="123">
        <f t="shared" ref="P274:P337" si="26">L274-N274</f>
        <v>481.79217601321761</v>
      </c>
      <c r="Q274" s="123">
        <f t="shared" ref="Q274:Q337" si="27">M274-O274</f>
        <v>-6.944270545809772E-2</v>
      </c>
      <c r="R274" s="123">
        <f t="shared" si="24"/>
        <v>110084.28041432631</v>
      </c>
      <c r="S274" s="123">
        <f t="shared" si="25"/>
        <v>111954.92669950149</v>
      </c>
      <c r="T274" s="123">
        <f t="shared" ref="T274:T337" si="28">IF(L274="", "",IF(R274=MAX(R274:S274),1,0))</f>
        <v>0</v>
      </c>
      <c r="U274" s="123">
        <f t="shared" ref="U274:U337" si="29">IF(N274="", "", IF(S274=MAX(R274:S274),1,0))</f>
        <v>1</v>
      </c>
      <c r="V274" s="1"/>
      <c r="W274" s="25"/>
      <c r="X274" s="1"/>
      <c r="Y274" s="1"/>
    </row>
    <row r="275" spans="11:25" x14ac:dyDescent="0.25">
      <c r="K275" s="123" t="s">
        <v>384</v>
      </c>
      <c r="L275" s="126">
        <v>8178.7292630398933</v>
      </c>
      <c r="M275" s="126">
        <v>8.1905093436574958</v>
      </c>
      <c r="N275" s="126">
        <v>6343.4608753893044</v>
      </c>
      <c r="O275" s="126">
        <v>6.2445101291659091</v>
      </c>
      <c r="P275" s="123">
        <f t="shared" si="26"/>
        <v>1835.2683876505889</v>
      </c>
      <c r="Q275" s="123">
        <f t="shared" si="27"/>
        <v>1.9459992144915867</v>
      </c>
      <c r="R275" s="123">
        <f t="shared" si="24"/>
        <v>155631.45761011002</v>
      </c>
      <c r="S275" s="123">
        <f t="shared" si="25"/>
        <v>118546.74170792889</v>
      </c>
      <c r="T275" s="123">
        <f t="shared" si="28"/>
        <v>1</v>
      </c>
      <c r="U275" s="123">
        <f t="shared" si="29"/>
        <v>0</v>
      </c>
      <c r="V275" s="1"/>
      <c r="W275" s="25"/>
      <c r="X275" s="1"/>
      <c r="Y275" s="1"/>
    </row>
    <row r="276" spans="11:25" x14ac:dyDescent="0.25">
      <c r="K276" s="123" t="s">
        <v>385</v>
      </c>
      <c r="L276" s="126">
        <v>9217.9076608612959</v>
      </c>
      <c r="M276" s="126">
        <v>9.6160663603168999</v>
      </c>
      <c r="N276" s="126">
        <v>4582.3520548938968</v>
      </c>
      <c r="O276" s="126">
        <v>5.2336643622949985</v>
      </c>
      <c r="P276" s="123">
        <f t="shared" si="26"/>
        <v>4635.5556059673991</v>
      </c>
      <c r="Q276" s="123">
        <f t="shared" si="27"/>
        <v>4.3824019980219013</v>
      </c>
      <c r="R276" s="123">
        <f t="shared" si="24"/>
        <v>183103.4195454767</v>
      </c>
      <c r="S276" s="123">
        <f t="shared" si="25"/>
        <v>100090.93519100608</v>
      </c>
      <c r="T276" s="123">
        <f t="shared" si="28"/>
        <v>1</v>
      </c>
      <c r="U276" s="123">
        <f t="shared" si="29"/>
        <v>0</v>
      </c>
      <c r="V276" s="1"/>
      <c r="W276" s="25"/>
      <c r="X276" s="1"/>
      <c r="Y276" s="1"/>
    </row>
    <row r="277" spans="11:25" x14ac:dyDescent="0.25">
      <c r="K277" s="123" t="s">
        <v>386</v>
      </c>
      <c r="L277" s="126">
        <v>7232.3197148581057</v>
      </c>
      <c r="M277" s="126">
        <v>7.0878284741728326</v>
      </c>
      <c r="N277" s="126">
        <v>5915.0055403195338</v>
      </c>
      <c r="O277" s="126">
        <v>6.4052108098513605</v>
      </c>
      <c r="P277" s="123">
        <f t="shared" si="26"/>
        <v>1317.3141745385719</v>
      </c>
      <c r="Q277" s="123">
        <f t="shared" si="27"/>
        <v>0.68261766432147208</v>
      </c>
      <c r="R277" s="123">
        <f t="shared" si="24"/>
        <v>134524.24976859853</v>
      </c>
      <c r="S277" s="123">
        <f t="shared" si="25"/>
        <v>122189.21065670768</v>
      </c>
      <c r="T277" s="123">
        <f t="shared" si="28"/>
        <v>1</v>
      </c>
      <c r="U277" s="123">
        <f t="shared" si="29"/>
        <v>0</v>
      </c>
      <c r="V277" s="1"/>
      <c r="W277" s="25"/>
      <c r="X277" s="1"/>
      <c r="Y277" s="1"/>
    </row>
    <row r="278" spans="11:25" x14ac:dyDescent="0.25">
      <c r="K278" s="123" t="s">
        <v>387</v>
      </c>
      <c r="L278" s="126">
        <v>9827.8259896343552</v>
      </c>
      <c r="M278" s="126">
        <v>9.7837187945306763</v>
      </c>
      <c r="N278" s="126">
        <v>4682.9104581797637</v>
      </c>
      <c r="O278" s="126">
        <v>5.3020710029191287</v>
      </c>
      <c r="P278" s="123">
        <f t="shared" si="26"/>
        <v>5144.9155314545915</v>
      </c>
      <c r="Q278" s="123">
        <f t="shared" si="27"/>
        <v>4.4816477916115476</v>
      </c>
      <c r="R278" s="123">
        <f t="shared" si="24"/>
        <v>185846.54990097918</v>
      </c>
      <c r="S278" s="123">
        <f t="shared" si="25"/>
        <v>101358.50960020281</v>
      </c>
      <c r="T278" s="123">
        <f t="shared" si="28"/>
        <v>1</v>
      </c>
      <c r="U278" s="123">
        <f t="shared" si="29"/>
        <v>0</v>
      </c>
      <c r="V278" s="1"/>
      <c r="W278" s="25"/>
      <c r="X278" s="1"/>
      <c r="Y278" s="1"/>
    </row>
    <row r="279" spans="11:25" x14ac:dyDescent="0.25">
      <c r="K279" s="123" t="s">
        <v>388</v>
      </c>
      <c r="L279" s="126">
        <v>7947.4380441841095</v>
      </c>
      <c r="M279" s="126">
        <v>8.7913588566678751</v>
      </c>
      <c r="N279" s="126">
        <v>5287.5629691872391</v>
      </c>
      <c r="O279" s="126">
        <v>6.281426751433969</v>
      </c>
      <c r="P279" s="123">
        <f t="shared" si="26"/>
        <v>2659.8750749968704</v>
      </c>
      <c r="Q279" s="123">
        <f t="shared" si="27"/>
        <v>2.5099321052339061</v>
      </c>
      <c r="R279" s="123">
        <f t="shared" si="24"/>
        <v>167879.73908917338</v>
      </c>
      <c r="S279" s="123">
        <f t="shared" si="25"/>
        <v>120340.97205949214</v>
      </c>
      <c r="T279" s="123">
        <f t="shared" si="28"/>
        <v>1</v>
      </c>
      <c r="U279" s="123">
        <f t="shared" si="29"/>
        <v>0</v>
      </c>
      <c r="V279" s="1"/>
      <c r="W279" s="25"/>
      <c r="X279" s="1"/>
      <c r="Y279" s="1"/>
    </row>
    <row r="280" spans="11:25" x14ac:dyDescent="0.25">
      <c r="K280" s="123" t="s">
        <v>389</v>
      </c>
      <c r="L280" s="126">
        <v>9693.523326983599</v>
      </c>
      <c r="M280" s="126">
        <v>8.2541936875459569</v>
      </c>
      <c r="N280" s="126">
        <v>7623.1776055882219</v>
      </c>
      <c r="O280" s="126">
        <v>7.0807810551368338</v>
      </c>
      <c r="P280" s="123">
        <f t="shared" si="26"/>
        <v>2070.345721395377</v>
      </c>
      <c r="Q280" s="123">
        <f t="shared" si="27"/>
        <v>1.1734126324091232</v>
      </c>
      <c r="R280" s="123">
        <f t="shared" si="24"/>
        <v>155390.35042393554</v>
      </c>
      <c r="S280" s="123">
        <f t="shared" si="25"/>
        <v>133992.44349714846</v>
      </c>
      <c r="T280" s="123">
        <f t="shared" si="28"/>
        <v>1</v>
      </c>
      <c r="U280" s="123">
        <f t="shared" si="29"/>
        <v>0</v>
      </c>
      <c r="V280" s="1"/>
      <c r="W280" s="25"/>
      <c r="X280" s="1"/>
      <c r="Y280" s="1"/>
    </row>
    <row r="281" spans="11:25" x14ac:dyDescent="0.25">
      <c r="K281" s="123" t="s">
        <v>390</v>
      </c>
      <c r="L281" s="126">
        <v>4376.015594302813</v>
      </c>
      <c r="M281" s="126">
        <v>4.8624177994753062</v>
      </c>
      <c r="N281" s="126">
        <v>5292.4119562303422</v>
      </c>
      <c r="O281" s="126">
        <v>6.2530731866390115</v>
      </c>
      <c r="P281" s="123">
        <f t="shared" si="26"/>
        <v>-916.39636192752914</v>
      </c>
      <c r="Q281" s="123">
        <f t="shared" si="27"/>
        <v>-1.3906553871637053</v>
      </c>
      <c r="R281" s="123">
        <f t="shared" si="24"/>
        <v>92872.340395203311</v>
      </c>
      <c r="S281" s="123">
        <f t="shared" si="25"/>
        <v>119769.0517765499</v>
      </c>
      <c r="T281" s="123">
        <f t="shared" si="28"/>
        <v>0</v>
      </c>
      <c r="U281" s="123">
        <f t="shared" si="29"/>
        <v>1</v>
      </c>
      <c r="V281" s="1"/>
      <c r="W281" s="25"/>
      <c r="X281" s="1"/>
      <c r="Y281" s="1"/>
    </row>
    <row r="282" spans="11:25" x14ac:dyDescent="0.25">
      <c r="K282" s="123" t="s">
        <v>391</v>
      </c>
      <c r="L282" s="126">
        <v>8910.1451125335352</v>
      </c>
      <c r="M282" s="126">
        <v>8.1835403487063285</v>
      </c>
      <c r="N282" s="126">
        <v>8995.7816989190742</v>
      </c>
      <c r="O282" s="126">
        <v>9.7868803447345858</v>
      </c>
      <c r="P282" s="123">
        <f t="shared" si="26"/>
        <v>-85.636586385538976</v>
      </c>
      <c r="Q282" s="123">
        <f t="shared" si="27"/>
        <v>-1.6033399960282573</v>
      </c>
      <c r="R282" s="123">
        <f t="shared" si="24"/>
        <v>154760.66186159305</v>
      </c>
      <c r="S282" s="123">
        <f t="shared" si="25"/>
        <v>186741.82519577263</v>
      </c>
      <c r="T282" s="123">
        <f t="shared" si="28"/>
        <v>0</v>
      </c>
      <c r="U282" s="123">
        <f t="shared" si="29"/>
        <v>1</v>
      </c>
      <c r="V282" s="1"/>
      <c r="W282" s="25"/>
      <c r="X282" s="1"/>
      <c r="Y282" s="1"/>
    </row>
    <row r="283" spans="11:25" x14ac:dyDescent="0.25">
      <c r="K283" s="123" t="s">
        <v>392</v>
      </c>
      <c r="L283" s="126">
        <v>6512.8063270203893</v>
      </c>
      <c r="M283" s="126">
        <v>7.7578874396194903</v>
      </c>
      <c r="N283" s="126">
        <v>6210.9639788451614</v>
      </c>
      <c r="O283" s="126">
        <v>7.8295374084223104</v>
      </c>
      <c r="P283" s="123">
        <f t="shared" si="26"/>
        <v>301.84234817522793</v>
      </c>
      <c r="Q283" s="123">
        <f t="shared" si="27"/>
        <v>-7.1649968802820041E-2</v>
      </c>
      <c r="R283" s="123">
        <f t="shared" si="24"/>
        <v>148644.94246536942</v>
      </c>
      <c r="S283" s="123">
        <f t="shared" si="25"/>
        <v>150379.78418960105</v>
      </c>
      <c r="T283" s="123">
        <f t="shared" si="28"/>
        <v>0</v>
      </c>
      <c r="U283" s="123">
        <f t="shared" si="29"/>
        <v>1</v>
      </c>
      <c r="V283" s="1"/>
      <c r="W283" s="25"/>
      <c r="X283" s="1"/>
      <c r="Y283" s="1"/>
    </row>
    <row r="284" spans="11:25" x14ac:dyDescent="0.25">
      <c r="K284" s="123" t="s">
        <v>393</v>
      </c>
      <c r="L284" s="126">
        <v>6700.8138961280265</v>
      </c>
      <c r="M284" s="126">
        <v>6.3362187456792292</v>
      </c>
      <c r="N284" s="126">
        <v>4866.0054470663863</v>
      </c>
      <c r="O284" s="126">
        <v>4.668119496282606</v>
      </c>
      <c r="P284" s="123">
        <f t="shared" si="26"/>
        <v>1834.8084490616402</v>
      </c>
      <c r="Q284" s="123">
        <f t="shared" si="27"/>
        <v>1.6680992493966231</v>
      </c>
      <c r="R284" s="123">
        <f t="shared" si="24"/>
        <v>120023.56101745657</v>
      </c>
      <c r="S284" s="123">
        <f t="shared" si="25"/>
        <v>88496.384478585736</v>
      </c>
      <c r="T284" s="123">
        <f t="shared" si="28"/>
        <v>1</v>
      </c>
      <c r="U284" s="123">
        <f t="shared" si="29"/>
        <v>0</v>
      </c>
      <c r="V284" s="1"/>
      <c r="W284" s="25"/>
    </row>
    <row r="285" spans="11:25" x14ac:dyDescent="0.25">
      <c r="K285" s="123" t="s">
        <v>394</v>
      </c>
      <c r="L285" s="126">
        <v>5370.127512754264</v>
      </c>
      <c r="M285" s="126">
        <v>5.3923169464439686</v>
      </c>
      <c r="N285" s="126">
        <v>7541.3469088877682</v>
      </c>
      <c r="O285" s="126">
        <v>8.2777712745811929</v>
      </c>
      <c r="P285" s="123">
        <f t="shared" si="26"/>
        <v>-2171.2193961335042</v>
      </c>
      <c r="Q285" s="123">
        <f t="shared" si="27"/>
        <v>-2.8854543281372242</v>
      </c>
      <c r="R285" s="123">
        <f t="shared" si="24"/>
        <v>102476.21141612511</v>
      </c>
      <c r="S285" s="123">
        <f t="shared" si="25"/>
        <v>158014.07858273611</v>
      </c>
      <c r="T285" s="123">
        <f t="shared" si="28"/>
        <v>0</v>
      </c>
      <c r="U285" s="123">
        <f t="shared" si="29"/>
        <v>1</v>
      </c>
      <c r="V285" s="1"/>
      <c r="W285" s="25"/>
    </row>
    <row r="286" spans="11:25" x14ac:dyDescent="0.25">
      <c r="K286" s="123" t="s">
        <v>395</v>
      </c>
      <c r="L286" s="126">
        <v>7804.2768085091302</v>
      </c>
      <c r="M286" s="126">
        <v>7.7125256482101667</v>
      </c>
      <c r="N286" s="126">
        <v>8472.5144330761868</v>
      </c>
      <c r="O286" s="126">
        <v>9.5205909623986944</v>
      </c>
      <c r="P286" s="123">
        <f t="shared" si="26"/>
        <v>-668.23762456705663</v>
      </c>
      <c r="Q286" s="123">
        <f t="shared" si="27"/>
        <v>-1.8080653141885277</v>
      </c>
      <c r="R286" s="123">
        <f t="shared" si="24"/>
        <v>146446.23615569421</v>
      </c>
      <c r="S286" s="123">
        <f t="shared" si="25"/>
        <v>181939.30481489768</v>
      </c>
      <c r="T286" s="123">
        <f t="shared" si="28"/>
        <v>0</v>
      </c>
      <c r="U286" s="123">
        <f t="shared" si="29"/>
        <v>1</v>
      </c>
      <c r="V286" s="1"/>
      <c r="W286" s="25"/>
    </row>
    <row r="287" spans="11:25" x14ac:dyDescent="0.25">
      <c r="K287" s="123" t="s">
        <v>396</v>
      </c>
      <c r="L287" s="126">
        <v>5132.4633084856032</v>
      </c>
      <c r="M287" s="126">
        <v>4.600118200118037</v>
      </c>
      <c r="N287" s="126">
        <v>8031.5920477719928</v>
      </c>
      <c r="O287" s="126">
        <v>7.9937225105992589</v>
      </c>
      <c r="P287" s="123">
        <f t="shared" si="26"/>
        <v>-2899.1287392863896</v>
      </c>
      <c r="Q287" s="123">
        <f t="shared" si="27"/>
        <v>-3.3936043104812219</v>
      </c>
      <c r="R287" s="123">
        <f t="shared" si="24"/>
        <v>86869.900693875141</v>
      </c>
      <c r="S287" s="123">
        <f t="shared" si="25"/>
        <v>151842.85816421319</v>
      </c>
      <c r="T287" s="123">
        <f t="shared" si="28"/>
        <v>0</v>
      </c>
      <c r="U287" s="123">
        <f t="shared" si="29"/>
        <v>1</v>
      </c>
      <c r="V287" s="1"/>
      <c r="W287" s="25"/>
    </row>
    <row r="288" spans="11:25" x14ac:dyDescent="0.25">
      <c r="K288" s="123" t="s">
        <v>397</v>
      </c>
      <c r="L288" s="126">
        <v>7776.5667156645131</v>
      </c>
      <c r="M288" s="126">
        <v>7.8796547555626315</v>
      </c>
      <c r="N288" s="126">
        <v>6401.0742669801202</v>
      </c>
      <c r="O288" s="126">
        <v>6.9196678893133106</v>
      </c>
      <c r="P288" s="123">
        <f t="shared" si="26"/>
        <v>1375.4924486843929</v>
      </c>
      <c r="Q288" s="123">
        <f t="shared" si="27"/>
        <v>0.95998686624932095</v>
      </c>
      <c r="R288" s="123">
        <f t="shared" si="24"/>
        <v>149816.5283955881</v>
      </c>
      <c r="S288" s="123">
        <f t="shared" si="25"/>
        <v>131992.28351928611</v>
      </c>
      <c r="T288" s="123">
        <f t="shared" si="28"/>
        <v>1</v>
      </c>
      <c r="U288" s="123">
        <f t="shared" si="29"/>
        <v>0</v>
      </c>
      <c r="V288" s="1"/>
      <c r="W288" s="25"/>
    </row>
    <row r="289" spans="11:23" x14ac:dyDescent="0.25">
      <c r="K289" s="123" t="s">
        <v>398</v>
      </c>
      <c r="L289" s="126">
        <v>8732.0070269720254</v>
      </c>
      <c r="M289" s="126">
        <v>8.1723667126487811</v>
      </c>
      <c r="N289" s="126">
        <v>6876.2718802449135</v>
      </c>
      <c r="O289" s="126">
        <v>6.9584529010153844</v>
      </c>
      <c r="P289" s="123">
        <f t="shared" si="26"/>
        <v>1855.7351467271119</v>
      </c>
      <c r="Q289" s="123">
        <f t="shared" si="27"/>
        <v>1.2139138116333967</v>
      </c>
      <c r="R289" s="123">
        <f t="shared" si="24"/>
        <v>154715.3272260036</v>
      </c>
      <c r="S289" s="123">
        <f t="shared" si="25"/>
        <v>132292.78614006276</v>
      </c>
      <c r="T289" s="123">
        <f t="shared" si="28"/>
        <v>1</v>
      </c>
      <c r="U289" s="123">
        <f t="shared" si="29"/>
        <v>0</v>
      </c>
      <c r="V289" s="1"/>
      <c r="W289" s="25"/>
    </row>
    <row r="290" spans="11:23" x14ac:dyDescent="0.25">
      <c r="K290" s="123" t="s">
        <v>399</v>
      </c>
      <c r="L290" s="126">
        <v>9585.0146901303215</v>
      </c>
      <c r="M290" s="126">
        <v>10.09870169602949</v>
      </c>
      <c r="N290" s="126">
        <v>5566.0790210247342</v>
      </c>
      <c r="O290" s="126">
        <v>6.1307658281468376</v>
      </c>
      <c r="P290" s="123">
        <f t="shared" si="26"/>
        <v>4018.9356691055873</v>
      </c>
      <c r="Q290" s="123">
        <f t="shared" si="27"/>
        <v>3.9679358678826526</v>
      </c>
      <c r="R290" s="123">
        <f t="shared" si="24"/>
        <v>192389.0192304595</v>
      </c>
      <c r="S290" s="123">
        <f t="shared" si="25"/>
        <v>117049.23754191202</v>
      </c>
      <c r="T290" s="123">
        <f t="shared" si="28"/>
        <v>1</v>
      </c>
      <c r="U290" s="123">
        <f t="shared" si="29"/>
        <v>0</v>
      </c>
      <c r="V290" s="1"/>
      <c r="W290" s="25"/>
    </row>
    <row r="291" spans="11:23" x14ac:dyDescent="0.25">
      <c r="K291" s="123" t="s">
        <v>400</v>
      </c>
      <c r="L291" s="126">
        <v>5701.4968985576297</v>
      </c>
      <c r="M291" s="126">
        <v>4.8753167485832671</v>
      </c>
      <c r="N291" s="126">
        <v>7493.1271025866899</v>
      </c>
      <c r="O291" s="126">
        <v>7.0254332897028258</v>
      </c>
      <c r="P291" s="123">
        <f t="shared" si="26"/>
        <v>-1791.6302040290602</v>
      </c>
      <c r="Q291" s="123">
        <f t="shared" si="27"/>
        <v>-2.1501165411195586</v>
      </c>
      <c r="R291" s="123">
        <f t="shared" si="24"/>
        <v>91804.83807310772</v>
      </c>
      <c r="S291" s="123">
        <f t="shared" si="25"/>
        <v>133015.53869146982</v>
      </c>
      <c r="T291" s="123">
        <f t="shared" si="28"/>
        <v>0</v>
      </c>
      <c r="U291" s="123">
        <f t="shared" si="29"/>
        <v>1</v>
      </c>
      <c r="V291" s="1"/>
      <c r="W291" s="25"/>
    </row>
    <row r="292" spans="11:23" x14ac:dyDescent="0.25">
      <c r="K292" s="123" t="s">
        <v>401</v>
      </c>
      <c r="L292" s="126">
        <v>7055.7259865815922</v>
      </c>
      <c r="M292" s="126">
        <v>6.0472295806940108</v>
      </c>
      <c r="N292" s="126">
        <v>7800.7299583525246</v>
      </c>
      <c r="O292" s="126">
        <v>7.1973920009757446</v>
      </c>
      <c r="P292" s="123">
        <f t="shared" si="26"/>
        <v>-745.00397177093237</v>
      </c>
      <c r="Q292" s="123">
        <f t="shared" si="27"/>
        <v>-1.1501624202817338</v>
      </c>
      <c r="R292" s="123">
        <f t="shared" si="24"/>
        <v>113888.86562729863</v>
      </c>
      <c r="S292" s="123">
        <f t="shared" si="25"/>
        <v>136147.11006116238</v>
      </c>
      <c r="T292" s="123">
        <f t="shared" si="28"/>
        <v>0</v>
      </c>
      <c r="U292" s="123">
        <f t="shared" si="29"/>
        <v>1</v>
      </c>
      <c r="V292" s="1"/>
      <c r="W292" s="25"/>
    </row>
    <row r="293" spans="11:23" x14ac:dyDescent="0.25">
      <c r="K293" s="123" t="s">
        <v>402</v>
      </c>
      <c r="L293" s="126">
        <v>10696.169269556256</v>
      </c>
      <c r="M293" s="126">
        <v>9.3188924289983781</v>
      </c>
      <c r="N293" s="126">
        <v>8536.6532920370446</v>
      </c>
      <c r="O293" s="126">
        <v>7.7388600437038839</v>
      </c>
      <c r="P293" s="123">
        <f t="shared" si="26"/>
        <v>2159.5159775192114</v>
      </c>
      <c r="Q293" s="123">
        <f t="shared" si="27"/>
        <v>1.5800323852944942</v>
      </c>
      <c r="R293" s="123">
        <f t="shared" si="24"/>
        <v>175681.6793104113</v>
      </c>
      <c r="S293" s="123">
        <f t="shared" si="25"/>
        <v>146240.54758204063</v>
      </c>
      <c r="T293" s="123">
        <f t="shared" si="28"/>
        <v>1</v>
      </c>
      <c r="U293" s="123">
        <f t="shared" si="29"/>
        <v>0</v>
      </c>
      <c r="V293" s="1"/>
      <c r="W293" s="25"/>
    </row>
    <row r="294" spans="11:23" x14ac:dyDescent="0.25">
      <c r="K294" s="123" t="s">
        <v>403</v>
      </c>
      <c r="L294" s="126">
        <v>9437.8979963711463</v>
      </c>
      <c r="M294" s="126">
        <v>8.7908144089512259</v>
      </c>
      <c r="N294" s="126">
        <v>8283.1516880486288</v>
      </c>
      <c r="O294" s="126">
        <v>8.3458915810664784</v>
      </c>
      <c r="P294" s="123">
        <f t="shared" si="26"/>
        <v>1154.7463083225175</v>
      </c>
      <c r="Q294" s="123">
        <f t="shared" si="27"/>
        <v>0.44492282788474746</v>
      </c>
      <c r="R294" s="123">
        <f t="shared" si="24"/>
        <v>166378.39018265338</v>
      </c>
      <c r="S294" s="123">
        <f t="shared" si="25"/>
        <v>158634.67993328095</v>
      </c>
      <c r="T294" s="123">
        <f t="shared" si="28"/>
        <v>1</v>
      </c>
      <c r="U294" s="123">
        <f t="shared" si="29"/>
        <v>0</v>
      </c>
      <c r="V294" s="1"/>
      <c r="W294" s="25"/>
    </row>
    <row r="295" spans="11:23" x14ac:dyDescent="0.25">
      <c r="K295" s="123" t="s">
        <v>404</v>
      </c>
      <c r="L295" s="126">
        <v>7170.3804226762613</v>
      </c>
      <c r="M295" s="126">
        <v>7.1028978913841874</v>
      </c>
      <c r="N295" s="126">
        <v>6394.3736752806717</v>
      </c>
      <c r="O295" s="126">
        <v>6.087661568719783</v>
      </c>
      <c r="P295" s="123">
        <f t="shared" si="26"/>
        <v>776.00674739558963</v>
      </c>
      <c r="Q295" s="123">
        <f t="shared" si="27"/>
        <v>1.0152363226644043</v>
      </c>
      <c r="R295" s="123">
        <f t="shared" si="24"/>
        <v>134887.57740500747</v>
      </c>
      <c r="S295" s="123">
        <f t="shared" si="25"/>
        <v>115358.85769911499</v>
      </c>
      <c r="T295" s="123">
        <f t="shared" si="28"/>
        <v>1</v>
      </c>
      <c r="U295" s="123">
        <f t="shared" si="29"/>
        <v>0</v>
      </c>
      <c r="V295" s="1"/>
      <c r="W295" s="25"/>
    </row>
    <row r="296" spans="11:23" x14ac:dyDescent="0.25">
      <c r="K296" s="123" t="s">
        <v>405</v>
      </c>
      <c r="L296" s="126">
        <v>8764.2227255471353</v>
      </c>
      <c r="M296" s="126">
        <v>9.121499967045775</v>
      </c>
      <c r="N296" s="126">
        <v>6015.5548239495547</v>
      </c>
      <c r="O296" s="126">
        <v>6.7845800758142714</v>
      </c>
      <c r="P296" s="123">
        <f t="shared" si="26"/>
        <v>2748.6679015975806</v>
      </c>
      <c r="Q296" s="123">
        <f t="shared" si="27"/>
        <v>2.3369198912315037</v>
      </c>
      <c r="R296" s="123">
        <f t="shared" si="24"/>
        <v>173665.77661536838</v>
      </c>
      <c r="S296" s="123">
        <f t="shared" si="25"/>
        <v>129676.04669233586</v>
      </c>
      <c r="T296" s="123">
        <f t="shared" si="28"/>
        <v>1</v>
      </c>
      <c r="U296" s="123">
        <f t="shared" si="29"/>
        <v>0</v>
      </c>
      <c r="V296" s="1"/>
      <c r="W296" s="25"/>
    </row>
    <row r="297" spans="11:23" x14ac:dyDescent="0.25">
      <c r="K297" s="123" t="s">
        <v>406</v>
      </c>
      <c r="L297" s="126">
        <v>5536.2451701058544</v>
      </c>
      <c r="M297" s="126">
        <v>5.335531608202527</v>
      </c>
      <c r="N297" s="126">
        <v>7363.4569043613919</v>
      </c>
      <c r="O297" s="126">
        <v>8.1209172867350699</v>
      </c>
      <c r="P297" s="123">
        <f t="shared" si="26"/>
        <v>-1827.2117342555375</v>
      </c>
      <c r="Q297" s="123">
        <f t="shared" si="27"/>
        <v>-2.7853856785325428</v>
      </c>
      <c r="R297" s="123">
        <f t="shared" si="24"/>
        <v>101174.38699394467</v>
      </c>
      <c r="S297" s="123">
        <f t="shared" si="25"/>
        <v>155054.88883034</v>
      </c>
      <c r="T297" s="123">
        <f t="shared" si="28"/>
        <v>0</v>
      </c>
      <c r="U297" s="123">
        <f t="shared" si="29"/>
        <v>1</v>
      </c>
      <c r="V297" s="1"/>
      <c r="W297" s="25"/>
    </row>
    <row r="298" spans="11:23" x14ac:dyDescent="0.25">
      <c r="K298" s="123" t="s">
        <v>407</v>
      </c>
      <c r="L298" s="126">
        <v>5628.7936047262347</v>
      </c>
      <c r="M298" s="126">
        <v>4.6783251431064699</v>
      </c>
      <c r="N298" s="126">
        <v>6028.6919986815919</v>
      </c>
      <c r="O298" s="126">
        <v>5.4934160036680924</v>
      </c>
      <c r="P298" s="123">
        <f t="shared" si="26"/>
        <v>-399.89839395535728</v>
      </c>
      <c r="Q298" s="123">
        <f t="shared" si="27"/>
        <v>-0.8150908605616225</v>
      </c>
      <c r="R298" s="123">
        <f t="shared" si="24"/>
        <v>87937.70925740317</v>
      </c>
      <c r="S298" s="123">
        <f t="shared" si="25"/>
        <v>103839.62807468025</v>
      </c>
      <c r="T298" s="123">
        <f t="shared" si="28"/>
        <v>0</v>
      </c>
      <c r="U298" s="123">
        <f t="shared" si="29"/>
        <v>1</v>
      </c>
      <c r="V298" s="1"/>
      <c r="W298" s="25"/>
    </row>
    <row r="299" spans="11:23" x14ac:dyDescent="0.25">
      <c r="K299" s="123" t="s">
        <v>408</v>
      </c>
      <c r="L299" s="126">
        <v>6961.7141143226481</v>
      </c>
      <c r="M299" s="126">
        <v>6.5345171739897063</v>
      </c>
      <c r="N299" s="126">
        <v>7090.7513957592328</v>
      </c>
      <c r="O299" s="126">
        <v>7.6068910255841313</v>
      </c>
      <c r="P299" s="123">
        <f t="shared" si="26"/>
        <v>-129.03728143658464</v>
      </c>
      <c r="Q299" s="123">
        <f t="shared" si="27"/>
        <v>-1.072373851594425</v>
      </c>
      <c r="R299" s="123">
        <f t="shared" si="24"/>
        <v>123728.62936547148</v>
      </c>
      <c r="S299" s="123">
        <f t="shared" si="25"/>
        <v>145047.0691159234</v>
      </c>
      <c r="T299" s="123">
        <f t="shared" si="28"/>
        <v>0</v>
      </c>
      <c r="U299" s="123">
        <f t="shared" si="29"/>
        <v>1</v>
      </c>
      <c r="V299" s="1"/>
      <c r="W299" s="25"/>
    </row>
    <row r="300" spans="11:23" x14ac:dyDescent="0.25">
      <c r="K300" s="123" t="s">
        <v>409</v>
      </c>
      <c r="L300" s="126">
        <v>8223.9932449996431</v>
      </c>
      <c r="M300" s="126">
        <v>8.3110515450431901</v>
      </c>
      <c r="N300" s="126">
        <v>6750.7277915984505</v>
      </c>
      <c r="O300" s="126">
        <v>7.4178544601650325</v>
      </c>
      <c r="P300" s="123">
        <f t="shared" si="26"/>
        <v>1473.2654534011926</v>
      </c>
      <c r="Q300" s="123">
        <f t="shared" si="27"/>
        <v>0.89319708487815763</v>
      </c>
      <c r="R300" s="123">
        <f t="shared" si="24"/>
        <v>157997.03765586417</v>
      </c>
      <c r="S300" s="123">
        <f t="shared" si="25"/>
        <v>141606.36141170221</v>
      </c>
      <c r="T300" s="123">
        <f t="shared" si="28"/>
        <v>1</v>
      </c>
      <c r="U300" s="123">
        <f t="shared" si="29"/>
        <v>0</v>
      </c>
      <c r="V300" s="1"/>
      <c r="W300" s="25"/>
    </row>
    <row r="301" spans="11:23" x14ac:dyDescent="0.25">
      <c r="K301" s="123" t="s">
        <v>410</v>
      </c>
      <c r="L301" s="126">
        <v>9497.9354494254203</v>
      </c>
      <c r="M301" s="126">
        <v>8.4249930784997655</v>
      </c>
      <c r="N301" s="126">
        <v>6070.347678398115</v>
      </c>
      <c r="O301" s="126">
        <v>5.5759303220810663</v>
      </c>
      <c r="P301" s="123">
        <f t="shared" si="26"/>
        <v>3427.5877710273053</v>
      </c>
      <c r="Q301" s="123">
        <f t="shared" si="27"/>
        <v>2.8490627564186992</v>
      </c>
      <c r="R301" s="123">
        <f t="shared" si="24"/>
        <v>159001.9261205699</v>
      </c>
      <c r="S301" s="123">
        <f t="shared" si="25"/>
        <v>105448.2587632232</v>
      </c>
      <c r="T301" s="123">
        <f t="shared" si="28"/>
        <v>1</v>
      </c>
      <c r="U301" s="123">
        <f t="shared" si="29"/>
        <v>0</v>
      </c>
      <c r="V301" s="1"/>
      <c r="W301" s="25"/>
    </row>
    <row r="302" spans="11:23" x14ac:dyDescent="0.25">
      <c r="K302" s="123" t="s">
        <v>411</v>
      </c>
      <c r="L302" s="126">
        <v>7395.3224110413757</v>
      </c>
      <c r="M302" s="126">
        <v>6.9561295308665256</v>
      </c>
      <c r="N302" s="126">
        <v>5596.9200039627449</v>
      </c>
      <c r="O302" s="126">
        <v>5.9698030616146331</v>
      </c>
      <c r="P302" s="123">
        <f t="shared" si="26"/>
        <v>1798.4024070786309</v>
      </c>
      <c r="Q302" s="123">
        <f t="shared" si="27"/>
        <v>0.98632646925189249</v>
      </c>
      <c r="R302" s="123">
        <f t="shared" si="24"/>
        <v>131727.26820628913</v>
      </c>
      <c r="S302" s="123">
        <f t="shared" si="25"/>
        <v>113799.14122832991</v>
      </c>
      <c r="T302" s="123">
        <f t="shared" si="28"/>
        <v>1</v>
      </c>
      <c r="U302" s="123">
        <f t="shared" si="29"/>
        <v>0</v>
      </c>
      <c r="V302" s="1"/>
      <c r="W302" s="25"/>
    </row>
    <row r="303" spans="11:23" x14ac:dyDescent="0.25">
      <c r="K303" s="123" t="s">
        <v>412</v>
      </c>
      <c r="L303" s="126">
        <v>7003.714815402438</v>
      </c>
      <c r="M303" s="126">
        <v>6.4445625277126055</v>
      </c>
      <c r="N303" s="126">
        <v>7743.4232225385394</v>
      </c>
      <c r="O303" s="126">
        <v>7.634003778055618</v>
      </c>
      <c r="P303" s="123">
        <f t="shared" si="26"/>
        <v>-739.70840713610141</v>
      </c>
      <c r="Q303" s="123">
        <f t="shared" si="27"/>
        <v>-1.1894412503430125</v>
      </c>
      <c r="R303" s="123">
        <f t="shared" si="24"/>
        <v>121887.53573884968</v>
      </c>
      <c r="S303" s="123">
        <f t="shared" si="25"/>
        <v>144936.65233857383</v>
      </c>
      <c r="T303" s="123">
        <f t="shared" si="28"/>
        <v>0</v>
      </c>
      <c r="U303" s="123">
        <f t="shared" si="29"/>
        <v>1</v>
      </c>
      <c r="V303" s="1"/>
      <c r="W303" s="25"/>
    </row>
    <row r="304" spans="11:23" x14ac:dyDescent="0.25">
      <c r="K304" s="123" t="s">
        <v>413</v>
      </c>
      <c r="L304" s="126">
        <v>9589.652511056087</v>
      </c>
      <c r="M304" s="126">
        <v>9.6663625240327846</v>
      </c>
      <c r="N304" s="126">
        <v>8648.2253251819002</v>
      </c>
      <c r="O304" s="126">
        <v>9.4346456662506135</v>
      </c>
      <c r="P304" s="123">
        <f t="shared" si="26"/>
        <v>941.42718587418676</v>
      </c>
      <c r="Q304" s="123">
        <f t="shared" si="27"/>
        <v>0.2317168577821711</v>
      </c>
      <c r="R304" s="123">
        <f t="shared" si="24"/>
        <v>183737.59796959962</v>
      </c>
      <c r="S304" s="123">
        <f t="shared" si="25"/>
        <v>180044.68799983038</v>
      </c>
      <c r="T304" s="123">
        <f t="shared" si="28"/>
        <v>1</v>
      </c>
      <c r="U304" s="123">
        <f t="shared" si="29"/>
        <v>0</v>
      </c>
      <c r="V304" s="1"/>
      <c r="W304" s="25"/>
    </row>
    <row r="305" spans="11:23" x14ac:dyDescent="0.25">
      <c r="K305" s="123" t="s">
        <v>414</v>
      </c>
      <c r="L305" s="126">
        <v>7630.0178186231224</v>
      </c>
      <c r="M305" s="126">
        <v>8.0787681614982265</v>
      </c>
      <c r="N305" s="126">
        <v>6216.3099824708224</v>
      </c>
      <c r="O305" s="126">
        <v>7.1428462452991779</v>
      </c>
      <c r="P305" s="123">
        <f t="shared" si="26"/>
        <v>1413.7078361522999</v>
      </c>
      <c r="Q305" s="123">
        <f t="shared" si="27"/>
        <v>0.93592191619904863</v>
      </c>
      <c r="R305" s="123">
        <f t="shared" si="24"/>
        <v>153945.3454113414</v>
      </c>
      <c r="S305" s="123">
        <f t="shared" si="25"/>
        <v>136640.61492351274</v>
      </c>
      <c r="T305" s="123">
        <f t="shared" si="28"/>
        <v>1</v>
      </c>
      <c r="U305" s="123">
        <f t="shared" si="29"/>
        <v>0</v>
      </c>
      <c r="V305" s="1"/>
      <c r="W305" s="25"/>
    </row>
    <row r="306" spans="11:23" x14ac:dyDescent="0.25">
      <c r="K306" s="123" t="s">
        <v>415</v>
      </c>
      <c r="L306" s="126">
        <v>5955.4171067765101</v>
      </c>
      <c r="M306" s="126">
        <v>5.8188323959883821</v>
      </c>
      <c r="N306" s="126">
        <v>6171.7168365740908</v>
      </c>
      <c r="O306" s="126">
        <v>6.7464137602512153</v>
      </c>
      <c r="P306" s="123">
        <f t="shared" si="26"/>
        <v>-216.29972979758077</v>
      </c>
      <c r="Q306" s="123">
        <f t="shared" si="27"/>
        <v>-0.92758136426283322</v>
      </c>
      <c r="R306" s="123">
        <f t="shared" si="24"/>
        <v>110421.23081299113</v>
      </c>
      <c r="S306" s="123">
        <f t="shared" si="25"/>
        <v>128756.55836845022</v>
      </c>
      <c r="T306" s="123">
        <f t="shared" si="28"/>
        <v>0</v>
      </c>
      <c r="U306" s="123">
        <f t="shared" si="29"/>
        <v>1</v>
      </c>
      <c r="V306" s="1"/>
      <c r="W306" s="25"/>
    </row>
    <row r="307" spans="11:23" x14ac:dyDescent="0.25">
      <c r="K307" s="123" t="s">
        <v>416</v>
      </c>
      <c r="L307" s="126">
        <v>5201.9052827350033</v>
      </c>
      <c r="M307" s="126">
        <v>4.4958788027574261</v>
      </c>
      <c r="N307" s="126">
        <v>8150.1098826453053</v>
      </c>
      <c r="O307" s="126">
        <v>7.6378267109562721</v>
      </c>
      <c r="P307" s="123">
        <f t="shared" si="26"/>
        <v>-2948.204599910302</v>
      </c>
      <c r="Q307" s="123">
        <f t="shared" si="27"/>
        <v>-3.141947908198846</v>
      </c>
      <c r="R307" s="123">
        <f t="shared" si="24"/>
        <v>84715.670772413519</v>
      </c>
      <c r="S307" s="123">
        <f t="shared" si="25"/>
        <v>144606.42433648012</v>
      </c>
      <c r="T307" s="123">
        <f t="shared" si="28"/>
        <v>0</v>
      </c>
      <c r="U307" s="123">
        <f t="shared" si="29"/>
        <v>1</v>
      </c>
      <c r="V307" s="1"/>
      <c r="W307" s="25"/>
    </row>
    <row r="308" spans="11:23" x14ac:dyDescent="0.25">
      <c r="K308" s="123" t="s">
        <v>417</v>
      </c>
      <c r="L308" s="126">
        <v>8164.0900735986779</v>
      </c>
      <c r="M308" s="126">
        <v>6.3096143750630453</v>
      </c>
      <c r="N308" s="126">
        <v>7813.1233694212242</v>
      </c>
      <c r="O308" s="126">
        <v>6.3903305774822021</v>
      </c>
      <c r="P308" s="123">
        <f t="shared" si="26"/>
        <v>350.96670417745372</v>
      </c>
      <c r="Q308" s="123">
        <f t="shared" si="27"/>
        <v>-8.071620241915678E-2</v>
      </c>
      <c r="R308" s="123">
        <f t="shared" si="24"/>
        <v>118028.19742766222</v>
      </c>
      <c r="S308" s="123">
        <f t="shared" si="25"/>
        <v>119993.48818022282</v>
      </c>
      <c r="T308" s="123">
        <f t="shared" si="28"/>
        <v>0</v>
      </c>
      <c r="U308" s="123">
        <f t="shared" si="29"/>
        <v>1</v>
      </c>
      <c r="V308" s="1"/>
      <c r="W308" s="25"/>
    </row>
    <row r="309" spans="11:23" x14ac:dyDescent="0.25">
      <c r="K309" s="123" t="s">
        <v>418</v>
      </c>
      <c r="L309" s="126">
        <v>6850.4489157266635</v>
      </c>
      <c r="M309" s="126">
        <v>6.8393907358152193</v>
      </c>
      <c r="N309" s="126">
        <v>6441.0153180567877</v>
      </c>
      <c r="O309" s="126">
        <v>6.7862232614314895</v>
      </c>
      <c r="P309" s="123">
        <f t="shared" si="26"/>
        <v>409.43359766987578</v>
      </c>
      <c r="Q309" s="123">
        <f t="shared" si="27"/>
        <v>5.3167474383729818E-2</v>
      </c>
      <c r="R309" s="123">
        <f t="shared" si="24"/>
        <v>129937.36580057773</v>
      </c>
      <c r="S309" s="123">
        <f t="shared" si="25"/>
        <v>129283.44991057301</v>
      </c>
      <c r="T309" s="123">
        <f t="shared" si="28"/>
        <v>1</v>
      </c>
      <c r="U309" s="123">
        <f t="shared" si="29"/>
        <v>0</v>
      </c>
      <c r="V309" s="1"/>
      <c r="W309" s="25"/>
    </row>
    <row r="310" spans="11:23" x14ac:dyDescent="0.25">
      <c r="K310" s="123" t="s">
        <v>419</v>
      </c>
      <c r="L310" s="126">
        <v>5661.1288735113376</v>
      </c>
      <c r="M310" s="126">
        <v>5.4101136714129989</v>
      </c>
      <c r="N310" s="126">
        <v>6167.3429861414952</v>
      </c>
      <c r="O310" s="126">
        <v>6.4118346830101451</v>
      </c>
      <c r="P310" s="123">
        <f t="shared" si="26"/>
        <v>-506.21411263015762</v>
      </c>
      <c r="Q310" s="123">
        <f t="shared" si="27"/>
        <v>-1.0017210115971462</v>
      </c>
      <c r="R310" s="123">
        <f t="shared" si="24"/>
        <v>102541.14455474865</v>
      </c>
      <c r="S310" s="123">
        <f t="shared" si="25"/>
        <v>122069.35067406141</v>
      </c>
      <c r="T310" s="123">
        <f t="shared" si="28"/>
        <v>0</v>
      </c>
      <c r="U310" s="123">
        <f t="shared" si="29"/>
        <v>1</v>
      </c>
      <c r="V310" s="1"/>
      <c r="W310" s="25"/>
    </row>
    <row r="311" spans="11:23" x14ac:dyDescent="0.25">
      <c r="K311" s="123" t="s">
        <v>420</v>
      </c>
      <c r="L311" s="126">
        <v>9075.1667084429682</v>
      </c>
      <c r="M311" s="126">
        <v>9.7640272656329135</v>
      </c>
      <c r="N311" s="126">
        <v>5678.9526841108436</v>
      </c>
      <c r="O311" s="126">
        <v>6.6606424126432433</v>
      </c>
      <c r="P311" s="123">
        <f t="shared" si="26"/>
        <v>3396.2140243321246</v>
      </c>
      <c r="Q311" s="123">
        <f t="shared" si="27"/>
        <v>3.1033848529896702</v>
      </c>
      <c r="R311" s="123">
        <f t="shared" si="24"/>
        <v>186205.37860421531</v>
      </c>
      <c r="S311" s="123">
        <f t="shared" si="25"/>
        <v>127533.89556875403</v>
      </c>
      <c r="T311" s="123">
        <f t="shared" si="28"/>
        <v>1</v>
      </c>
      <c r="U311" s="123">
        <f t="shared" si="29"/>
        <v>0</v>
      </c>
      <c r="V311" s="1"/>
      <c r="W311" s="25"/>
    </row>
    <row r="312" spans="11:23" x14ac:dyDescent="0.25">
      <c r="K312" s="123" t="s">
        <v>421</v>
      </c>
      <c r="L312" s="126">
        <v>10521.571534763802</v>
      </c>
      <c r="M312" s="126">
        <v>9.935317070642494</v>
      </c>
      <c r="N312" s="126">
        <v>7611.9179574131094</v>
      </c>
      <c r="O312" s="126">
        <v>7.5407122747438855</v>
      </c>
      <c r="P312" s="123">
        <f t="shared" si="26"/>
        <v>2909.6535773506921</v>
      </c>
      <c r="Q312" s="123">
        <f t="shared" si="27"/>
        <v>2.3946047958986085</v>
      </c>
      <c r="R312" s="123">
        <f t="shared" si="24"/>
        <v>188184.76987808608</v>
      </c>
      <c r="S312" s="123">
        <f t="shared" si="25"/>
        <v>143202.32753746462</v>
      </c>
      <c r="T312" s="123">
        <f t="shared" si="28"/>
        <v>1</v>
      </c>
      <c r="U312" s="123">
        <f t="shared" si="29"/>
        <v>0</v>
      </c>
      <c r="V312" s="1"/>
      <c r="W312" s="25"/>
    </row>
    <row r="313" spans="11:23" x14ac:dyDescent="0.25">
      <c r="K313" s="123" t="s">
        <v>422</v>
      </c>
      <c r="L313" s="126">
        <v>11305.255389070187</v>
      </c>
      <c r="M313" s="126">
        <v>9.1449621304084907</v>
      </c>
      <c r="N313" s="126">
        <v>8662.9506403302821</v>
      </c>
      <c r="O313" s="126">
        <v>6.9714978009465547</v>
      </c>
      <c r="P313" s="123">
        <f t="shared" si="26"/>
        <v>2642.3047487399053</v>
      </c>
      <c r="Q313" s="123">
        <f t="shared" si="27"/>
        <v>2.173464329461936</v>
      </c>
      <c r="R313" s="123">
        <f t="shared" si="24"/>
        <v>171593.98721909962</v>
      </c>
      <c r="S313" s="123">
        <f t="shared" si="25"/>
        <v>130767.00537860081</v>
      </c>
      <c r="T313" s="123">
        <f t="shared" si="28"/>
        <v>1</v>
      </c>
      <c r="U313" s="123">
        <f t="shared" si="29"/>
        <v>0</v>
      </c>
      <c r="V313" s="1"/>
      <c r="W313" s="25"/>
    </row>
    <row r="314" spans="11:23" x14ac:dyDescent="0.25">
      <c r="K314" s="123" t="s">
        <v>423</v>
      </c>
      <c r="L314" s="126">
        <v>8803.2522974698659</v>
      </c>
      <c r="M314" s="126">
        <v>8.4910563094337324</v>
      </c>
      <c r="N314" s="126">
        <v>6075.5448173861914</v>
      </c>
      <c r="O314" s="126">
        <v>6.0743076600894863</v>
      </c>
      <c r="P314" s="123">
        <f t="shared" si="26"/>
        <v>2727.7074800836745</v>
      </c>
      <c r="Q314" s="123">
        <f t="shared" si="27"/>
        <v>2.416748649344246</v>
      </c>
      <c r="R314" s="123">
        <f t="shared" si="24"/>
        <v>161017.87389120477</v>
      </c>
      <c r="S314" s="123">
        <f t="shared" si="25"/>
        <v>115410.60838440353</v>
      </c>
      <c r="T314" s="123">
        <f t="shared" si="28"/>
        <v>1</v>
      </c>
      <c r="U314" s="123">
        <f t="shared" si="29"/>
        <v>0</v>
      </c>
      <c r="V314" s="1"/>
      <c r="W314" s="25"/>
    </row>
    <row r="315" spans="11:23" x14ac:dyDescent="0.25">
      <c r="K315" s="123" t="s">
        <v>424</v>
      </c>
      <c r="L315" s="126">
        <v>7225.8811596863034</v>
      </c>
      <c r="M315" s="126">
        <v>7.1358257717839795</v>
      </c>
      <c r="N315" s="126">
        <v>7571.3766431296617</v>
      </c>
      <c r="O315" s="126">
        <v>8.1152811825390216</v>
      </c>
      <c r="P315" s="123">
        <f t="shared" si="26"/>
        <v>-345.49548344335835</v>
      </c>
      <c r="Q315" s="123">
        <f t="shared" si="27"/>
        <v>-0.97945541075504217</v>
      </c>
      <c r="R315" s="123">
        <f t="shared" si="24"/>
        <v>135490.63427599327</v>
      </c>
      <c r="S315" s="123">
        <f t="shared" si="25"/>
        <v>154734.24700765079</v>
      </c>
      <c r="T315" s="123">
        <f t="shared" si="28"/>
        <v>0</v>
      </c>
      <c r="U315" s="123">
        <f t="shared" si="29"/>
        <v>1</v>
      </c>
      <c r="V315" s="1"/>
      <c r="W315" s="25"/>
    </row>
    <row r="316" spans="11:23" x14ac:dyDescent="0.25">
      <c r="K316" s="123" t="s">
        <v>425</v>
      </c>
      <c r="L316" s="126">
        <v>6427.7992160472149</v>
      </c>
      <c r="M316" s="126">
        <v>6.060800093691296</v>
      </c>
      <c r="N316" s="126">
        <v>5207.226229286588</v>
      </c>
      <c r="O316" s="126">
        <v>5.2506379948638404</v>
      </c>
      <c r="P316" s="123">
        <f t="shared" si="26"/>
        <v>1220.5729867606269</v>
      </c>
      <c r="Q316" s="123">
        <f t="shared" si="27"/>
        <v>0.8101620988274556</v>
      </c>
      <c r="R316" s="123">
        <f t="shared" si="24"/>
        <v>114788.2026577787</v>
      </c>
      <c r="S316" s="123">
        <f t="shared" si="25"/>
        <v>99805.53366799021</v>
      </c>
      <c r="T316" s="123">
        <f t="shared" si="28"/>
        <v>1</v>
      </c>
      <c r="U316" s="123">
        <f t="shared" si="29"/>
        <v>0</v>
      </c>
      <c r="V316" s="1"/>
      <c r="W316" s="25"/>
    </row>
    <row r="317" spans="11:23" x14ac:dyDescent="0.25">
      <c r="K317" s="123" t="s">
        <v>426</v>
      </c>
      <c r="L317" s="126">
        <v>9791.3991824449149</v>
      </c>
      <c r="M317" s="126">
        <v>8.5622721520630307</v>
      </c>
      <c r="N317" s="126">
        <v>6881.6855374756424</v>
      </c>
      <c r="O317" s="126">
        <v>6.4311327331715189</v>
      </c>
      <c r="P317" s="123">
        <f t="shared" si="26"/>
        <v>2909.7136449692725</v>
      </c>
      <c r="Q317" s="123">
        <f t="shared" si="27"/>
        <v>2.1311394188915118</v>
      </c>
      <c r="R317" s="123">
        <f t="shared" si="24"/>
        <v>161454.04385881571</v>
      </c>
      <c r="S317" s="123">
        <f t="shared" si="25"/>
        <v>121740.96912595474</v>
      </c>
      <c r="T317" s="123">
        <f t="shared" si="28"/>
        <v>1</v>
      </c>
      <c r="U317" s="123">
        <f t="shared" si="29"/>
        <v>0</v>
      </c>
      <c r="V317" s="1"/>
      <c r="W317" s="25"/>
    </row>
    <row r="318" spans="11:23" x14ac:dyDescent="0.25">
      <c r="K318" s="123" t="s">
        <v>427</v>
      </c>
      <c r="L318" s="126">
        <v>5905.4275574523099</v>
      </c>
      <c r="M318" s="126">
        <v>5.0400641739085428</v>
      </c>
      <c r="N318" s="126">
        <v>9084.1009218606414</v>
      </c>
      <c r="O318" s="126">
        <v>8.2989620311259173</v>
      </c>
      <c r="P318" s="123">
        <f t="shared" si="26"/>
        <v>-3178.6733644083315</v>
      </c>
      <c r="Q318" s="123">
        <f t="shared" si="27"/>
        <v>-3.2588978572173746</v>
      </c>
      <c r="R318" s="123">
        <f t="shared" si="24"/>
        <v>94895.855920718546</v>
      </c>
      <c r="S318" s="123">
        <f t="shared" si="25"/>
        <v>156895.13970065772</v>
      </c>
      <c r="T318" s="123">
        <f t="shared" si="28"/>
        <v>0</v>
      </c>
      <c r="U318" s="123">
        <f t="shared" si="29"/>
        <v>1</v>
      </c>
      <c r="V318" s="1"/>
      <c r="W318" s="25"/>
    </row>
    <row r="319" spans="11:23" x14ac:dyDescent="0.25">
      <c r="K319" s="123" t="s">
        <v>428</v>
      </c>
      <c r="L319" s="126">
        <v>9629.7778993465381</v>
      </c>
      <c r="M319" s="126">
        <v>10.066801087106017</v>
      </c>
      <c r="N319" s="126">
        <v>6088.7367037195481</v>
      </c>
      <c r="O319" s="126">
        <v>6.1977071830252601</v>
      </c>
      <c r="P319" s="123">
        <f t="shared" si="26"/>
        <v>3541.04119562699</v>
      </c>
      <c r="Q319" s="123">
        <f t="shared" si="27"/>
        <v>3.8690939040807564</v>
      </c>
      <c r="R319" s="123">
        <f t="shared" si="24"/>
        <v>191706.24384277378</v>
      </c>
      <c r="S319" s="123">
        <f t="shared" si="25"/>
        <v>117865.40695678565</v>
      </c>
      <c r="T319" s="123">
        <f t="shared" si="28"/>
        <v>1</v>
      </c>
      <c r="U319" s="123">
        <f t="shared" si="29"/>
        <v>0</v>
      </c>
      <c r="V319" s="1"/>
      <c r="W319" s="25"/>
    </row>
    <row r="320" spans="11:23" x14ac:dyDescent="0.25">
      <c r="K320" s="123" t="s">
        <v>429</v>
      </c>
      <c r="L320" s="126">
        <v>8011.4456420699726</v>
      </c>
      <c r="M320" s="126">
        <v>5.9685264485118603</v>
      </c>
      <c r="N320" s="126">
        <v>6836.3563603355924</v>
      </c>
      <c r="O320" s="126">
        <v>6.3819961909040801</v>
      </c>
      <c r="P320" s="123">
        <f t="shared" si="26"/>
        <v>1175.0892817343802</v>
      </c>
      <c r="Q320" s="123">
        <f t="shared" si="27"/>
        <v>-0.41346974239221979</v>
      </c>
      <c r="R320" s="123">
        <f t="shared" si="24"/>
        <v>111359.08332816724</v>
      </c>
      <c r="S320" s="123">
        <f t="shared" si="25"/>
        <v>120803.56745774602</v>
      </c>
      <c r="T320" s="123">
        <f t="shared" si="28"/>
        <v>0</v>
      </c>
      <c r="U320" s="123">
        <f t="shared" si="29"/>
        <v>1</v>
      </c>
      <c r="V320" s="1"/>
      <c r="W320" s="25"/>
    </row>
    <row r="321" spans="11:23" x14ac:dyDescent="0.25">
      <c r="K321" s="123" t="s">
        <v>430</v>
      </c>
      <c r="L321" s="126">
        <v>8921.5802601097203</v>
      </c>
      <c r="M321" s="126">
        <v>4.5993335306919452</v>
      </c>
      <c r="N321" s="126">
        <v>7569.7623569919497</v>
      </c>
      <c r="O321" s="126">
        <v>4.7352242857595543</v>
      </c>
      <c r="P321" s="123">
        <f t="shared" si="26"/>
        <v>1351.8179031177706</v>
      </c>
      <c r="Q321" s="123">
        <f t="shared" si="27"/>
        <v>-0.13589075506760917</v>
      </c>
      <c r="R321" s="123">
        <f t="shared" si="24"/>
        <v>83065.090353729174</v>
      </c>
      <c r="S321" s="123">
        <f t="shared" si="25"/>
        <v>87134.723358199131</v>
      </c>
      <c r="T321" s="123">
        <f t="shared" si="28"/>
        <v>0</v>
      </c>
      <c r="U321" s="123">
        <f t="shared" si="29"/>
        <v>1</v>
      </c>
      <c r="V321" s="1"/>
      <c r="W321" s="25"/>
    </row>
    <row r="322" spans="11:23" x14ac:dyDescent="0.25">
      <c r="K322" s="123" t="s">
        <v>431</v>
      </c>
      <c r="L322" s="126">
        <v>7536.2091601969223</v>
      </c>
      <c r="M322" s="126">
        <v>6.3470450316929874</v>
      </c>
      <c r="N322" s="126">
        <v>7748.5265502134116</v>
      </c>
      <c r="O322" s="126">
        <v>6.6883568896040826</v>
      </c>
      <c r="P322" s="123">
        <f t="shared" si="26"/>
        <v>-212.3173900164893</v>
      </c>
      <c r="Q322" s="123">
        <f t="shared" si="27"/>
        <v>-0.3413118579110952</v>
      </c>
      <c r="R322" s="123">
        <f t="shared" si="24"/>
        <v>119404.69147366282</v>
      </c>
      <c r="S322" s="123">
        <f t="shared" si="25"/>
        <v>126018.61124186825</v>
      </c>
      <c r="T322" s="123">
        <f t="shared" si="28"/>
        <v>0</v>
      </c>
      <c r="U322" s="123">
        <f t="shared" si="29"/>
        <v>1</v>
      </c>
      <c r="V322" s="1"/>
      <c r="W322" s="25"/>
    </row>
    <row r="323" spans="11:23" x14ac:dyDescent="0.25">
      <c r="K323" s="123" t="s">
        <v>432</v>
      </c>
      <c r="L323" s="126">
        <v>10941.4312794175</v>
      </c>
      <c r="M323" s="126">
        <v>11.090229074378362</v>
      </c>
      <c r="N323" s="126">
        <v>6795.5511466688622</v>
      </c>
      <c r="O323" s="126">
        <v>7.4216172907948437</v>
      </c>
      <c r="P323" s="123">
        <f t="shared" si="26"/>
        <v>4145.8801327486381</v>
      </c>
      <c r="Q323" s="123">
        <f t="shared" si="27"/>
        <v>3.6686117835835184</v>
      </c>
      <c r="R323" s="123">
        <f t="shared" si="24"/>
        <v>210863.15020814975</v>
      </c>
      <c r="S323" s="123">
        <f t="shared" si="25"/>
        <v>141636.79466922802</v>
      </c>
      <c r="T323" s="123">
        <f t="shared" si="28"/>
        <v>1</v>
      </c>
      <c r="U323" s="123">
        <f t="shared" si="29"/>
        <v>0</v>
      </c>
      <c r="V323" s="1"/>
      <c r="W323" s="25"/>
    </row>
    <row r="324" spans="11:23" x14ac:dyDescent="0.25">
      <c r="K324" s="123" t="s">
        <v>433</v>
      </c>
      <c r="L324" s="126">
        <v>8475.6506612827561</v>
      </c>
      <c r="M324" s="126">
        <v>9.2571596050786269</v>
      </c>
      <c r="N324" s="126">
        <v>7689.5500664572264</v>
      </c>
      <c r="O324" s="126">
        <v>8.7836000491979451</v>
      </c>
      <c r="P324" s="123">
        <f t="shared" si="26"/>
        <v>786.1005948255297</v>
      </c>
      <c r="Q324" s="123">
        <f t="shared" si="27"/>
        <v>0.47355955588068177</v>
      </c>
      <c r="R324" s="123">
        <f t="shared" si="24"/>
        <v>176667.54144028976</v>
      </c>
      <c r="S324" s="123">
        <f t="shared" si="25"/>
        <v>167982.45091750167</v>
      </c>
      <c r="T324" s="123">
        <f t="shared" si="28"/>
        <v>1</v>
      </c>
      <c r="U324" s="123">
        <f t="shared" si="29"/>
        <v>0</v>
      </c>
      <c r="V324" s="1"/>
      <c r="W324" s="25"/>
    </row>
    <row r="325" spans="11:23" x14ac:dyDescent="0.25">
      <c r="K325" s="123" t="s">
        <v>434</v>
      </c>
      <c r="L325" s="126">
        <v>11392.725093307427</v>
      </c>
      <c r="M325" s="126">
        <v>10.443425844988493</v>
      </c>
      <c r="N325" s="126">
        <v>6938.6931578544754</v>
      </c>
      <c r="O325" s="126">
        <v>6.8672756494525071</v>
      </c>
      <c r="P325" s="123">
        <f t="shared" si="26"/>
        <v>4454.0319354529511</v>
      </c>
      <c r="Q325" s="123">
        <f t="shared" si="27"/>
        <v>3.5761501955359858</v>
      </c>
      <c r="R325" s="123">
        <f t="shared" si="24"/>
        <v>197475.79180646242</v>
      </c>
      <c r="S325" s="123">
        <f t="shared" si="25"/>
        <v>130406.81983119568</v>
      </c>
      <c r="T325" s="123">
        <f t="shared" si="28"/>
        <v>1</v>
      </c>
      <c r="U325" s="123">
        <f t="shared" si="29"/>
        <v>0</v>
      </c>
      <c r="W325" s="25"/>
    </row>
    <row r="326" spans="11:23" x14ac:dyDescent="0.25">
      <c r="K326" s="123" t="s">
        <v>435</v>
      </c>
      <c r="L326" s="126">
        <v>8627.1629810575669</v>
      </c>
      <c r="M326" s="126">
        <v>7.6530823019489072</v>
      </c>
      <c r="N326" s="126">
        <v>6576.5724369383925</v>
      </c>
      <c r="O326" s="126">
        <v>6.1414376850031394</v>
      </c>
      <c r="P326" s="123">
        <f t="shared" si="26"/>
        <v>2050.5905441191744</v>
      </c>
      <c r="Q326" s="123">
        <f t="shared" si="27"/>
        <v>1.5116446169457678</v>
      </c>
      <c r="R326" s="123">
        <f t="shared" si="24"/>
        <v>144434.48305792059</v>
      </c>
      <c r="S326" s="123">
        <f t="shared" si="25"/>
        <v>116252.1812631244</v>
      </c>
      <c r="T326" s="123">
        <f t="shared" si="28"/>
        <v>1</v>
      </c>
      <c r="U326" s="123">
        <f t="shared" si="29"/>
        <v>0</v>
      </c>
      <c r="W326" s="25"/>
    </row>
    <row r="327" spans="11:23" x14ac:dyDescent="0.25">
      <c r="K327" s="123" t="s">
        <v>436</v>
      </c>
      <c r="L327" s="126">
        <v>8446.5764722598469</v>
      </c>
      <c r="M327" s="126">
        <v>7.9768809078543184</v>
      </c>
      <c r="N327" s="126">
        <v>7823.3746250201784</v>
      </c>
      <c r="O327" s="126">
        <v>7.6879803985778272</v>
      </c>
      <c r="P327" s="123">
        <f t="shared" si="26"/>
        <v>623.2018472396685</v>
      </c>
      <c r="Q327" s="123">
        <f t="shared" si="27"/>
        <v>0.28890050927649114</v>
      </c>
      <c r="R327" s="123">
        <f t="shared" si="24"/>
        <v>151091.04168482652</v>
      </c>
      <c r="S327" s="123">
        <f t="shared" si="25"/>
        <v>145936.23334653638</v>
      </c>
      <c r="T327" s="123">
        <f t="shared" si="28"/>
        <v>1</v>
      </c>
      <c r="U327" s="123">
        <f t="shared" si="29"/>
        <v>0</v>
      </c>
      <c r="W327" s="25"/>
    </row>
    <row r="328" spans="11:23" x14ac:dyDescent="0.25">
      <c r="K328" s="123" t="s">
        <v>437</v>
      </c>
      <c r="L328" s="126">
        <v>8932.1642819813969</v>
      </c>
      <c r="M328" s="126">
        <v>7.7454061009062416</v>
      </c>
      <c r="N328" s="126">
        <v>8455.7840892121985</v>
      </c>
      <c r="O328" s="126">
        <v>7.4572665981990056</v>
      </c>
      <c r="P328" s="123">
        <f t="shared" si="26"/>
        <v>476.3801927691984</v>
      </c>
      <c r="Q328" s="123">
        <f t="shared" si="27"/>
        <v>0.28813950270723598</v>
      </c>
      <c r="R328" s="123">
        <f t="shared" si="24"/>
        <v>145975.95773614343</v>
      </c>
      <c r="S328" s="123">
        <f t="shared" si="25"/>
        <v>140689.54787476792</v>
      </c>
      <c r="T328" s="123">
        <f t="shared" si="28"/>
        <v>1</v>
      </c>
      <c r="U328" s="123">
        <f t="shared" si="29"/>
        <v>0</v>
      </c>
      <c r="W328" s="25"/>
    </row>
    <row r="329" spans="11:23" x14ac:dyDescent="0.25">
      <c r="K329" s="123" t="s">
        <v>438</v>
      </c>
      <c r="L329" s="126">
        <v>9052.3719242502521</v>
      </c>
      <c r="M329" s="126">
        <v>7.8058309256052922</v>
      </c>
      <c r="N329" s="126">
        <v>7142.8750362591945</v>
      </c>
      <c r="O329" s="126">
        <v>6.4602078231590667</v>
      </c>
      <c r="P329" s="123">
        <f t="shared" si="26"/>
        <v>1909.4968879910575</v>
      </c>
      <c r="Q329" s="123">
        <f t="shared" si="27"/>
        <v>1.3456231024462255</v>
      </c>
      <c r="R329" s="123">
        <f t="shared" si="24"/>
        <v>147064.2465878556</v>
      </c>
      <c r="S329" s="123">
        <f t="shared" si="25"/>
        <v>122061.28142692214</v>
      </c>
      <c r="T329" s="123">
        <f t="shared" si="28"/>
        <v>1</v>
      </c>
      <c r="U329" s="123">
        <f t="shared" si="29"/>
        <v>0</v>
      </c>
      <c r="W329" s="25"/>
    </row>
    <row r="330" spans="11:23" x14ac:dyDescent="0.25">
      <c r="K330" s="123" t="s">
        <v>439</v>
      </c>
      <c r="L330" s="126">
        <v>9917.2354184913347</v>
      </c>
      <c r="M330" s="126">
        <v>8.9941898444906485</v>
      </c>
      <c r="N330" s="126">
        <v>8280.0758179623663</v>
      </c>
      <c r="O330" s="126">
        <v>8.4305737530300924</v>
      </c>
      <c r="P330" s="123">
        <f t="shared" si="26"/>
        <v>1637.1596005289684</v>
      </c>
      <c r="Q330" s="123">
        <f t="shared" si="27"/>
        <v>0.56361609146055613</v>
      </c>
      <c r="R330" s="123">
        <f t="shared" si="24"/>
        <v>169966.56147132165</v>
      </c>
      <c r="S330" s="123">
        <f t="shared" si="25"/>
        <v>160331.39924263948</v>
      </c>
      <c r="T330" s="123">
        <f t="shared" si="28"/>
        <v>1</v>
      </c>
      <c r="U330" s="123">
        <f t="shared" si="29"/>
        <v>0</v>
      </c>
      <c r="W330" s="25"/>
    </row>
    <row r="331" spans="11:23" x14ac:dyDescent="0.25">
      <c r="K331" s="123" t="s">
        <v>440</v>
      </c>
      <c r="L331" s="126">
        <v>6884.5426805673824</v>
      </c>
      <c r="M331" s="126">
        <v>6.3321816215328228</v>
      </c>
      <c r="N331" s="126">
        <v>7717.3727060620013</v>
      </c>
      <c r="O331" s="126">
        <v>7.4120600715435074</v>
      </c>
      <c r="P331" s="123">
        <f t="shared" si="26"/>
        <v>-832.83002549461889</v>
      </c>
      <c r="Q331" s="123">
        <f t="shared" si="27"/>
        <v>-1.0798784500106846</v>
      </c>
      <c r="R331" s="123">
        <f t="shared" si="24"/>
        <v>119759.08975008907</v>
      </c>
      <c r="S331" s="123">
        <f t="shared" si="25"/>
        <v>140523.82872480815</v>
      </c>
      <c r="T331" s="123">
        <f t="shared" si="28"/>
        <v>0</v>
      </c>
      <c r="U331" s="123">
        <f t="shared" si="29"/>
        <v>1</v>
      </c>
      <c r="W331" s="25"/>
    </row>
    <row r="332" spans="11:23" x14ac:dyDescent="0.25">
      <c r="K332" s="123" t="s">
        <v>441</v>
      </c>
      <c r="L332" s="126">
        <v>13002.382068924622</v>
      </c>
      <c r="M332" s="126">
        <v>11.416596266864236</v>
      </c>
      <c r="N332" s="126">
        <v>8531.9334766855081</v>
      </c>
      <c r="O332" s="126">
        <v>7.8744539937661884</v>
      </c>
      <c r="P332" s="123">
        <f t="shared" si="26"/>
        <v>4470.4485922391141</v>
      </c>
      <c r="Q332" s="123">
        <f t="shared" si="27"/>
        <v>3.5421422730980474</v>
      </c>
      <c r="R332" s="123">
        <f t="shared" si="24"/>
        <v>215329.54326836008</v>
      </c>
      <c r="S332" s="123">
        <f t="shared" si="25"/>
        <v>148957.14639863826</v>
      </c>
      <c r="T332" s="123">
        <f t="shared" si="28"/>
        <v>1</v>
      </c>
      <c r="U332" s="123">
        <f t="shared" si="29"/>
        <v>0</v>
      </c>
      <c r="W332" s="25"/>
    </row>
    <row r="333" spans="11:23" x14ac:dyDescent="0.25">
      <c r="K333" s="123" t="s">
        <v>442</v>
      </c>
      <c r="L333" s="126">
        <v>10114.278502675428</v>
      </c>
      <c r="M333" s="126">
        <v>8.8485817030021394</v>
      </c>
      <c r="N333" s="126">
        <v>5802.1823218788641</v>
      </c>
      <c r="O333" s="126">
        <v>5.6660634927237492</v>
      </c>
      <c r="P333" s="123">
        <f t="shared" si="26"/>
        <v>4312.0961807965641</v>
      </c>
      <c r="Q333" s="123">
        <f t="shared" si="27"/>
        <v>3.1825182102783902</v>
      </c>
      <c r="R333" s="123">
        <f t="shared" si="24"/>
        <v>166857.35555736738</v>
      </c>
      <c r="S333" s="123">
        <f t="shared" si="25"/>
        <v>107519.08753259612</v>
      </c>
      <c r="T333" s="123">
        <f t="shared" si="28"/>
        <v>1</v>
      </c>
      <c r="U333" s="123">
        <f t="shared" si="29"/>
        <v>0</v>
      </c>
      <c r="W333" s="25"/>
    </row>
    <row r="334" spans="11:23" x14ac:dyDescent="0.25">
      <c r="K334" s="123" t="s">
        <v>443</v>
      </c>
      <c r="L334" s="126">
        <v>7288.2924219697525</v>
      </c>
      <c r="M334" s="126">
        <v>6.4090620913672867</v>
      </c>
      <c r="N334" s="126">
        <v>6987.3837633564781</v>
      </c>
      <c r="O334" s="126">
        <v>6.9145558752653828</v>
      </c>
      <c r="P334" s="123">
        <f t="shared" si="26"/>
        <v>300.90865861327438</v>
      </c>
      <c r="Q334" s="123">
        <f t="shared" si="27"/>
        <v>-0.50549378389809618</v>
      </c>
      <c r="R334" s="123">
        <f t="shared" si="24"/>
        <v>120892.94940537598</v>
      </c>
      <c r="S334" s="123">
        <f t="shared" si="25"/>
        <v>131303.73374195118</v>
      </c>
      <c r="T334" s="123">
        <f t="shared" si="28"/>
        <v>0</v>
      </c>
      <c r="U334" s="123">
        <f t="shared" si="29"/>
        <v>1</v>
      </c>
      <c r="W334" s="25"/>
    </row>
    <row r="335" spans="11:23" x14ac:dyDescent="0.25">
      <c r="K335" s="123" t="s">
        <v>444</v>
      </c>
      <c r="L335" s="126">
        <v>7459.3462697383802</v>
      </c>
      <c r="M335" s="126">
        <v>7.5081034892177936</v>
      </c>
      <c r="N335" s="126">
        <v>7975.785886335636</v>
      </c>
      <c r="O335" s="126">
        <v>8.5643285200484378</v>
      </c>
      <c r="P335" s="123">
        <f t="shared" si="26"/>
        <v>-516.43961659725574</v>
      </c>
      <c r="Q335" s="123">
        <f t="shared" si="27"/>
        <v>-1.0562250308306442</v>
      </c>
      <c r="R335" s="123">
        <f t="shared" si="24"/>
        <v>142702.72351461748</v>
      </c>
      <c r="S335" s="123">
        <f t="shared" si="25"/>
        <v>163310.78451463312</v>
      </c>
      <c r="T335" s="123">
        <f t="shared" si="28"/>
        <v>0</v>
      </c>
      <c r="U335" s="123">
        <f t="shared" si="29"/>
        <v>1</v>
      </c>
      <c r="W335" s="25"/>
    </row>
    <row r="336" spans="11:23" x14ac:dyDescent="0.25">
      <c r="K336" s="123" t="s">
        <v>445</v>
      </c>
      <c r="L336" s="126">
        <v>6654.2104242599471</v>
      </c>
      <c r="M336" s="126">
        <v>6.6885276575353032</v>
      </c>
      <c r="N336" s="126">
        <v>5205.7530262636119</v>
      </c>
      <c r="O336" s="126">
        <v>6.4650562869645141</v>
      </c>
      <c r="P336" s="123">
        <f t="shared" si="26"/>
        <v>1448.4573979963352</v>
      </c>
      <c r="Q336" s="123">
        <f t="shared" si="27"/>
        <v>0.22347137057078914</v>
      </c>
      <c r="R336" s="123">
        <f t="shared" si="24"/>
        <v>127116.34272644611</v>
      </c>
      <c r="S336" s="123">
        <f t="shared" si="25"/>
        <v>124095.37271302666</v>
      </c>
      <c r="T336" s="123">
        <f t="shared" si="28"/>
        <v>1</v>
      </c>
      <c r="U336" s="123">
        <f t="shared" si="29"/>
        <v>0</v>
      </c>
      <c r="W336" s="25"/>
    </row>
    <row r="337" spans="11:23" x14ac:dyDescent="0.25">
      <c r="K337" s="123" t="s">
        <v>446</v>
      </c>
      <c r="L337" s="126">
        <v>10090.900266435614</v>
      </c>
      <c r="M337" s="126">
        <v>8.3237433886380465</v>
      </c>
      <c r="N337" s="126">
        <v>4273.6958651013547</v>
      </c>
      <c r="O337" s="126">
        <v>3.6193491003256923</v>
      </c>
      <c r="P337" s="123">
        <f t="shared" si="26"/>
        <v>5817.2044013342593</v>
      </c>
      <c r="Q337" s="123">
        <f t="shared" si="27"/>
        <v>4.7043942883123542</v>
      </c>
      <c r="R337" s="123">
        <f t="shared" ref="R337:R400" si="30">M337*willingness_to_pay-L337</f>
        <v>156383.96750632531</v>
      </c>
      <c r="S337" s="123">
        <f t="shared" ref="S337:S400" si="31">O337*willingness_to_pay-N337</f>
        <v>68113.286141412493</v>
      </c>
      <c r="T337" s="123">
        <f t="shared" si="28"/>
        <v>1</v>
      </c>
      <c r="U337" s="123">
        <f t="shared" si="29"/>
        <v>0</v>
      </c>
      <c r="W337" s="25"/>
    </row>
    <row r="338" spans="11:23" x14ac:dyDescent="0.25">
      <c r="K338" s="123" t="s">
        <v>447</v>
      </c>
      <c r="L338" s="126">
        <v>10422.672517124527</v>
      </c>
      <c r="M338" s="126">
        <v>8.8924402816409316</v>
      </c>
      <c r="N338" s="126">
        <v>6075.8547853274031</v>
      </c>
      <c r="O338" s="126">
        <v>5.7670698995750094</v>
      </c>
      <c r="P338" s="123">
        <f t="shared" ref="P338:P401" si="32">L338-N338</f>
        <v>4346.817731797124</v>
      </c>
      <c r="Q338" s="123">
        <f t="shared" ref="Q338:Q401" si="33">M338-O338</f>
        <v>3.1253703820659222</v>
      </c>
      <c r="R338" s="123">
        <f t="shared" si="30"/>
        <v>167426.1331156941</v>
      </c>
      <c r="S338" s="123">
        <f t="shared" si="31"/>
        <v>109265.54320617278</v>
      </c>
      <c r="T338" s="123">
        <f t="shared" ref="T338:T401" si="34">IF(L338="", "",IF(R338=MAX(R338:S338),1,0))</f>
        <v>1</v>
      </c>
      <c r="U338" s="123">
        <f t="shared" ref="U338:U401" si="35">IF(N338="", "", IF(S338=MAX(R338:S338),1,0))</f>
        <v>0</v>
      </c>
      <c r="W338" s="25"/>
    </row>
    <row r="339" spans="11:23" x14ac:dyDescent="0.25">
      <c r="K339" s="123" t="s">
        <v>448</v>
      </c>
      <c r="L339" s="126">
        <v>8050.832201958332</v>
      </c>
      <c r="M339" s="126">
        <v>7.8227925501593347</v>
      </c>
      <c r="N339" s="126">
        <v>6339.750327955484</v>
      </c>
      <c r="O339" s="126">
        <v>6.6136463371927059</v>
      </c>
      <c r="P339" s="123">
        <f t="shared" si="32"/>
        <v>1711.0818740028481</v>
      </c>
      <c r="Q339" s="123">
        <f t="shared" si="33"/>
        <v>1.2091462129666288</v>
      </c>
      <c r="R339" s="123">
        <f t="shared" si="30"/>
        <v>148405.01880122835</v>
      </c>
      <c r="S339" s="123">
        <f t="shared" si="31"/>
        <v>125933.17641589865</v>
      </c>
      <c r="T339" s="123">
        <f t="shared" si="34"/>
        <v>1</v>
      </c>
      <c r="U339" s="123">
        <f t="shared" si="35"/>
        <v>0</v>
      </c>
      <c r="W339" s="25"/>
    </row>
    <row r="340" spans="11:23" x14ac:dyDescent="0.25">
      <c r="K340" s="123" t="s">
        <v>449</v>
      </c>
      <c r="L340" s="126">
        <v>4508.4507754147253</v>
      </c>
      <c r="M340" s="126">
        <v>4.6714610559149063</v>
      </c>
      <c r="N340" s="126">
        <v>6448.4164826544793</v>
      </c>
      <c r="O340" s="126">
        <v>7.0924796159631152</v>
      </c>
      <c r="P340" s="123">
        <f t="shared" si="32"/>
        <v>-1939.965707239754</v>
      </c>
      <c r="Q340" s="123">
        <f t="shared" si="33"/>
        <v>-2.4210185600482088</v>
      </c>
      <c r="R340" s="123">
        <f t="shared" si="30"/>
        <v>88920.770342883407</v>
      </c>
      <c r="S340" s="123">
        <f t="shared" si="31"/>
        <v>135401.17583660781</v>
      </c>
      <c r="T340" s="123">
        <f t="shared" si="34"/>
        <v>0</v>
      </c>
      <c r="U340" s="123">
        <f t="shared" si="35"/>
        <v>1</v>
      </c>
      <c r="W340" s="25"/>
    </row>
    <row r="341" spans="11:23" x14ac:dyDescent="0.25">
      <c r="K341" s="123" t="s">
        <v>450</v>
      </c>
      <c r="L341" s="126">
        <v>10955.912727179</v>
      </c>
      <c r="M341" s="126">
        <v>9.4043044373616507</v>
      </c>
      <c r="N341" s="126">
        <v>9224.261658972915</v>
      </c>
      <c r="O341" s="126">
        <v>7.973780019609471</v>
      </c>
      <c r="P341" s="123">
        <f t="shared" si="32"/>
        <v>1731.6510682060853</v>
      </c>
      <c r="Q341" s="123">
        <f t="shared" si="33"/>
        <v>1.4305244177521796</v>
      </c>
      <c r="R341" s="123">
        <f t="shared" si="30"/>
        <v>177130.176020054</v>
      </c>
      <c r="S341" s="123">
        <f t="shared" si="31"/>
        <v>150251.33873321651</v>
      </c>
      <c r="T341" s="123">
        <f t="shared" si="34"/>
        <v>1</v>
      </c>
      <c r="U341" s="123">
        <f t="shared" si="35"/>
        <v>0</v>
      </c>
      <c r="W341" s="25"/>
    </row>
    <row r="342" spans="11:23" x14ac:dyDescent="0.25">
      <c r="K342" s="123" t="s">
        <v>451</v>
      </c>
      <c r="L342" s="126">
        <v>9249.2618681780641</v>
      </c>
      <c r="M342" s="126">
        <v>9.1114640127934532</v>
      </c>
      <c r="N342" s="126">
        <v>6298.5604859164032</v>
      </c>
      <c r="O342" s="126">
        <v>6.8103009242156585</v>
      </c>
      <c r="P342" s="123">
        <f t="shared" si="32"/>
        <v>2950.7013822616609</v>
      </c>
      <c r="Q342" s="123">
        <f t="shared" si="33"/>
        <v>2.3011630885777947</v>
      </c>
      <c r="R342" s="123">
        <f t="shared" si="30"/>
        <v>172980.018387691</v>
      </c>
      <c r="S342" s="123">
        <f t="shared" si="31"/>
        <v>129907.45799839676</v>
      </c>
      <c r="T342" s="123">
        <f t="shared" si="34"/>
        <v>1</v>
      </c>
      <c r="U342" s="123">
        <f t="shared" si="35"/>
        <v>0</v>
      </c>
      <c r="W342" s="25"/>
    </row>
    <row r="343" spans="11:23" x14ac:dyDescent="0.25">
      <c r="K343" s="123" t="s">
        <v>452</v>
      </c>
      <c r="L343" s="126">
        <v>7863.9816831958669</v>
      </c>
      <c r="M343" s="126">
        <v>6.9553105039389109</v>
      </c>
      <c r="N343" s="126">
        <v>6357.3402793309378</v>
      </c>
      <c r="O343" s="126">
        <v>6.0435125875827724</v>
      </c>
      <c r="P343" s="123">
        <f t="shared" si="32"/>
        <v>1506.6414038649291</v>
      </c>
      <c r="Q343" s="123">
        <f t="shared" si="33"/>
        <v>0.91179791635613849</v>
      </c>
      <c r="R343" s="123">
        <f t="shared" si="30"/>
        <v>131242.22839558235</v>
      </c>
      <c r="S343" s="123">
        <f t="shared" si="31"/>
        <v>114512.91147232451</v>
      </c>
      <c r="T343" s="123">
        <f t="shared" si="34"/>
        <v>1</v>
      </c>
      <c r="U343" s="123">
        <f t="shared" si="35"/>
        <v>0</v>
      </c>
      <c r="W343" s="25"/>
    </row>
    <row r="344" spans="11:23" x14ac:dyDescent="0.25">
      <c r="K344" s="123" t="s">
        <v>453</v>
      </c>
      <c r="L344" s="126">
        <v>10210.119322168894</v>
      </c>
      <c r="M344" s="126">
        <v>9.1152205483519957</v>
      </c>
      <c r="N344" s="126">
        <v>5146.7751453798801</v>
      </c>
      <c r="O344" s="126">
        <v>4.992690357384042</v>
      </c>
      <c r="P344" s="123">
        <f t="shared" si="32"/>
        <v>5063.3441767890135</v>
      </c>
      <c r="Q344" s="123">
        <f t="shared" si="33"/>
        <v>4.1225301909679537</v>
      </c>
      <c r="R344" s="123">
        <f t="shared" si="30"/>
        <v>172094.291644871</v>
      </c>
      <c r="S344" s="123">
        <f t="shared" si="31"/>
        <v>94707.032002300955</v>
      </c>
      <c r="T344" s="123">
        <f t="shared" si="34"/>
        <v>1</v>
      </c>
      <c r="U344" s="123">
        <f t="shared" si="35"/>
        <v>0</v>
      </c>
      <c r="W344" s="25"/>
    </row>
    <row r="345" spans="11:23" x14ac:dyDescent="0.25">
      <c r="K345" s="123" t="s">
        <v>454</v>
      </c>
      <c r="L345" s="126">
        <v>7999.1516775968466</v>
      </c>
      <c r="M345" s="126">
        <v>8.1643792015036265</v>
      </c>
      <c r="N345" s="126">
        <v>7846.1784687168229</v>
      </c>
      <c r="O345" s="126">
        <v>8.9648871548992286</v>
      </c>
      <c r="P345" s="123">
        <f t="shared" si="32"/>
        <v>152.97320888002378</v>
      </c>
      <c r="Q345" s="123">
        <f t="shared" si="33"/>
        <v>-0.8005079533956021</v>
      </c>
      <c r="R345" s="123">
        <f t="shared" si="30"/>
        <v>155288.43235247568</v>
      </c>
      <c r="S345" s="123">
        <f t="shared" si="31"/>
        <v>171451.56462926776</v>
      </c>
      <c r="T345" s="123">
        <f t="shared" si="34"/>
        <v>0</v>
      </c>
      <c r="U345" s="123">
        <f t="shared" si="35"/>
        <v>1</v>
      </c>
      <c r="W345" s="25"/>
    </row>
    <row r="346" spans="11:23" x14ac:dyDescent="0.25">
      <c r="K346" s="123" t="s">
        <v>455</v>
      </c>
      <c r="L346" s="126">
        <v>13861.82562197779</v>
      </c>
      <c r="M346" s="126">
        <v>12.480626811964846</v>
      </c>
      <c r="N346" s="126">
        <v>7975.5833410693922</v>
      </c>
      <c r="O346" s="126">
        <v>7.3292017890569232</v>
      </c>
      <c r="P346" s="123">
        <f t="shared" si="32"/>
        <v>5886.2422809083982</v>
      </c>
      <c r="Q346" s="123">
        <f t="shared" si="33"/>
        <v>5.1514250229079233</v>
      </c>
      <c r="R346" s="123">
        <f t="shared" si="30"/>
        <v>235750.71061731913</v>
      </c>
      <c r="S346" s="123">
        <f t="shared" si="31"/>
        <v>138608.45244006906</v>
      </c>
      <c r="T346" s="123">
        <f t="shared" si="34"/>
        <v>1</v>
      </c>
      <c r="U346" s="123">
        <f t="shared" si="35"/>
        <v>0</v>
      </c>
      <c r="W346" s="25"/>
    </row>
    <row r="347" spans="11:23" x14ac:dyDescent="0.25">
      <c r="K347" s="123" t="s">
        <v>456</v>
      </c>
      <c r="L347" s="126">
        <v>8123.3437317513317</v>
      </c>
      <c r="M347" s="126">
        <v>7.507117478710156</v>
      </c>
      <c r="N347" s="126">
        <v>7559.5008224681478</v>
      </c>
      <c r="O347" s="126">
        <v>7.9219500864716004</v>
      </c>
      <c r="P347" s="123">
        <f t="shared" si="32"/>
        <v>563.84290928318387</v>
      </c>
      <c r="Q347" s="123">
        <f t="shared" si="33"/>
        <v>-0.41483260776144437</v>
      </c>
      <c r="R347" s="123">
        <f t="shared" si="30"/>
        <v>142019.00584245176</v>
      </c>
      <c r="S347" s="123">
        <f t="shared" si="31"/>
        <v>150879.50090696386</v>
      </c>
      <c r="T347" s="123">
        <f t="shared" si="34"/>
        <v>0</v>
      </c>
      <c r="U347" s="123">
        <f t="shared" si="35"/>
        <v>1</v>
      </c>
      <c r="W347" s="25"/>
    </row>
    <row r="348" spans="11:23" x14ac:dyDescent="0.25">
      <c r="K348" s="123" t="s">
        <v>457</v>
      </c>
      <c r="L348" s="126">
        <v>7701.6502156949464</v>
      </c>
      <c r="M348" s="126">
        <v>6.7012103707291812</v>
      </c>
      <c r="N348" s="126">
        <v>6165.7287172139404</v>
      </c>
      <c r="O348" s="126">
        <v>5.5537083258606366</v>
      </c>
      <c r="P348" s="123">
        <f t="shared" si="32"/>
        <v>1535.921498481006</v>
      </c>
      <c r="Q348" s="123">
        <f t="shared" si="33"/>
        <v>1.1475020448685447</v>
      </c>
      <c r="R348" s="123">
        <f t="shared" si="30"/>
        <v>126322.55719888868</v>
      </c>
      <c r="S348" s="123">
        <f t="shared" si="31"/>
        <v>104908.43779999879</v>
      </c>
      <c r="T348" s="123">
        <f t="shared" si="34"/>
        <v>1</v>
      </c>
      <c r="U348" s="123">
        <f t="shared" si="35"/>
        <v>0</v>
      </c>
      <c r="W348" s="25"/>
    </row>
    <row r="349" spans="11:23" x14ac:dyDescent="0.25">
      <c r="K349" s="123" t="s">
        <v>458</v>
      </c>
      <c r="L349" s="126">
        <v>7029.6494688289495</v>
      </c>
      <c r="M349" s="126">
        <v>7.1306810943341086</v>
      </c>
      <c r="N349" s="126">
        <v>5300.7909292316872</v>
      </c>
      <c r="O349" s="126">
        <v>6.1066244695878833</v>
      </c>
      <c r="P349" s="123">
        <f t="shared" si="32"/>
        <v>1728.8585395972623</v>
      </c>
      <c r="Q349" s="123">
        <f t="shared" si="33"/>
        <v>1.0240566247462253</v>
      </c>
      <c r="R349" s="123">
        <f t="shared" si="30"/>
        <v>135583.97241785322</v>
      </c>
      <c r="S349" s="123">
        <f t="shared" si="31"/>
        <v>116831.69846252598</v>
      </c>
      <c r="T349" s="123">
        <f t="shared" si="34"/>
        <v>1</v>
      </c>
      <c r="U349" s="123">
        <f t="shared" si="35"/>
        <v>0</v>
      </c>
      <c r="W349" s="25"/>
    </row>
    <row r="350" spans="11:23" x14ac:dyDescent="0.25">
      <c r="K350" s="123" t="s">
        <v>459</v>
      </c>
      <c r="L350" s="126">
        <v>9599.8589019439496</v>
      </c>
      <c r="M350" s="126">
        <v>8.3268505501701018</v>
      </c>
      <c r="N350" s="126">
        <v>6715.8721917436824</v>
      </c>
      <c r="O350" s="126">
        <v>6.1290527535515373</v>
      </c>
      <c r="P350" s="123">
        <f t="shared" si="32"/>
        <v>2883.9867102002672</v>
      </c>
      <c r="Q350" s="123">
        <f t="shared" si="33"/>
        <v>2.1977977966185644</v>
      </c>
      <c r="R350" s="123">
        <f t="shared" si="30"/>
        <v>156937.15210145808</v>
      </c>
      <c r="S350" s="123">
        <f t="shared" si="31"/>
        <v>115865.18287928707</v>
      </c>
      <c r="T350" s="123">
        <f t="shared" si="34"/>
        <v>1</v>
      </c>
      <c r="U350" s="123">
        <f t="shared" si="35"/>
        <v>0</v>
      </c>
      <c r="W350" s="25"/>
    </row>
    <row r="351" spans="11:23" x14ac:dyDescent="0.25">
      <c r="K351" s="123" t="s">
        <v>460</v>
      </c>
      <c r="L351" s="126">
        <v>8780.2668813734381</v>
      </c>
      <c r="M351" s="126">
        <v>6.6978396079332114</v>
      </c>
      <c r="N351" s="126">
        <v>6367.8227663423995</v>
      </c>
      <c r="O351" s="126">
        <v>5.7920665851404918</v>
      </c>
      <c r="P351" s="123">
        <f t="shared" si="32"/>
        <v>2412.4441150310386</v>
      </c>
      <c r="Q351" s="123">
        <f t="shared" si="33"/>
        <v>0.90577302279271965</v>
      </c>
      <c r="R351" s="123">
        <f t="shared" si="30"/>
        <v>125176.5252772908</v>
      </c>
      <c r="S351" s="123">
        <f t="shared" si="31"/>
        <v>109473.50893646743</v>
      </c>
      <c r="T351" s="123">
        <f t="shared" si="34"/>
        <v>1</v>
      </c>
      <c r="U351" s="123">
        <f t="shared" si="35"/>
        <v>0</v>
      </c>
      <c r="W351" s="25"/>
    </row>
    <row r="352" spans="11:23" x14ac:dyDescent="0.25">
      <c r="K352" s="123" t="s">
        <v>461</v>
      </c>
      <c r="L352" s="126">
        <v>9886.398863927905</v>
      </c>
      <c r="M352" s="126">
        <v>9.033374609463932</v>
      </c>
      <c r="N352" s="126">
        <v>10612.449563284454</v>
      </c>
      <c r="O352" s="126">
        <v>10.93623182283147</v>
      </c>
      <c r="P352" s="123">
        <f t="shared" si="32"/>
        <v>-726.05069935654865</v>
      </c>
      <c r="Q352" s="123">
        <f t="shared" si="33"/>
        <v>-1.9028572133675379</v>
      </c>
      <c r="R352" s="123">
        <f t="shared" si="30"/>
        <v>170781.09332535075</v>
      </c>
      <c r="S352" s="123">
        <f t="shared" si="31"/>
        <v>208112.18689334494</v>
      </c>
      <c r="T352" s="123">
        <f t="shared" si="34"/>
        <v>0</v>
      </c>
      <c r="U352" s="123">
        <f t="shared" si="35"/>
        <v>1</v>
      </c>
      <c r="W352" s="25"/>
    </row>
    <row r="353" spans="11:23" x14ac:dyDescent="0.25">
      <c r="K353" s="123" t="s">
        <v>462</v>
      </c>
      <c r="L353" s="126">
        <v>11811.190690217507</v>
      </c>
      <c r="M353" s="126">
        <v>10.339970616288365</v>
      </c>
      <c r="N353" s="126">
        <v>6838.9153585961067</v>
      </c>
      <c r="O353" s="126">
        <v>6.4402193010865769</v>
      </c>
      <c r="P353" s="123">
        <f t="shared" si="32"/>
        <v>4972.2753316214003</v>
      </c>
      <c r="Q353" s="123">
        <f t="shared" si="33"/>
        <v>3.8997513152017884</v>
      </c>
      <c r="R353" s="123">
        <f t="shared" si="30"/>
        <v>194988.22163554979</v>
      </c>
      <c r="S353" s="123">
        <f t="shared" si="31"/>
        <v>121965.47066313543</v>
      </c>
      <c r="T353" s="123">
        <f t="shared" si="34"/>
        <v>1</v>
      </c>
      <c r="U353" s="123">
        <f t="shared" si="35"/>
        <v>0</v>
      </c>
      <c r="W353" s="25"/>
    </row>
    <row r="354" spans="11:23" x14ac:dyDescent="0.25">
      <c r="K354" s="123" t="s">
        <v>463</v>
      </c>
      <c r="L354" s="126">
        <v>6228.740922678774</v>
      </c>
      <c r="M354" s="126">
        <v>6.2760477287077698</v>
      </c>
      <c r="N354" s="126">
        <v>5491.983589245895</v>
      </c>
      <c r="O354" s="126">
        <v>6.2541262444636834</v>
      </c>
      <c r="P354" s="123">
        <f t="shared" si="32"/>
        <v>736.75733343287902</v>
      </c>
      <c r="Q354" s="123">
        <f t="shared" si="33"/>
        <v>2.1921484244086464E-2</v>
      </c>
      <c r="R354" s="123">
        <f t="shared" si="30"/>
        <v>119292.21365147663</v>
      </c>
      <c r="S354" s="123">
        <f t="shared" si="31"/>
        <v>119590.54130002778</v>
      </c>
      <c r="T354" s="123">
        <f t="shared" si="34"/>
        <v>0</v>
      </c>
      <c r="U354" s="123">
        <f t="shared" si="35"/>
        <v>1</v>
      </c>
      <c r="W354" s="25"/>
    </row>
    <row r="355" spans="11:23" x14ac:dyDescent="0.25">
      <c r="K355" s="123" t="s">
        <v>464</v>
      </c>
      <c r="L355" s="126">
        <v>7186.1875733590841</v>
      </c>
      <c r="M355" s="126">
        <v>6.7905563309060968</v>
      </c>
      <c r="N355" s="126">
        <v>6094.0869508512778</v>
      </c>
      <c r="O355" s="126">
        <v>6.6000128097386535</v>
      </c>
      <c r="P355" s="123">
        <f t="shared" si="32"/>
        <v>1092.1006225078063</v>
      </c>
      <c r="Q355" s="123">
        <f t="shared" si="33"/>
        <v>0.19054352116744333</v>
      </c>
      <c r="R355" s="123">
        <f t="shared" si="30"/>
        <v>128624.93904476284</v>
      </c>
      <c r="S355" s="123">
        <f t="shared" si="31"/>
        <v>125906.16924392179</v>
      </c>
      <c r="T355" s="123">
        <f t="shared" si="34"/>
        <v>1</v>
      </c>
      <c r="U355" s="123">
        <f t="shared" si="35"/>
        <v>0</v>
      </c>
      <c r="W355" s="25"/>
    </row>
    <row r="356" spans="11:23" x14ac:dyDescent="0.25">
      <c r="K356" s="123" t="s">
        <v>465</v>
      </c>
      <c r="L356" s="126">
        <v>9903.5039621696924</v>
      </c>
      <c r="M356" s="126">
        <v>8.1842565484241998</v>
      </c>
      <c r="N356" s="126">
        <v>6520.5674383443793</v>
      </c>
      <c r="O356" s="126">
        <v>5.6560437409336366</v>
      </c>
      <c r="P356" s="123">
        <f t="shared" si="32"/>
        <v>3382.9365238253131</v>
      </c>
      <c r="Q356" s="123">
        <f t="shared" si="33"/>
        <v>2.5282128074905632</v>
      </c>
      <c r="R356" s="123">
        <f t="shared" si="30"/>
        <v>153781.62700631432</v>
      </c>
      <c r="S356" s="123">
        <f t="shared" si="31"/>
        <v>106600.30738032835</v>
      </c>
      <c r="T356" s="123">
        <f t="shared" si="34"/>
        <v>1</v>
      </c>
      <c r="U356" s="123">
        <f t="shared" si="35"/>
        <v>0</v>
      </c>
      <c r="W356" s="25"/>
    </row>
    <row r="357" spans="11:23" x14ac:dyDescent="0.25">
      <c r="K357" s="123" t="s">
        <v>466</v>
      </c>
      <c r="L357" s="126">
        <v>6762.8254610365566</v>
      </c>
      <c r="M357" s="126">
        <v>5.3356091989281795</v>
      </c>
      <c r="N357" s="126">
        <v>8324.7067930052872</v>
      </c>
      <c r="O357" s="126">
        <v>7.5858549715828056</v>
      </c>
      <c r="P357" s="123">
        <f t="shared" si="32"/>
        <v>-1561.8813319687306</v>
      </c>
      <c r="Q357" s="123">
        <f t="shared" si="33"/>
        <v>-2.2502457726546261</v>
      </c>
      <c r="R357" s="123">
        <f t="shared" si="30"/>
        <v>99949.358517527042</v>
      </c>
      <c r="S357" s="123">
        <f t="shared" si="31"/>
        <v>143392.39263865084</v>
      </c>
      <c r="T357" s="123">
        <f t="shared" si="34"/>
        <v>0</v>
      </c>
      <c r="U357" s="123">
        <f t="shared" si="35"/>
        <v>1</v>
      </c>
      <c r="W357" s="25"/>
    </row>
    <row r="358" spans="11:23" x14ac:dyDescent="0.25">
      <c r="K358" s="123" t="s">
        <v>467</v>
      </c>
      <c r="L358" s="126">
        <v>5215.1652783518712</v>
      </c>
      <c r="M358" s="126">
        <v>5.6038239928720772</v>
      </c>
      <c r="N358" s="126">
        <v>5483.0993839550001</v>
      </c>
      <c r="O358" s="126">
        <v>6.2089742316748424</v>
      </c>
      <c r="P358" s="123">
        <f t="shared" si="32"/>
        <v>-267.93410560312896</v>
      </c>
      <c r="Q358" s="123">
        <f t="shared" si="33"/>
        <v>-0.60515023880276519</v>
      </c>
      <c r="R358" s="123">
        <f t="shared" si="30"/>
        <v>106861.31457908968</v>
      </c>
      <c r="S358" s="123">
        <f t="shared" si="31"/>
        <v>118696.38524954184</v>
      </c>
      <c r="T358" s="123">
        <f t="shared" si="34"/>
        <v>0</v>
      </c>
      <c r="U358" s="123">
        <f t="shared" si="35"/>
        <v>1</v>
      </c>
      <c r="W358" s="25"/>
    </row>
    <row r="359" spans="11:23" x14ac:dyDescent="0.25">
      <c r="K359" s="123" t="s">
        <v>468</v>
      </c>
      <c r="L359" s="126">
        <v>7258.1532146682412</v>
      </c>
      <c r="M359" s="126">
        <v>6.5255621583038792</v>
      </c>
      <c r="N359" s="126">
        <v>6295.5693148492119</v>
      </c>
      <c r="O359" s="126">
        <v>6.4278123776362825</v>
      </c>
      <c r="P359" s="123">
        <f t="shared" si="32"/>
        <v>962.58389981902928</v>
      </c>
      <c r="Q359" s="123">
        <f t="shared" si="33"/>
        <v>9.7749780667596653E-2</v>
      </c>
      <c r="R359" s="123">
        <f t="shared" si="30"/>
        <v>123253.08995140935</v>
      </c>
      <c r="S359" s="123">
        <f t="shared" si="31"/>
        <v>122260.67823787643</v>
      </c>
      <c r="T359" s="123">
        <f t="shared" si="34"/>
        <v>1</v>
      </c>
      <c r="U359" s="123">
        <f t="shared" si="35"/>
        <v>0</v>
      </c>
      <c r="W359" s="25"/>
    </row>
    <row r="360" spans="11:23" x14ac:dyDescent="0.25">
      <c r="K360" s="123" t="s">
        <v>469</v>
      </c>
      <c r="L360" s="126">
        <v>7289.3476526375816</v>
      </c>
      <c r="M360" s="126">
        <v>6.5059090962489252</v>
      </c>
      <c r="N360" s="126">
        <v>8565.6482960277335</v>
      </c>
      <c r="O360" s="126">
        <v>7.6040855270945968</v>
      </c>
      <c r="P360" s="123">
        <f t="shared" si="32"/>
        <v>-1276.3006433901519</v>
      </c>
      <c r="Q360" s="123">
        <f t="shared" si="33"/>
        <v>-1.0981764308456716</v>
      </c>
      <c r="R360" s="123">
        <f t="shared" si="30"/>
        <v>122828.83427234093</v>
      </c>
      <c r="S360" s="123">
        <f t="shared" si="31"/>
        <v>143516.06224586419</v>
      </c>
      <c r="T360" s="123">
        <f t="shared" si="34"/>
        <v>0</v>
      </c>
      <c r="U360" s="123">
        <f t="shared" si="35"/>
        <v>1</v>
      </c>
      <c r="W360" s="25"/>
    </row>
    <row r="361" spans="11:23" x14ac:dyDescent="0.25">
      <c r="K361" s="123" t="s">
        <v>470</v>
      </c>
      <c r="L361" s="126">
        <v>9010.6860290475597</v>
      </c>
      <c r="M361" s="126">
        <v>9.0387181275058204</v>
      </c>
      <c r="N361" s="126">
        <v>6171.6886699877177</v>
      </c>
      <c r="O361" s="126">
        <v>6.8885105715934767</v>
      </c>
      <c r="P361" s="123">
        <f t="shared" si="32"/>
        <v>2838.997359059842</v>
      </c>
      <c r="Q361" s="123">
        <f t="shared" si="33"/>
        <v>2.1502075559123437</v>
      </c>
      <c r="R361" s="123">
        <f t="shared" si="30"/>
        <v>171763.67652106885</v>
      </c>
      <c r="S361" s="123">
        <f t="shared" si="31"/>
        <v>131598.52276188182</v>
      </c>
      <c r="T361" s="123">
        <f t="shared" si="34"/>
        <v>1</v>
      </c>
      <c r="U361" s="123">
        <f t="shared" si="35"/>
        <v>0</v>
      </c>
      <c r="W361" s="25"/>
    </row>
    <row r="362" spans="11:23" x14ac:dyDescent="0.25">
      <c r="K362" s="123" t="s">
        <v>471</v>
      </c>
      <c r="L362" s="126">
        <v>6399.4814617023494</v>
      </c>
      <c r="M362" s="126">
        <v>5.16215200532283</v>
      </c>
      <c r="N362" s="126">
        <v>7171.8138942514643</v>
      </c>
      <c r="O362" s="126">
        <v>6.4455998989148791</v>
      </c>
      <c r="P362" s="123">
        <f t="shared" si="32"/>
        <v>-772.33243254911486</v>
      </c>
      <c r="Q362" s="123">
        <f t="shared" si="33"/>
        <v>-1.283447893592049</v>
      </c>
      <c r="R362" s="123">
        <f t="shared" si="30"/>
        <v>96843.558644754245</v>
      </c>
      <c r="S362" s="123">
        <f t="shared" si="31"/>
        <v>121740.18408404612</v>
      </c>
      <c r="T362" s="123">
        <f t="shared" si="34"/>
        <v>0</v>
      </c>
      <c r="U362" s="123">
        <f t="shared" si="35"/>
        <v>1</v>
      </c>
      <c r="W362" s="25"/>
    </row>
    <row r="363" spans="11:23" x14ac:dyDescent="0.25">
      <c r="K363" s="123" t="s">
        <v>472</v>
      </c>
      <c r="L363" s="126">
        <v>8224.1493234347636</v>
      </c>
      <c r="M363" s="126">
        <v>7.4854353695541027</v>
      </c>
      <c r="N363" s="126">
        <v>7382.5323834398469</v>
      </c>
      <c r="O363" s="126">
        <v>6.6348400669127336</v>
      </c>
      <c r="P363" s="123">
        <f t="shared" si="32"/>
        <v>841.61693999491672</v>
      </c>
      <c r="Q363" s="123">
        <f t="shared" si="33"/>
        <v>0.85059530264136907</v>
      </c>
      <c r="R363" s="123">
        <f t="shared" si="30"/>
        <v>141484.55806764727</v>
      </c>
      <c r="S363" s="123">
        <f t="shared" si="31"/>
        <v>125314.26895481483</v>
      </c>
      <c r="T363" s="123">
        <f t="shared" si="34"/>
        <v>1</v>
      </c>
      <c r="U363" s="123">
        <f t="shared" si="35"/>
        <v>0</v>
      </c>
      <c r="W363" s="25"/>
    </row>
    <row r="364" spans="11:23" x14ac:dyDescent="0.25">
      <c r="K364" s="123" t="s">
        <v>473</v>
      </c>
      <c r="L364" s="126">
        <v>11235.954711276188</v>
      </c>
      <c r="M364" s="126">
        <v>11.131961916444814</v>
      </c>
      <c r="N364" s="126">
        <v>7309.6906493449133</v>
      </c>
      <c r="O364" s="126">
        <v>8.1243084253501774</v>
      </c>
      <c r="P364" s="123">
        <f t="shared" si="32"/>
        <v>3926.2640619312751</v>
      </c>
      <c r="Q364" s="123">
        <f t="shared" si="33"/>
        <v>3.0076534910946364</v>
      </c>
      <c r="R364" s="123">
        <f t="shared" si="30"/>
        <v>211403.28361762009</v>
      </c>
      <c r="S364" s="123">
        <f t="shared" si="31"/>
        <v>155176.47785765864</v>
      </c>
      <c r="T364" s="123">
        <f t="shared" si="34"/>
        <v>1</v>
      </c>
      <c r="U364" s="123">
        <f t="shared" si="35"/>
        <v>0</v>
      </c>
      <c r="W364" s="25"/>
    </row>
    <row r="365" spans="11:23" x14ac:dyDescent="0.25">
      <c r="K365" s="123" t="s">
        <v>474</v>
      </c>
      <c r="L365" s="126">
        <v>7777.2771756304865</v>
      </c>
      <c r="M365" s="126">
        <v>7.7324668276167525</v>
      </c>
      <c r="N365" s="126">
        <v>8579.7794726057036</v>
      </c>
      <c r="O365" s="126">
        <v>9.6385773581535581</v>
      </c>
      <c r="P365" s="123">
        <f t="shared" si="32"/>
        <v>-802.50229697521718</v>
      </c>
      <c r="Q365" s="123">
        <f t="shared" si="33"/>
        <v>-1.9061105305368056</v>
      </c>
      <c r="R365" s="123">
        <f t="shared" si="30"/>
        <v>146872.05937670456</v>
      </c>
      <c r="S365" s="123">
        <f t="shared" si="31"/>
        <v>184191.76769046547</v>
      </c>
      <c r="T365" s="123">
        <f t="shared" si="34"/>
        <v>0</v>
      </c>
      <c r="U365" s="123">
        <f t="shared" si="35"/>
        <v>1</v>
      </c>
      <c r="W365" s="25"/>
    </row>
    <row r="366" spans="11:23" x14ac:dyDescent="0.25">
      <c r="K366" s="123" t="s">
        <v>475</v>
      </c>
      <c r="L366" s="126">
        <v>9428.0679407205589</v>
      </c>
      <c r="M366" s="126">
        <v>5.743777304075091</v>
      </c>
      <c r="N366" s="126">
        <v>5461.323468174076</v>
      </c>
      <c r="O366" s="126">
        <v>4.1162596146576638</v>
      </c>
      <c r="P366" s="123">
        <f t="shared" si="32"/>
        <v>3966.7444725464829</v>
      </c>
      <c r="Q366" s="123">
        <f t="shared" si="33"/>
        <v>1.6275176894174272</v>
      </c>
      <c r="R366" s="123">
        <f t="shared" si="30"/>
        <v>105447.47814078126</v>
      </c>
      <c r="S366" s="123">
        <f t="shared" si="31"/>
        <v>76863.868824979203</v>
      </c>
      <c r="T366" s="123">
        <f t="shared" si="34"/>
        <v>1</v>
      </c>
      <c r="U366" s="123">
        <f t="shared" si="35"/>
        <v>0</v>
      </c>
      <c r="W366" s="25"/>
    </row>
    <row r="367" spans="11:23" x14ac:dyDescent="0.25">
      <c r="K367" s="123" t="s">
        <v>476</v>
      </c>
      <c r="L367" s="126">
        <v>10381.290163874859</v>
      </c>
      <c r="M367" s="126">
        <v>10.815618505005634</v>
      </c>
      <c r="N367" s="126">
        <v>6104.4633301914655</v>
      </c>
      <c r="O367" s="126">
        <v>7.1626250811967456</v>
      </c>
      <c r="P367" s="123">
        <f t="shared" si="32"/>
        <v>4276.8268336833935</v>
      </c>
      <c r="Q367" s="123">
        <f t="shared" si="33"/>
        <v>3.6529934238088888</v>
      </c>
      <c r="R367" s="123">
        <f t="shared" si="30"/>
        <v>205931.07993623783</v>
      </c>
      <c r="S367" s="123">
        <f t="shared" si="31"/>
        <v>137148.03829374345</v>
      </c>
      <c r="T367" s="123">
        <f t="shared" si="34"/>
        <v>1</v>
      </c>
      <c r="U367" s="123">
        <f t="shared" si="35"/>
        <v>0</v>
      </c>
      <c r="W367" s="25"/>
    </row>
    <row r="368" spans="11:23" x14ac:dyDescent="0.25">
      <c r="K368" s="123" t="s">
        <v>477</v>
      </c>
      <c r="L368" s="126">
        <v>12670.009032980581</v>
      </c>
      <c r="M368" s="126">
        <v>10.928843865556763</v>
      </c>
      <c r="N368" s="126">
        <v>8531.7601501463141</v>
      </c>
      <c r="O368" s="126">
        <v>7.0712502269489832</v>
      </c>
      <c r="P368" s="123">
        <f t="shared" si="32"/>
        <v>4138.2488828342666</v>
      </c>
      <c r="Q368" s="123">
        <f t="shared" si="33"/>
        <v>3.8575936386077796</v>
      </c>
      <c r="R368" s="123">
        <f t="shared" si="30"/>
        <v>205906.8682781547</v>
      </c>
      <c r="S368" s="123">
        <f t="shared" si="31"/>
        <v>132893.24438883335</v>
      </c>
      <c r="T368" s="123">
        <f t="shared" si="34"/>
        <v>1</v>
      </c>
      <c r="U368" s="123">
        <f t="shared" si="35"/>
        <v>0</v>
      </c>
      <c r="W368" s="25"/>
    </row>
    <row r="369" spans="11:23" x14ac:dyDescent="0.25">
      <c r="K369" s="123" t="s">
        <v>478</v>
      </c>
      <c r="L369" s="126">
        <v>7970.9378337941944</v>
      </c>
      <c r="M369" s="126">
        <v>8.1661052911542331</v>
      </c>
      <c r="N369" s="126">
        <v>4230.2018060187738</v>
      </c>
      <c r="O369" s="126">
        <v>4.4550078347211057</v>
      </c>
      <c r="P369" s="123">
        <f t="shared" si="32"/>
        <v>3740.7360277754206</v>
      </c>
      <c r="Q369" s="123">
        <f t="shared" si="33"/>
        <v>3.7110974564331274</v>
      </c>
      <c r="R369" s="123">
        <f t="shared" si="30"/>
        <v>155351.16798929046</v>
      </c>
      <c r="S369" s="123">
        <f t="shared" si="31"/>
        <v>84869.954888403343</v>
      </c>
      <c r="T369" s="123">
        <f t="shared" si="34"/>
        <v>1</v>
      </c>
      <c r="U369" s="123">
        <f t="shared" si="35"/>
        <v>0</v>
      </c>
      <c r="W369" s="25"/>
    </row>
    <row r="370" spans="11:23" x14ac:dyDescent="0.25">
      <c r="K370" s="123" t="s">
        <v>479</v>
      </c>
      <c r="L370" s="126">
        <v>9849.9128138489596</v>
      </c>
      <c r="M370" s="126">
        <v>9.625131769895976</v>
      </c>
      <c r="N370" s="126">
        <v>6304.6061064806372</v>
      </c>
      <c r="O370" s="126">
        <v>6.467986189484261</v>
      </c>
      <c r="P370" s="123">
        <f t="shared" si="32"/>
        <v>3545.3067073683223</v>
      </c>
      <c r="Q370" s="123">
        <f t="shared" si="33"/>
        <v>3.157145580411715</v>
      </c>
      <c r="R370" s="123">
        <f t="shared" si="30"/>
        <v>182652.72258407055</v>
      </c>
      <c r="S370" s="123">
        <f t="shared" si="31"/>
        <v>123055.11768320457</v>
      </c>
      <c r="T370" s="123">
        <f t="shared" si="34"/>
        <v>1</v>
      </c>
      <c r="U370" s="123">
        <f t="shared" si="35"/>
        <v>0</v>
      </c>
      <c r="W370" s="25"/>
    </row>
    <row r="371" spans="11:23" x14ac:dyDescent="0.25">
      <c r="K371" s="123" t="s">
        <v>480</v>
      </c>
      <c r="L371" s="126">
        <v>5651.0201514110377</v>
      </c>
      <c r="M371" s="126">
        <v>4.9690125455982361</v>
      </c>
      <c r="N371" s="126">
        <v>4756.5325009178714</v>
      </c>
      <c r="O371" s="126">
        <v>4.5085146966593195</v>
      </c>
      <c r="P371" s="123">
        <f t="shared" si="32"/>
        <v>894.48765049316626</v>
      </c>
      <c r="Q371" s="123">
        <f t="shared" si="33"/>
        <v>0.46049784893891665</v>
      </c>
      <c r="R371" s="123">
        <f t="shared" si="30"/>
        <v>93729.230760553692</v>
      </c>
      <c r="S371" s="123">
        <f t="shared" si="31"/>
        <v>85413.761432268511</v>
      </c>
      <c r="T371" s="123">
        <f t="shared" si="34"/>
        <v>1</v>
      </c>
      <c r="U371" s="123">
        <f t="shared" si="35"/>
        <v>0</v>
      </c>
      <c r="W371" s="25"/>
    </row>
    <row r="372" spans="11:23" x14ac:dyDescent="0.25">
      <c r="K372" s="123" t="s">
        <v>481</v>
      </c>
      <c r="L372" s="126">
        <v>6807.5457124444447</v>
      </c>
      <c r="M372" s="126">
        <v>5.4754493053668938</v>
      </c>
      <c r="N372" s="126">
        <v>6563.9416613264493</v>
      </c>
      <c r="O372" s="126">
        <v>5.8375895952642232</v>
      </c>
      <c r="P372" s="123">
        <f t="shared" si="32"/>
        <v>243.60405111799537</v>
      </c>
      <c r="Q372" s="123">
        <f t="shared" si="33"/>
        <v>-0.36214028989732938</v>
      </c>
      <c r="R372" s="123">
        <f t="shared" si="30"/>
        <v>102701.44039489342</v>
      </c>
      <c r="S372" s="123">
        <f t="shared" si="31"/>
        <v>110187.85024395802</v>
      </c>
      <c r="T372" s="123">
        <f t="shared" si="34"/>
        <v>0</v>
      </c>
      <c r="U372" s="123">
        <f t="shared" si="35"/>
        <v>1</v>
      </c>
      <c r="W372" s="25"/>
    </row>
    <row r="373" spans="11:23" x14ac:dyDescent="0.25">
      <c r="K373" s="123" t="s">
        <v>482</v>
      </c>
      <c r="L373" s="126">
        <v>11497.738239309765</v>
      </c>
      <c r="M373" s="126">
        <v>10.952949203840651</v>
      </c>
      <c r="N373" s="126">
        <v>7592.4314678110886</v>
      </c>
      <c r="O373" s="126">
        <v>7.0827226838986022</v>
      </c>
      <c r="P373" s="123">
        <f t="shared" si="32"/>
        <v>3905.3067714986764</v>
      </c>
      <c r="Q373" s="123">
        <f t="shared" si="33"/>
        <v>3.8702265199420491</v>
      </c>
      <c r="R373" s="123">
        <f t="shared" si="30"/>
        <v>207561.24583750329</v>
      </c>
      <c r="S373" s="123">
        <f t="shared" si="31"/>
        <v>134062.02221016097</v>
      </c>
      <c r="T373" s="123">
        <f t="shared" si="34"/>
        <v>1</v>
      </c>
      <c r="U373" s="123">
        <f t="shared" si="35"/>
        <v>0</v>
      </c>
      <c r="W373" s="25"/>
    </row>
    <row r="374" spans="11:23" x14ac:dyDescent="0.25">
      <c r="K374" s="123" t="s">
        <v>483</v>
      </c>
      <c r="L374" s="126">
        <v>7086.1958790109547</v>
      </c>
      <c r="M374" s="126">
        <v>6.528076124467832</v>
      </c>
      <c r="N374" s="126">
        <v>6769.0446251858466</v>
      </c>
      <c r="O374" s="126">
        <v>6.8025309435624619</v>
      </c>
      <c r="P374" s="123">
        <f t="shared" si="32"/>
        <v>317.15125382510814</v>
      </c>
      <c r="Q374" s="123">
        <f t="shared" si="33"/>
        <v>-0.27445481909462988</v>
      </c>
      <c r="R374" s="123">
        <f t="shared" si="30"/>
        <v>123475.32661034568</v>
      </c>
      <c r="S374" s="123">
        <f t="shared" si="31"/>
        <v>129281.57424606338</v>
      </c>
      <c r="T374" s="123">
        <f t="shared" si="34"/>
        <v>0</v>
      </c>
      <c r="U374" s="123">
        <f t="shared" si="35"/>
        <v>1</v>
      </c>
      <c r="W374" s="25"/>
    </row>
    <row r="375" spans="11:23" x14ac:dyDescent="0.25">
      <c r="K375" s="123" t="s">
        <v>484</v>
      </c>
      <c r="L375" s="126">
        <v>8834.4667743951668</v>
      </c>
      <c r="M375" s="126">
        <v>8.9178622164530168</v>
      </c>
      <c r="N375" s="126">
        <v>5533.8273092003037</v>
      </c>
      <c r="O375" s="126">
        <v>6.2359058559027911</v>
      </c>
      <c r="P375" s="123">
        <f t="shared" si="32"/>
        <v>3300.6394651948631</v>
      </c>
      <c r="Q375" s="123">
        <f t="shared" si="33"/>
        <v>2.6819563605502257</v>
      </c>
      <c r="R375" s="123">
        <f t="shared" si="30"/>
        <v>169522.77755466517</v>
      </c>
      <c r="S375" s="123">
        <f t="shared" si="31"/>
        <v>119184.28980885551</v>
      </c>
      <c r="T375" s="123">
        <f t="shared" si="34"/>
        <v>1</v>
      </c>
      <c r="U375" s="123">
        <f t="shared" si="35"/>
        <v>0</v>
      </c>
      <c r="W375" s="25"/>
    </row>
    <row r="376" spans="11:23" x14ac:dyDescent="0.25">
      <c r="K376" s="123" t="s">
        <v>485</v>
      </c>
      <c r="L376" s="126">
        <v>8667.8105635886823</v>
      </c>
      <c r="M376" s="126">
        <v>8.5825058667922303</v>
      </c>
      <c r="N376" s="126">
        <v>8755.3980595210687</v>
      </c>
      <c r="O376" s="126">
        <v>9.6104882000491294</v>
      </c>
      <c r="P376" s="123">
        <f t="shared" si="32"/>
        <v>-87.587495932386446</v>
      </c>
      <c r="Q376" s="123">
        <f t="shared" si="33"/>
        <v>-1.0279823332568991</v>
      </c>
      <c r="R376" s="123">
        <f t="shared" si="30"/>
        <v>162982.30677225592</v>
      </c>
      <c r="S376" s="123">
        <f t="shared" si="31"/>
        <v>183454.36594146152</v>
      </c>
      <c r="T376" s="123">
        <f t="shared" si="34"/>
        <v>0</v>
      </c>
      <c r="U376" s="123">
        <f t="shared" si="35"/>
        <v>1</v>
      </c>
      <c r="W376" s="25"/>
    </row>
    <row r="377" spans="11:23" x14ac:dyDescent="0.25">
      <c r="K377" s="123" t="s">
        <v>486</v>
      </c>
      <c r="L377" s="126">
        <v>8754.6095824091808</v>
      </c>
      <c r="M377" s="126">
        <v>7.6361194533991075</v>
      </c>
      <c r="N377" s="126">
        <v>7336.234089927847</v>
      </c>
      <c r="O377" s="126">
        <v>7.0992815457709382</v>
      </c>
      <c r="P377" s="123">
        <f t="shared" si="32"/>
        <v>1418.3754924813338</v>
      </c>
      <c r="Q377" s="123">
        <f t="shared" si="33"/>
        <v>0.5368379076281693</v>
      </c>
      <c r="R377" s="123">
        <f t="shared" si="30"/>
        <v>143967.77948557297</v>
      </c>
      <c r="S377" s="123">
        <f t="shared" si="31"/>
        <v>134649.39682549093</v>
      </c>
      <c r="T377" s="123">
        <f t="shared" si="34"/>
        <v>1</v>
      </c>
      <c r="U377" s="123">
        <f t="shared" si="35"/>
        <v>0</v>
      </c>
      <c r="W377" s="25"/>
    </row>
    <row r="378" spans="11:23" x14ac:dyDescent="0.25">
      <c r="K378" s="123" t="s">
        <v>487</v>
      </c>
      <c r="L378" s="126">
        <v>6285.1733114519429</v>
      </c>
      <c r="M378" s="126">
        <v>5.4979989267157423</v>
      </c>
      <c r="N378" s="126">
        <v>7543.797577541689</v>
      </c>
      <c r="O378" s="126">
        <v>7.733560195182493</v>
      </c>
      <c r="P378" s="123">
        <f t="shared" si="32"/>
        <v>-1258.624266089746</v>
      </c>
      <c r="Q378" s="123">
        <f t="shared" si="33"/>
        <v>-2.2355612684667507</v>
      </c>
      <c r="R378" s="123">
        <f t="shared" si="30"/>
        <v>103674.80522286289</v>
      </c>
      <c r="S378" s="123">
        <f t="shared" si="31"/>
        <v>147127.40632610818</v>
      </c>
      <c r="T378" s="123">
        <f t="shared" si="34"/>
        <v>0</v>
      </c>
      <c r="U378" s="123">
        <f t="shared" si="35"/>
        <v>1</v>
      </c>
      <c r="W378" s="25"/>
    </row>
    <row r="379" spans="11:23" x14ac:dyDescent="0.25">
      <c r="K379" s="123" t="s">
        <v>488</v>
      </c>
      <c r="L379" s="126">
        <v>9298.6768808137494</v>
      </c>
      <c r="M379" s="126">
        <v>9.4561418085658797</v>
      </c>
      <c r="N379" s="126">
        <v>6653.9672112972512</v>
      </c>
      <c r="O379" s="126">
        <v>7.2507319947402902</v>
      </c>
      <c r="P379" s="123">
        <f t="shared" si="32"/>
        <v>2644.7096695164983</v>
      </c>
      <c r="Q379" s="123">
        <f t="shared" si="33"/>
        <v>2.2054098138255895</v>
      </c>
      <c r="R379" s="123">
        <f t="shared" si="30"/>
        <v>179824.15929050383</v>
      </c>
      <c r="S379" s="123">
        <f t="shared" si="31"/>
        <v>138360.67268350854</v>
      </c>
      <c r="T379" s="123">
        <f t="shared" si="34"/>
        <v>1</v>
      </c>
      <c r="U379" s="123">
        <f t="shared" si="35"/>
        <v>0</v>
      </c>
      <c r="W379" s="25"/>
    </row>
    <row r="380" spans="11:23" x14ac:dyDescent="0.25">
      <c r="K380" s="123" t="s">
        <v>489</v>
      </c>
      <c r="L380" s="126">
        <v>7285.7342561719361</v>
      </c>
      <c r="M380" s="126">
        <v>7.513753073732528</v>
      </c>
      <c r="N380" s="126">
        <v>6228.2292766344017</v>
      </c>
      <c r="O380" s="126">
        <v>7.1330118097388056</v>
      </c>
      <c r="P380" s="123">
        <f t="shared" si="32"/>
        <v>1057.5049795375344</v>
      </c>
      <c r="Q380" s="123">
        <f t="shared" si="33"/>
        <v>0.38074126399372243</v>
      </c>
      <c r="R380" s="123">
        <f t="shared" si="30"/>
        <v>142989.3272184786</v>
      </c>
      <c r="S380" s="123">
        <f t="shared" si="31"/>
        <v>136432.00691814171</v>
      </c>
      <c r="T380" s="123">
        <f t="shared" si="34"/>
        <v>1</v>
      </c>
      <c r="U380" s="123">
        <f t="shared" si="35"/>
        <v>0</v>
      </c>
      <c r="W380" s="25"/>
    </row>
    <row r="381" spans="11:23" x14ac:dyDescent="0.25">
      <c r="K381" s="123" t="s">
        <v>490</v>
      </c>
      <c r="L381" s="126">
        <v>8442.4541750432363</v>
      </c>
      <c r="M381" s="126">
        <v>7.3623408842099591</v>
      </c>
      <c r="N381" s="126">
        <v>7717.7640744255677</v>
      </c>
      <c r="O381" s="126">
        <v>7.9462654949002562</v>
      </c>
      <c r="P381" s="123">
        <f t="shared" si="32"/>
        <v>724.69010061766858</v>
      </c>
      <c r="Q381" s="123">
        <f t="shared" si="33"/>
        <v>-0.58392461069029711</v>
      </c>
      <c r="R381" s="123">
        <f t="shared" si="30"/>
        <v>138804.36350915596</v>
      </c>
      <c r="S381" s="123">
        <f t="shared" si="31"/>
        <v>151207.54582357957</v>
      </c>
      <c r="T381" s="123">
        <f t="shared" si="34"/>
        <v>0</v>
      </c>
      <c r="U381" s="123">
        <f t="shared" si="35"/>
        <v>1</v>
      </c>
      <c r="W381" s="25"/>
    </row>
    <row r="382" spans="11:23" x14ac:dyDescent="0.25">
      <c r="K382" s="123" t="s">
        <v>491</v>
      </c>
      <c r="L382" s="126">
        <v>6777.1915205211235</v>
      </c>
      <c r="M382" s="126">
        <v>6.1451821269531779</v>
      </c>
      <c r="N382" s="126">
        <v>7045.0334907330935</v>
      </c>
      <c r="O382" s="126">
        <v>6.9955932255386672</v>
      </c>
      <c r="P382" s="123">
        <f t="shared" si="32"/>
        <v>-267.84197021196997</v>
      </c>
      <c r="Q382" s="123">
        <f t="shared" si="33"/>
        <v>-0.85041109858548936</v>
      </c>
      <c r="R382" s="123">
        <f t="shared" si="30"/>
        <v>116126.45101854243</v>
      </c>
      <c r="S382" s="123">
        <f t="shared" si="31"/>
        <v>132866.83102004023</v>
      </c>
      <c r="T382" s="123">
        <f t="shared" si="34"/>
        <v>0</v>
      </c>
      <c r="U382" s="123">
        <f t="shared" si="35"/>
        <v>1</v>
      </c>
      <c r="W382" s="25"/>
    </row>
    <row r="383" spans="11:23" x14ac:dyDescent="0.25">
      <c r="K383" s="123" t="s">
        <v>492</v>
      </c>
      <c r="L383" s="126">
        <v>7612.020950217704</v>
      </c>
      <c r="M383" s="126">
        <v>7.2770355808110931</v>
      </c>
      <c r="N383" s="126">
        <v>5826.5215958305034</v>
      </c>
      <c r="O383" s="126">
        <v>6.2063847083905088</v>
      </c>
      <c r="P383" s="123">
        <f t="shared" si="32"/>
        <v>1785.4993543872006</v>
      </c>
      <c r="Q383" s="123">
        <f t="shared" si="33"/>
        <v>1.0706508724205843</v>
      </c>
      <c r="R383" s="123">
        <f t="shared" si="30"/>
        <v>137928.69066600417</v>
      </c>
      <c r="S383" s="123">
        <f t="shared" si="31"/>
        <v>118301.17257197967</v>
      </c>
      <c r="T383" s="123">
        <f t="shared" si="34"/>
        <v>1</v>
      </c>
      <c r="U383" s="123">
        <f t="shared" si="35"/>
        <v>0</v>
      </c>
      <c r="W383" s="25"/>
    </row>
    <row r="384" spans="11:23" x14ac:dyDescent="0.25">
      <c r="K384" s="123" t="s">
        <v>493</v>
      </c>
      <c r="L384" s="126">
        <v>10484.616438969459</v>
      </c>
      <c r="M384" s="126">
        <v>9.1955317057481718</v>
      </c>
      <c r="N384" s="126">
        <v>7038.9100761743675</v>
      </c>
      <c r="O384" s="126">
        <v>6.0424975290943896</v>
      </c>
      <c r="P384" s="123">
        <f t="shared" si="32"/>
        <v>3445.7063627950911</v>
      </c>
      <c r="Q384" s="123">
        <f t="shared" si="33"/>
        <v>3.1530341766537822</v>
      </c>
      <c r="R384" s="123">
        <f t="shared" si="30"/>
        <v>173426.01767599399</v>
      </c>
      <c r="S384" s="123">
        <f t="shared" si="31"/>
        <v>113811.04050571343</v>
      </c>
      <c r="T384" s="123">
        <f t="shared" si="34"/>
        <v>1</v>
      </c>
      <c r="U384" s="123">
        <f t="shared" si="35"/>
        <v>0</v>
      </c>
      <c r="W384" s="25"/>
    </row>
    <row r="385" spans="11:23" x14ac:dyDescent="0.25">
      <c r="K385" s="123" t="s">
        <v>494</v>
      </c>
      <c r="L385" s="126">
        <v>5725.3606656563625</v>
      </c>
      <c r="M385" s="126">
        <v>3.5920765886591743</v>
      </c>
      <c r="N385" s="126">
        <v>5553.2773829205125</v>
      </c>
      <c r="O385" s="126">
        <v>4.1394690682210973</v>
      </c>
      <c r="P385" s="123">
        <f t="shared" si="32"/>
        <v>172.08328273584993</v>
      </c>
      <c r="Q385" s="123">
        <f t="shared" si="33"/>
        <v>-0.54739247956192294</v>
      </c>
      <c r="R385" s="123">
        <f t="shared" si="30"/>
        <v>66116.171107527116</v>
      </c>
      <c r="S385" s="123">
        <f t="shared" si="31"/>
        <v>77236.103981501437</v>
      </c>
      <c r="T385" s="123">
        <f t="shared" si="34"/>
        <v>0</v>
      </c>
      <c r="U385" s="123">
        <f t="shared" si="35"/>
        <v>1</v>
      </c>
      <c r="W385" s="25"/>
    </row>
    <row r="386" spans="11:23" x14ac:dyDescent="0.25">
      <c r="K386" s="123" t="s">
        <v>495</v>
      </c>
      <c r="L386" s="126">
        <v>5369.9237875507943</v>
      </c>
      <c r="M386" s="126">
        <v>5.1496347788688803</v>
      </c>
      <c r="N386" s="126">
        <v>7635.1773700967151</v>
      </c>
      <c r="O386" s="126">
        <v>8.1927289544389978</v>
      </c>
      <c r="P386" s="123">
        <f t="shared" si="32"/>
        <v>-2265.2535825459208</v>
      </c>
      <c r="Q386" s="123">
        <f t="shared" si="33"/>
        <v>-3.0430941755701175</v>
      </c>
      <c r="R386" s="123">
        <f t="shared" si="30"/>
        <v>97622.771789826817</v>
      </c>
      <c r="S386" s="123">
        <f t="shared" si="31"/>
        <v>156219.40171868325</v>
      </c>
      <c r="T386" s="123">
        <f t="shared" si="34"/>
        <v>0</v>
      </c>
      <c r="U386" s="123">
        <f t="shared" si="35"/>
        <v>1</v>
      </c>
      <c r="W386" s="25"/>
    </row>
    <row r="387" spans="11:23" x14ac:dyDescent="0.25">
      <c r="K387" s="123" t="s">
        <v>496</v>
      </c>
      <c r="L387" s="126">
        <v>11869.991405036835</v>
      </c>
      <c r="M387" s="126">
        <v>12.168781521013631</v>
      </c>
      <c r="N387" s="126">
        <v>7669.8963672831487</v>
      </c>
      <c r="O387" s="126">
        <v>7.4428133397848422</v>
      </c>
      <c r="P387" s="123">
        <f t="shared" si="32"/>
        <v>4200.0950377536865</v>
      </c>
      <c r="Q387" s="123">
        <f t="shared" si="33"/>
        <v>4.7259681812287893</v>
      </c>
      <c r="R387" s="123">
        <f t="shared" si="30"/>
        <v>231505.63901523579</v>
      </c>
      <c r="S387" s="123">
        <f t="shared" si="31"/>
        <v>141186.37042841368</v>
      </c>
      <c r="T387" s="123">
        <f t="shared" si="34"/>
        <v>1</v>
      </c>
      <c r="U387" s="123">
        <f t="shared" si="35"/>
        <v>0</v>
      </c>
      <c r="W387" s="25"/>
    </row>
    <row r="388" spans="11:23" x14ac:dyDescent="0.25">
      <c r="K388" s="123" t="s">
        <v>497</v>
      </c>
      <c r="L388" s="126">
        <v>10886.79363128253</v>
      </c>
      <c r="M388" s="126">
        <v>10.567712060273927</v>
      </c>
      <c r="N388" s="126">
        <v>8421.473028260747</v>
      </c>
      <c r="O388" s="126">
        <v>8.0168127363930211</v>
      </c>
      <c r="P388" s="123">
        <f t="shared" si="32"/>
        <v>2465.3206030217825</v>
      </c>
      <c r="Q388" s="123">
        <f t="shared" si="33"/>
        <v>2.5508993238809055</v>
      </c>
      <c r="R388" s="123">
        <f t="shared" si="30"/>
        <v>200467.44757419601</v>
      </c>
      <c r="S388" s="123">
        <f t="shared" si="31"/>
        <v>151914.78169959967</v>
      </c>
      <c r="T388" s="123">
        <f t="shared" si="34"/>
        <v>1</v>
      </c>
      <c r="U388" s="123">
        <f t="shared" si="35"/>
        <v>0</v>
      </c>
      <c r="W388" s="25"/>
    </row>
    <row r="389" spans="11:23" x14ac:dyDescent="0.25">
      <c r="K389" s="123" t="s">
        <v>498</v>
      </c>
      <c r="L389" s="126">
        <v>7555.6106851083714</v>
      </c>
      <c r="M389" s="126">
        <v>7.6473588253051688</v>
      </c>
      <c r="N389" s="126">
        <v>6899.9441660225293</v>
      </c>
      <c r="O389" s="126">
        <v>7.567604768541683</v>
      </c>
      <c r="P389" s="123">
        <f t="shared" si="32"/>
        <v>655.66651908584208</v>
      </c>
      <c r="Q389" s="123">
        <f t="shared" si="33"/>
        <v>7.9754056763485792E-2</v>
      </c>
      <c r="R389" s="123">
        <f t="shared" si="30"/>
        <v>145391.56582099499</v>
      </c>
      <c r="S389" s="123">
        <f t="shared" si="31"/>
        <v>144452.15120481112</v>
      </c>
      <c r="T389" s="123">
        <f t="shared" si="34"/>
        <v>1</v>
      </c>
      <c r="U389" s="123">
        <f t="shared" si="35"/>
        <v>0</v>
      </c>
      <c r="W389" s="25"/>
    </row>
    <row r="390" spans="11:23" x14ac:dyDescent="0.25">
      <c r="K390" s="123" t="s">
        <v>499</v>
      </c>
      <c r="L390" s="126">
        <v>8540.7574998247619</v>
      </c>
      <c r="M390" s="126">
        <v>6.9625477024367974</v>
      </c>
      <c r="N390" s="126">
        <v>7053.9533270207203</v>
      </c>
      <c r="O390" s="126">
        <v>6.0501373767107554</v>
      </c>
      <c r="P390" s="123">
        <f t="shared" si="32"/>
        <v>1486.8041728040416</v>
      </c>
      <c r="Q390" s="123">
        <f t="shared" si="33"/>
        <v>0.91241032572604208</v>
      </c>
      <c r="R390" s="123">
        <f t="shared" si="30"/>
        <v>130710.1965489112</v>
      </c>
      <c r="S390" s="123">
        <f t="shared" si="31"/>
        <v>113948.79420719438</v>
      </c>
      <c r="T390" s="123">
        <f t="shared" si="34"/>
        <v>1</v>
      </c>
      <c r="U390" s="123">
        <f t="shared" si="35"/>
        <v>0</v>
      </c>
      <c r="W390" s="25"/>
    </row>
    <row r="391" spans="11:23" x14ac:dyDescent="0.25">
      <c r="K391" s="123" t="s">
        <v>500</v>
      </c>
      <c r="L391" s="126">
        <v>11258.247213832956</v>
      </c>
      <c r="M391" s="126">
        <v>11.045362725543887</v>
      </c>
      <c r="N391" s="126">
        <v>6520.7506523978964</v>
      </c>
      <c r="O391" s="126">
        <v>6.4392612219961816</v>
      </c>
      <c r="P391" s="123">
        <f t="shared" si="32"/>
        <v>4737.4965614350594</v>
      </c>
      <c r="Q391" s="123">
        <f t="shared" si="33"/>
        <v>4.6061015035477055</v>
      </c>
      <c r="R391" s="123">
        <f t="shared" si="30"/>
        <v>209649.00729704479</v>
      </c>
      <c r="S391" s="123">
        <f t="shared" si="31"/>
        <v>122264.47378752574</v>
      </c>
      <c r="T391" s="123">
        <f t="shared" si="34"/>
        <v>1</v>
      </c>
      <c r="U391" s="123">
        <f t="shared" si="35"/>
        <v>0</v>
      </c>
      <c r="W391" s="25"/>
    </row>
    <row r="392" spans="11:23" x14ac:dyDescent="0.25">
      <c r="K392" s="123" t="s">
        <v>501</v>
      </c>
      <c r="L392" s="126">
        <v>10534.506030424966</v>
      </c>
      <c r="M392" s="126">
        <v>10.6367730483428</v>
      </c>
      <c r="N392" s="126">
        <v>6517.403094680968</v>
      </c>
      <c r="O392" s="126">
        <v>6.9413087115241439</v>
      </c>
      <c r="P392" s="123">
        <f t="shared" si="32"/>
        <v>4017.1029357439975</v>
      </c>
      <c r="Q392" s="123">
        <f t="shared" si="33"/>
        <v>3.6954643368186559</v>
      </c>
      <c r="R392" s="123">
        <f t="shared" si="30"/>
        <v>202200.95493643102</v>
      </c>
      <c r="S392" s="123">
        <f t="shared" si="31"/>
        <v>132308.77113580189</v>
      </c>
      <c r="T392" s="123">
        <f t="shared" si="34"/>
        <v>1</v>
      </c>
      <c r="U392" s="123">
        <f t="shared" si="35"/>
        <v>0</v>
      </c>
      <c r="W392" s="25"/>
    </row>
    <row r="393" spans="11:23" x14ac:dyDescent="0.25">
      <c r="K393" s="123" t="s">
        <v>502</v>
      </c>
      <c r="L393" s="126">
        <v>8139.4737430338027</v>
      </c>
      <c r="M393" s="126">
        <v>7.9793154043090988</v>
      </c>
      <c r="N393" s="126">
        <v>5537.311158674107</v>
      </c>
      <c r="O393" s="126">
        <v>6.0256815931103231</v>
      </c>
      <c r="P393" s="123">
        <f t="shared" si="32"/>
        <v>2602.1625843596958</v>
      </c>
      <c r="Q393" s="123">
        <f t="shared" si="33"/>
        <v>1.9536338111987757</v>
      </c>
      <c r="R393" s="123">
        <f t="shared" si="30"/>
        <v>151446.83434314816</v>
      </c>
      <c r="S393" s="123">
        <f t="shared" si="31"/>
        <v>114976.32070353234</v>
      </c>
      <c r="T393" s="123">
        <f t="shared" si="34"/>
        <v>1</v>
      </c>
      <c r="U393" s="123">
        <f t="shared" si="35"/>
        <v>0</v>
      </c>
      <c r="W393" s="25"/>
    </row>
    <row r="394" spans="11:23" x14ac:dyDescent="0.25">
      <c r="K394" s="123" t="s">
        <v>503</v>
      </c>
      <c r="L394" s="126">
        <v>6575.4965205474091</v>
      </c>
      <c r="M394" s="126">
        <v>5.8670151182599692</v>
      </c>
      <c r="N394" s="126">
        <v>8953.3596553220214</v>
      </c>
      <c r="O394" s="126">
        <v>8.8496970777257928</v>
      </c>
      <c r="P394" s="123">
        <f t="shared" si="32"/>
        <v>-2377.8631347746123</v>
      </c>
      <c r="Q394" s="123">
        <f t="shared" si="33"/>
        <v>-2.9826819594658236</v>
      </c>
      <c r="R394" s="123">
        <f t="shared" si="30"/>
        <v>110764.80584465197</v>
      </c>
      <c r="S394" s="123">
        <f t="shared" si="31"/>
        <v>168040.58189919384</v>
      </c>
      <c r="T394" s="123">
        <f t="shared" si="34"/>
        <v>0</v>
      </c>
      <c r="U394" s="123">
        <f t="shared" si="35"/>
        <v>1</v>
      </c>
      <c r="W394" s="25"/>
    </row>
    <row r="395" spans="11:23" x14ac:dyDescent="0.25">
      <c r="K395" s="123" t="s">
        <v>504</v>
      </c>
      <c r="L395" s="126">
        <v>6638.5401419101163</v>
      </c>
      <c r="M395" s="126">
        <v>5.5928820938474173</v>
      </c>
      <c r="N395" s="126">
        <v>9060.55671331556</v>
      </c>
      <c r="O395" s="126">
        <v>8.8980159722333525</v>
      </c>
      <c r="P395" s="123">
        <f t="shared" si="32"/>
        <v>-2422.0165714054438</v>
      </c>
      <c r="Q395" s="123">
        <f t="shared" si="33"/>
        <v>-3.3051338783859352</v>
      </c>
      <c r="R395" s="123">
        <f t="shared" si="30"/>
        <v>105219.10173503823</v>
      </c>
      <c r="S395" s="123">
        <f t="shared" si="31"/>
        <v>168899.76273135148</v>
      </c>
      <c r="T395" s="123">
        <f t="shared" si="34"/>
        <v>0</v>
      </c>
      <c r="U395" s="123">
        <f t="shared" si="35"/>
        <v>1</v>
      </c>
      <c r="W395" s="25"/>
    </row>
    <row r="396" spans="11:23" x14ac:dyDescent="0.25">
      <c r="K396" s="123" t="s">
        <v>505</v>
      </c>
      <c r="L396" s="126">
        <v>6777.5190181257694</v>
      </c>
      <c r="M396" s="126">
        <v>6.2681855010527734</v>
      </c>
      <c r="N396" s="126">
        <v>7270.9415013648531</v>
      </c>
      <c r="O396" s="126">
        <v>7.2254922515937849</v>
      </c>
      <c r="P396" s="123">
        <f t="shared" si="32"/>
        <v>-493.4224832390837</v>
      </c>
      <c r="Q396" s="123">
        <f t="shared" si="33"/>
        <v>-0.95730675054101155</v>
      </c>
      <c r="R396" s="123">
        <f t="shared" si="30"/>
        <v>118586.1910029297</v>
      </c>
      <c r="S396" s="123">
        <f t="shared" si="31"/>
        <v>137238.90353051087</v>
      </c>
      <c r="T396" s="123">
        <f t="shared" si="34"/>
        <v>0</v>
      </c>
      <c r="U396" s="123">
        <f t="shared" si="35"/>
        <v>1</v>
      </c>
      <c r="W396" s="25"/>
    </row>
    <row r="397" spans="11:23" x14ac:dyDescent="0.25">
      <c r="K397" s="123" t="s">
        <v>506</v>
      </c>
      <c r="L397" s="126">
        <v>9359.9741720614074</v>
      </c>
      <c r="M397" s="126">
        <v>8.4313036946478555</v>
      </c>
      <c r="N397" s="126">
        <v>6671.3993147016772</v>
      </c>
      <c r="O397" s="126">
        <v>6.8206102029441293</v>
      </c>
      <c r="P397" s="123">
        <f t="shared" si="32"/>
        <v>2688.5748573597302</v>
      </c>
      <c r="Q397" s="123">
        <f t="shared" si="33"/>
        <v>1.6106934917037261</v>
      </c>
      <c r="R397" s="123">
        <f t="shared" si="30"/>
        <v>159266.09972089573</v>
      </c>
      <c r="S397" s="123">
        <f t="shared" si="31"/>
        <v>129740.8047441809</v>
      </c>
      <c r="T397" s="123">
        <f t="shared" si="34"/>
        <v>1</v>
      </c>
      <c r="U397" s="123">
        <f t="shared" si="35"/>
        <v>0</v>
      </c>
      <c r="W397" s="25"/>
    </row>
    <row r="398" spans="11:23" x14ac:dyDescent="0.25">
      <c r="K398" s="123" t="s">
        <v>507</v>
      </c>
      <c r="L398" s="126">
        <v>6194.4467811181894</v>
      </c>
      <c r="M398" s="126">
        <v>6.2935682382765927</v>
      </c>
      <c r="N398" s="126">
        <v>7560.4030583962704</v>
      </c>
      <c r="O398" s="126">
        <v>8.9051630813211187</v>
      </c>
      <c r="P398" s="123">
        <f t="shared" si="32"/>
        <v>-1365.956277278081</v>
      </c>
      <c r="Q398" s="123">
        <f t="shared" si="33"/>
        <v>-2.6115948430445259</v>
      </c>
      <c r="R398" s="123">
        <f t="shared" si="30"/>
        <v>119676.91798441365</v>
      </c>
      <c r="S398" s="123">
        <f t="shared" si="31"/>
        <v>170542.8585680261</v>
      </c>
      <c r="T398" s="123">
        <f t="shared" si="34"/>
        <v>0</v>
      </c>
      <c r="U398" s="123">
        <f t="shared" si="35"/>
        <v>1</v>
      </c>
      <c r="W398" s="25"/>
    </row>
    <row r="399" spans="11:23" x14ac:dyDescent="0.25">
      <c r="K399" s="123" t="s">
        <v>508</v>
      </c>
      <c r="L399" s="126">
        <v>7233.3000753614233</v>
      </c>
      <c r="M399" s="126">
        <v>6.5440608925648913</v>
      </c>
      <c r="N399" s="126">
        <v>8057.8047159496618</v>
      </c>
      <c r="O399" s="126">
        <v>7.8871856916895648</v>
      </c>
      <c r="P399" s="123">
        <f t="shared" si="32"/>
        <v>-824.50464058823854</v>
      </c>
      <c r="Q399" s="123">
        <f t="shared" si="33"/>
        <v>-1.3431247991246735</v>
      </c>
      <c r="R399" s="123">
        <f t="shared" si="30"/>
        <v>123647.91777593641</v>
      </c>
      <c r="S399" s="123">
        <f t="shared" si="31"/>
        <v>149685.90911784163</v>
      </c>
      <c r="T399" s="123">
        <f t="shared" si="34"/>
        <v>0</v>
      </c>
      <c r="U399" s="123">
        <f t="shared" si="35"/>
        <v>1</v>
      </c>
      <c r="W399" s="25"/>
    </row>
    <row r="400" spans="11:23" x14ac:dyDescent="0.25">
      <c r="K400" s="123" t="s">
        <v>509</v>
      </c>
      <c r="L400" s="126">
        <v>7284.3067670299224</v>
      </c>
      <c r="M400" s="126">
        <v>5.7424837374377073</v>
      </c>
      <c r="N400" s="126">
        <v>5821.9744894935993</v>
      </c>
      <c r="O400" s="126">
        <v>5.0000885180320243</v>
      </c>
      <c r="P400" s="123">
        <f t="shared" si="32"/>
        <v>1462.3322775363231</v>
      </c>
      <c r="Q400" s="123">
        <f t="shared" si="33"/>
        <v>0.74239521940568309</v>
      </c>
      <c r="R400" s="123">
        <f t="shared" si="30"/>
        <v>107565.36798172422</v>
      </c>
      <c r="S400" s="123">
        <f t="shared" si="31"/>
        <v>94179.795871146882</v>
      </c>
      <c r="T400" s="123">
        <f t="shared" si="34"/>
        <v>1</v>
      </c>
      <c r="U400" s="123">
        <f t="shared" si="35"/>
        <v>0</v>
      </c>
      <c r="W400" s="25"/>
    </row>
    <row r="401" spans="11:23" x14ac:dyDescent="0.25">
      <c r="K401" s="123" t="s">
        <v>510</v>
      </c>
      <c r="L401" s="126">
        <v>9223.4632631094064</v>
      </c>
      <c r="M401" s="126">
        <v>9.076819957851697</v>
      </c>
      <c r="N401" s="126">
        <v>8773.8494937291453</v>
      </c>
      <c r="O401" s="126">
        <v>9.0453505874142426</v>
      </c>
      <c r="P401" s="123">
        <f t="shared" si="32"/>
        <v>449.61376938026115</v>
      </c>
      <c r="Q401" s="123">
        <f t="shared" si="33"/>
        <v>3.1469370437454458E-2</v>
      </c>
      <c r="R401" s="123">
        <f t="shared" ref="R401:R464" si="36">M401*willingness_to_pay-L401</f>
        <v>172312.93589392453</v>
      </c>
      <c r="S401" s="123">
        <f t="shared" ref="S401:S464" si="37">O401*willingness_to_pay-N401</f>
        <v>172133.1622545557</v>
      </c>
      <c r="T401" s="123">
        <f t="shared" si="34"/>
        <v>1</v>
      </c>
      <c r="U401" s="123">
        <f t="shared" si="35"/>
        <v>0</v>
      </c>
      <c r="W401" s="25"/>
    </row>
    <row r="402" spans="11:23" x14ac:dyDescent="0.25">
      <c r="K402" s="123" t="s">
        <v>511</v>
      </c>
      <c r="L402" s="126">
        <v>6553.4309277727125</v>
      </c>
      <c r="M402" s="126">
        <v>4.7325103379003117</v>
      </c>
      <c r="N402" s="126">
        <v>6512.0472504063737</v>
      </c>
      <c r="O402" s="126">
        <v>5.1394404680718617</v>
      </c>
      <c r="P402" s="123">
        <f t="shared" ref="P402:P465" si="38">L402-N402</f>
        <v>41.383677366338816</v>
      </c>
      <c r="Q402" s="123">
        <f t="shared" ref="Q402:Q465" si="39">M402-O402</f>
        <v>-0.40693013017155</v>
      </c>
      <c r="R402" s="123">
        <f t="shared" si="36"/>
        <v>88096.775830233513</v>
      </c>
      <c r="S402" s="123">
        <f t="shared" si="37"/>
        <v>96276.762111030854</v>
      </c>
      <c r="T402" s="123">
        <f t="shared" ref="T402:T465" si="40">IF(L402="", "",IF(R402=MAX(R402:S402),1,0))</f>
        <v>0</v>
      </c>
      <c r="U402" s="123">
        <f t="shared" ref="U402:U465" si="41">IF(N402="", "", IF(S402=MAX(R402:S402),1,0))</f>
        <v>1</v>
      </c>
      <c r="W402" s="25"/>
    </row>
    <row r="403" spans="11:23" x14ac:dyDescent="0.25">
      <c r="K403" s="123" t="s">
        <v>512</v>
      </c>
      <c r="L403" s="126">
        <v>6774.4695731195852</v>
      </c>
      <c r="M403" s="126">
        <v>6.3194438910497919</v>
      </c>
      <c r="N403" s="126">
        <v>10669.067020109585</v>
      </c>
      <c r="O403" s="126">
        <v>11.240928550202932</v>
      </c>
      <c r="P403" s="123">
        <f t="shared" si="38"/>
        <v>-3894.5974469900002</v>
      </c>
      <c r="Q403" s="123">
        <f t="shared" si="39"/>
        <v>-4.9214846591531405</v>
      </c>
      <c r="R403" s="123">
        <f t="shared" si="36"/>
        <v>119614.40824787626</v>
      </c>
      <c r="S403" s="123">
        <f t="shared" si="37"/>
        <v>214149.50398394905</v>
      </c>
      <c r="T403" s="123">
        <f t="shared" si="40"/>
        <v>0</v>
      </c>
      <c r="U403" s="123">
        <f t="shared" si="41"/>
        <v>1</v>
      </c>
      <c r="W403" s="25"/>
    </row>
    <row r="404" spans="11:23" x14ac:dyDescent="0.25">
      <c r="K404" s="123" t="s">
        <v>513</v>
      </c>
      <c r="L404" s="126">
        <v>10010.099527158611</v>
      </c>
      <c r="M404" s="126">
        <v>8.4908371721412106</v>
      </c>
      <c r="N404" s="126">
        <v>9427.3708084016907</v>
      </c>
      <c r="O404" s="126">
        <v>8.8525930207001906</v>
      </c>
      <c r="P404" s="123">
        <f t="shared" si="38"/>
        <v>582.72871875691999</v>
      </c>
      <c r="Q404" s="123">
        <f t="shared" si="39"/>
        <v>-0.36175584855898002</v>
      </c>
      <c r="R404" s="123">
        <f t="shared" si="36"/>
        <v>159806.6439156656</v>
      </c>
      <c r="S404" s="123">
        <f t="shared" si="37"/>
        <v>167624.48960560211</v>
      </c>
      <c r="T404" s="123">
        <f t="shared" si="40"/>
        <v>0</v>
      </c>
      <c r="U404" s="123">
        <f t="shared" si="41"/>
        <v>1</v>
      </c>
      <c r="W404" s="25"/>
    </row>
    <row r="405" spans="11:23" x14ac:dyDescent="0.25">
      <c r="K405" s="123" t="s">
        <v>514</v>
      </c>
      <c r="L405" s="126">
        <v>5839.006865201105</v>
      </c>
      <c r="M405" s="126">
        <v>5.3340021362164958</v>
      </c>
      <c r="N405" s="126">
        <v>7089.4747061635044</v>
      </c>
      <c r="O405" s="126">
        <v>7.088846830210163</v>
      </c>
      <c r="P405" s="123">
        <f t="shared" si="38"/>
        <v>-1250.4678409623994</v>
      </c>
      <c r="Q405" s="123">
        <f t="shared" si="39"/>
        <v>-1.7548446939936673</v>
      </c>
      <c r="R405" s="123">
        <f t="shared" si="36"/>
        <v>100841.03585912881</v>
      </c>
      <c r="S405" s="123">
        <f t="shared" si="37"/>
        <v>134687.46189803974</v>
      </c>
      <c r="T405" s="123">
        <f t="shared" si="40"/>
        <v>0</v>
      </c>
      <c r="U405" s="123">
        <f t="shared" si="41"/>
        <v>1</v>
      </c>
      <c r="W405" s="25"/>
    </row>
    <row r="406" spans="11:23" x14ac:dyDescent="0.25">
      <c r="K406" s="123" t="s">
        <v>515</v>
      </c>
      <c r="L406" s="126">
        <v>4808.9413673513263</v>
      </c>
      <c r="M406" s="126">
        <v>4.9027215491793488</v>
      </c>
      <c r="N406" s="126">
        <v>5068.3645857984211</v>
      </c>
      <c r="O406" s="126">
        <v>5.3319239526663811</v>
      </c>
      <c r="P406" s="123">
        <f t="shared" si="38"/>
        <v>-259.42321844709477</v>
      </c>
      <c r="Q406" s="123">
        <f t="shared" si="39"/>
        <v>-0.42920240348703231</v>
      </c>
      <c r="R406" s="123">
        <f t="shared" si="36"/>
        <v>93245.48961623566</v>
      </c>
      <c r="S406" s="123">
        <f t="shared" si="37"/>
        <v>101570.1144675292</v>
      </c>
      <c r="T406" s="123">
        <f t="shared" si="40"/>
        <v>0</v>
      </c>
      <c r="U406" s="123">
        <f t="shared" si="41"/>
        <v>1</v>
      </c>
      <c r="W406" s="25"/>
    </row>
    <row r="407" spans="11:23" x14ac:dyDescent="0.25">
      <c r="K407" s="123" t="s">
        <v>516</v>
      </c>
      <c r="L407" s="126">
        <v>8332.6930472546701</v>
      </c>
      <c r="M407" s="126">
        <v>6.8549532515528799</v>
      </c>
      <c r="N407" s="126">
        <v>6498.3369436355169</v>
      </c>
      <c r="O407" s="126">
        <v>5.1770943437901353</v>
      </c>
      <c r="P407" s="123">
        <f t="shared" si="38"/>
        <v>1834.3561036191531</v>
      </c>
      <c r="Q407" s="123">
        <f t="shared" si="39"/>
        <v>1.6778589077627446</v>
      </c>
      <c r="R407" s="123">
        <f t="shared" si="36"/>
        <v>128766.37198380294</v>
      </c>
      <c r="S407" s="123">
        <f t="shared" si="37"/>
        <v>97043.549932167196</v>
      </c>
      <c r="T407" s="123">
        <f t="shared" si="40"/>
        <v>1</v>
      </c>
      <c r="U407" s="123">
        <f t="shared" si="41"/>
        <v>0</v>
      </c>
      <c r="W407" s="25"/>
    </row>
    <row r="408" spans="11:23" x14ac:dyDescent="0.25">
      <c r="K408" s="123" t="s">
        <v>517</v>
      </c>
      <c r="L408" s="126">
        <v>6153.4044553773565</v>
      </c>
      <c r="M408" s="126">
        <v>5.3676425851944689</v>
      </c>
      <c r="N408" s="126">
        <v>7950.9221446274387</v>
      </c>
      <c r="O408" s="126">
        <v>7.9751877238201034</v>
      </c>
      <c r="P408" s="123">
        <f t="shared" si="38"/>
        <v>-1797.5176892500822</v>
      </c>
      <c r="Q408" s="123">
        <f t="shared" si="39"/>
        <v>-2.6075451386256345</v>
      </c>
      <c r="R408" s="123">
        <f t="shared" si="36"/>
        <v>101199.44724851202</v>
      </c>
      <c r="S408" s="123">
        <f t="shared" si="37"/>
        <v>151552.83233177464</v>
      </c>
      <c r="T408" s="123">
        <f t="shared" si="40"/>
        <v>0</v>
      </c>
      <c r="U408" s="123">
        <f t="shared" si="41"/>
        <v>1</v>
      </c>
      <c r="W408" s="25"/>
    </row>
    <row r="409" spans="11:23" x14ac:dyDescent="0.25">
      <c r="K409" s="123" t="s">
        <v>518</v>
      </c>
      <c r="L409" s="126">
        <v>7233.9994026111481</v>
      </c>
      <c r="M409" s="126">
        <v>6.8118658093462567</v>
      </c>
      <c r="N409" s="126">
        <v>6583.8498251320789</v>
      </c>
      <c r="O409" s="126">
        <v>7.1389111967279977</v>
      </c>
      <c r="P409" s="123">
        <f t="shared" si="38"/>
        <v>650.14957747906919</v>
      </c>
      <c r="Q409" s="123">
        <f t="shared" si="39"/>
        <v>-0.32704538738174094</v>
      </c>
      <c r="R409" s="123">
        <f t="shared" si="36"/>
        <v>129003.31678431398</v>
      </c>
      <c r="S409" s="123">
        <f t="shared" si="37"/>
        <v>136194.37410942788</v>
      </c>
      <c r="T409" s="123">
        <f t="shared" si="40"/>
        <v>0</v>
      </c>
      <c r="U409" s="123">
        <f t="shared" si="41"/>
        <v>1</v>
      </c>
      <c r="W409" s="25"/>
    </row>
    <row r="410" spans="11:23" x14ac:dyDescent="0.25">
      <c r="K410" s="123" t="s">
        <v>519</v>
      </c>
      <c r="L410" s="126">
        <v>7757.5479125385782</v>
      </c>
      <c r="M410" s="126">
        <v>7.6815473046466769</v>
      </c>
      <c r="N410" s="126">
        <v>7397.5700379789814</v>
      </c>
      <c r="O410" s="126">
        <v>7.919457057853883</v>
      </c>
      <c r="P410" s="123">
        <f t="shared" si="38"/>
        <v>359.97787455959678</v>
      </c>
      <c r="Q410" s="123">
        <f t="shared" si="39"/>
        <v>-0.23790975320720609</v>
      </c>
      <c r="R410" s="123">
        <f t="shared" si="36"/>
        <v>145873.39818039496</v>
      </c>
      <c r="S410" s="123">
        <f t="shared" si="37"/>
        <v>150991.57111909866</v>
      </c>
      <c r="T410" s="123">
        <f t="shared" si="40"/>
        <v>0</v>
      </c>
      <c r="U410" s="123">
        <f t="shared" si="41"/>
        <v>1</v>
      </c>
      <c r="W410" s="25"/>
    </row>
    <row r="411" spans="11:23" x14ac:dyDescent="0.25">
      <c r="K411" s="123" t="s">
        <v>520</v>
      </c>
      <c r="L411" s="126">
        <v>7430.6096634209243</v>
      </c>
      <c r="M411" s="126">
        <v>7.9999096581685292</v>
      </c>
      <c r="N411" s="126">
        <v>6807.657163956761</v>
      </c>
      <c r="O411" s="126">
        <v>8.5620282337226339</v>
      </c>
      <c r="P411" s="123">
        <f t="shared" si="38"/>
        <v>622.95249946416334</v>
      </c>
      <c r="Q411" s="123">
        <f t="shared" si="39"/>
        <v>-0.56211857555410472</v>
      </c>
      <c r="R411" s="123">
        <f t="shared" si="36"/>
        <v>152567.58349994966</v>
      </c>
      <c r="S411" s="123">
        <f t="shared" si="37"/>
        <v>164432.90751049592</v>
      </c>
      <c r="T411" s="123">
        <f t="shared" si="40"/>
        <v>0</v>
      </c>
      <c r="U411" s="123">
        <f t="shared" si="41"/>
        <v>1</v>
      </c>
      <c r="W411" s="25"/>
    </row>
    <row r="412" spans="11:23" x14ac:dyDescent="0.25">
      <c r="K412" s="123" t="s">
        <v>521</v>
      </c>
      <c r="L412" s="126">
        <v>7286.8661984913688</v>
      </c>
      <c r="M412" s="126">
        <v>6.7109841138597313</v>
      </c>
      <c r="N412" s="126">
        <v>6207.0065797873995</v>
      </c>
      <c r="O412" s="126">
        <v>5.7530292401814647</v>
      </c>
      <c r="P412" s="123">
        <f t="shared" si="38"/>
        <v>1079.8596187039693</v>
      </c>
      <c r="Q412" s="123">
        <f t="shared" si="39"/>
        <v>0.95795487367826659</v>
      </c>
      <c r="R412" s="123">
        <f t="shared" si="36"/>
        <v>126932.81607870327</v>
      </c>
      <c r="S412" s="123">
        <f t="shared" si="37"/>
        <v>108853.57822384189</v>
      </c>
      <c r="T412" s="123">
        <f t="shared" si="40"/>
        <v>1</v>
      </c>
      <c r="U412" s="123">
        <f t="shared" si="41"/>
        <v>0</v>
      </c>
      <c r="W412" s="25"/>
    </row>
    <row r="413" spans="11:23" x14ac:dyDescent="0.25">
      <c r="K413" s="123" t="s">
        <v>522</v>
      </c>
      <c r="L413" s="126">
        <v>7214.3074248970943</v>
      </c>
      <c r="M413" s="126">
        <v>6.1539023197976563</v>
      </c>
      <c r="N413" s="126">
        <v>5859.8555401377789</v>
      </c>
      <c r="O413" s="126">
        <v>5.3188430294968505</v>
      </c>
      <c r="P413" s="123">
        <f t="shared" si="38"/>
        <v>1354.4518847593154</v>
      </c>
      <c r="Q413" s="123">
        <f t="shared" si="39"/>
        <v>0.83505929030080583</v>
      </c>
      <c r="R413" s="123">
        <f t="shared" si="36"/>
        <v>115863.73897105604</v>
      </c>
      <c r="S413" s="123">
        <f t="shared" si="37"/>
        <v>100517.00504979923</v>
      </c>
      <c r="T413" s="123">
        <f t="shared" si="40"/>
        <v>1</v>
      </c>
      <c r="U413" s="123">
        <f t="shared" si="41"/>
        <v>0</v>
      </c>
      <c r="W413" s="25"/>
    </row>
    <row r="414" spans="11:23" x14ac:dyDescent="0.25">
      <c r="K414" s="123" t="s">
        <v>523</v>
      </c>
      <c r="L414" s="126">
        <v>4999.2164172068697</v>
      </c>
      <c r="M414" s="126">
        <v>5.349234139175473</v>
      </c>
      <c r="N414" s="126">
        <v>8018.2821454403183</v>
      </c>
      <c r="O414" s="126">
        <v>9.7815226052071012</v>
      </c>
      <c r="P414" s="123">
        <f t="shared" si="38"/>
        <v>-3019.0657282334487</v>
      </c>
      <c r="Q414" s="123">
        <f t="shared" si="39"/>
        <v>-4.4322884660316282</v>
      </c>
      <c r="R414" s="123">
        <f t="shared" si="36"/>
        <v>101985.46636630259</v>
      </c>
      <c r="S414" s="123">
        <f t="shared" si="37"/>
        <v>187612.16995870171</v>
      </c>
      <c r="T414" s="123">
        <f t="shared" si="40"/>
        <v>0</v>
      </c>
      <c r="U414" s="123">
        <f t="shared" si="41"/>
        <v>1</v>
      </c>
      <c r="W414" s="25"/>
    </row>
    <row r="415" spans="11:23" x14ac:dyDescent="0.25">
      <c r="K415" s="123" t="s">
        <v>524</v>
      </c>
      <c r="L415" s="126">
        <v>6547.5763569709807</v>
      </c>
      <c r="M415" s="126">
        <v>6.3671629461189729</v>
      </c>
      <c r="N415" s="126">
        <v>9463.3895034528196</v>
      </c>
      <c r="O415" s="126">
        <v>10.275341934011557</v>
      </c>
      <c r="P415" s="123">
        <f t="shared" si="38"/>
        <v>-2915.8131464818389</v>
      </c>
      <c r="Q415" s="123">
        <f t="shared" si="39"/>
        <v>-3.9081789878925841</v>
      </c>
      <c r="R415" s="123">
        <f t="shared" si="36"/>
        <v>120795.68256540848</v>
      </c>
      <c r="S415" s="123">
        <f t="shared" si="37"/>
        <v>196043.44917677832</v>
      </c>
      <c r="T415" s="123">
        <f t="shared" si="40"/>
        <v>0</v>
      </c>
      <c r="U415" s="123">
        <f t="shared" si="41"/>
        <v>1</v>
      </c>
      <c r="W415" s="25"/>
    </row>
    <row r="416" spans="11:23" x14ac:dyDescent="0.25">
      <c r="K416" s="123" t="s">
        <v>525</v>
      </c>
      <c r="L416" s="126">
        <v>7179.3924023522886</v>
      </c>
      <c r="M416" s="126">
        <v>6.9471428837374782</v>
      </c>
      <c r="N416" s="126">
        <v>5776.2078764163962</v>
      </c>
      <c r="O416" s="126">
        <v>6.1523564394175629</v>
      </c>
      <c r="P416" s="123">
        <f t="shared" si="38"/>
        <v>1403.1845259358925</v>
      </c>
      <c r="Q416" s="123">
        <f t="shared" si="39"/>
        <v>0.7947864443199153</v>
      </c>
      <c r="R416" s="123">
        <f t="shared" si="36"/>
        <v>131763.46527239727</v>
      </c>
      <c r="S416" s="123">
        <f t="shared" si="37"/>
        <v>117270.92091193487</v>
      </c>
      <c r="T416" s="123">
        <f t="shared" si="40"/>
        <v>1</v>
      </c>
      <c r="U416" s="123">
        <f t="shared" si="41"/>
        <v>0</v>
      </c>
      <c r="W416" s="25"/>
    </row>
    <row r="417" spans="11:23" x14ac:dyDescent="0.25">
      <c r="K417" s="123" t="s">
        <v>526</v>
      </c>
      <c r="L417" s="126">
        <v>5813.3820755548541</v>
      </c>
      <c r="M417" s="126">
        <v>5.5911764478986798</v>
      </c>
      <c r="N417" s="126">
        <v>5666.7212426737206</v>
      </c>
      <c r="O417" s="126">
        <v>6.2245504184510763</v>
      </c>
      <c r="P417" s="123">
        <f t="shared" si="38"/>
        <v>146.6608328811335</v>
      </c>
      <c r="Q417" s="123">
        <f t="shared" si="39"/>
        <v>-0.63337397055239641</v>
      </c>
      <c r="R417" s="123">
        <f t="shared" si="36"/>
        <v>106010.14688241875</v>
      </c>
      <c r="S417" s="123">
        <f t="shared" si="37"/>
        <v>118824.2871263478</v>
      </c>
      <c r="T417" s="123">
        <f t="shared" si="40"/>
        <v>0</v>
      </c>
      <c r="U417" s="123">
        <f t="shared" si="41"/>
        <v>1</v>
      </c>
      <c r="W417" s="25"/>
    </row>
    <row r="418" spans="11:23" x14ac:dyDescent="0.25">
      <c r="K418" s="123" t="s">
        <v>527</v>
      </c>
      <c r="L418" s="126">
        <v>5860.2192457824667</v>
      </c>
      <c r="M418" s="126">
        <v>5.0014469186530111</v>
      </c>
      <c r="N418" s="126">
        <v>6692.0584323113626</v>
      </c>
      <c r="O418" s="126">
        <v>6.0908016381086512</v>
      </c>
      <c r="P418" s="123">
        <f t="shared" si="38"/>
        <v>-831.83918652889588</v>
      </c>
      <c r="Q418" s="123">
        <f t="shared" si="39"/>
        <v>-1.0893547194556401</v>
      </c>
      <c r="R418" s="123">
        <f t="shared" si="36"/>
        <v>94168.719127277756</v>
      </c>
      <c r="S418" s="123">
        <f t="shared" si="37"/>
        <v>115123.97432986167</v>
      </c>
      <c r="T418" s="123">
        <f t="shared" si="40"/>
        <v>0</v>
      </c>
      <c r="U418" s="123">
        <f t="shared" si="41"/>
        <v>1</v>
      </c>
      <c r="W418" s="25"/>
    </row>
    <row r="419" spans="11:23" x14ac:dyDescent="0.25">
      <c r="K419" s="123" t="s">
        <v>528</v>
      </c>
      <c r="L419" s="126">
        <v>8160.9410611362382</v>
      </c>
      <c r="M419" s="126">
        <v>8.7370577627274333</v>
      </c>
      <c r="N419" s="126">
        <v>6026.9358233026296</v>
      </c>
      <c r="O419" s="126">
        <v>7.2590299062668038</v>
      </c>
      <c r="P419" s="123">
        <f t="shared" si="38"/>
        <v>2134.0052378336086</v>
      </c>
      <c r="Q419" s="123">
        <f t="shared" si="39"/>
        <v>1.4780278564606295</v>
      </c>
      <c r="R419" s="123">
        <f t="shared" si="36"/>
        <v>166580.21419341245</v>
      </c>
      <c r="S419" s="123">
        <f t="shared" si="37"/>
        <v>139153.66230203345</v>
      </c>
      <c r="T419" s="123">
        <f t="shared" si="40"/>
        <v>1</v>
      </c>
      <c r="U419" s="123">
        <f t="shared" si="41"/>
        <v>0</v>
      </c>
      <c r="W419" s="25"/>
    </row>
    <row r="420" spans="11:23" x14ac:dyDescent="0.25">
      <c r="K420" s="123" t="s">
        <v>529</v>
      </c>
      <c r="L420" s="126">
        <v>6067.2544999481179</v>
      </c>
      <c r="M420" s="126">
        <v>5.4771782939279827</v>
      </c>
      <c r="N420" s="126">
        <v>5564.1740889629027</v>
      </c>
      <c r="O420" s="126">
        <v>5.3530714812471603</v>
      </c>
      <c r="P420" s="123">
        <f t="shared" si="38"/>
        <v>503.08041098521517</v>
      </c>
      <c r="Q420" s="123">
        <f t="shared" si="39"/>
        <v>0.12410681268082246</v>
      </c>
      <c r="R420" s="123">
        <f t="shared" si="36"/>
        <v>103476.31137861154</v>
      </c>
      <c r="S420" s="123">
        <f t="shared" si="37"/>
        <v>101497.25553598031</v>
      </c>
      <c r="T420" s="123">
        <f t="shared" si="40"/>
        <v>1</v>
      </c>
      <c r="U420" s="123">
        <f t="shared" si="41"/>
        <v>0</v>
      </c>
      <c r="W420" s="25"/>
    </row>
    <row r="421" spans="11:23" x14ac:dyDescent="0.25">
      <c r="K421" s="123" t="s">
        <v>530</v>
      </c>
      <c r="L421" s="126">
        <v>7039.8528622998028</v>
      </c>
      <c r="M421" s="126">
        <v>6.0097878154033593</v>
      </c>
      <c r="N421" s="126">
        <v>8407.138190172027</v>
      </c>
      <c r="O421" s="126">
        <v>7.7138525153206574</v>
      </c>
      <c r="P421" s="123">
        <f t="shared" si="38"/>
        <v>-1367.2853278722241</v>
      </c>
      <c r="Q421" s="123">
        <f t="shared" si="39"/>
        <v>-1.7040646999172981</v>
      </c>
      <c r="R421" s="123">
        <f t="shared" si="36"/>
        <v>113155.90344576738</v>
      </c>
      <c r="S421" s="123">
        <f t="shared" si="37"/>
        <v>145869.91211624112</v>
      </c>
      <c r="T421" s="123">
        <f t="shared" si="40"/>
        <v>0</v>
      </c>
      <c r="U421" s="123">
        <f t="shared" si="41"/>
        <v>1</v>
      </c>
      <c r="W421" s="25"/>
    </row>
    <row r="422" spans="11:23" x14ac:dyDescent="0.25">
      <c r="K422" s="123" t="s">
        <v>531</v>
      </c>
      <c r="L422" s="126">
        <v>9236.7198577228955</v>
      </c>
      <c r="M422" s="126">
        <v>9.9584181315478748</v>
      </c>
      <c r="N422" s="126">
        <v>8096.0270030435768</v>
      </c>
      <c r="O422" s="126">
        <v>9.4205471767826587</v>
      </c>
      <c r="P422" s="123">
        <f t="shared" si="38"/>
        <v>1140.6928546793188</v>
      </c>
      <c r="Q422" s="123">
        <f t="shared" si="39"/>
        <v>0.53787095476521607</v>
      </c>
      <c r="R422" s="123">
        <f t="shared" si="36"/>
        <v>189931.64277323461</v>
      </c>
      <c r="S422" s="123">
        <f t="shared" si="37"/>
        <v>180314.91653260961</v>
      </c>
      <c r="T422" s="123">
        <f t="shared" si="40"/>
        <v>1</v>
      </c>
      <c r="U422" s="123">
        <f t="shared" si="41"/>
        <v>0</v>
      </c>
      <c r="W422" s="25"/>
    </row>
    <row r="423" spans="11:23" x14ac:dyDescent="0.25">
      <c r="K423" s="123" t="s">
        <v>532</v>
      </c>
      <c r="L423" s="126">
        <v>5413.8104912954595</v>
      </c>
      <c r="M423" s="126">
        <v>4.8784363575918661</v>
      </c>
      <c r="N423" s="126">
        <v>6416.0540549917441</v>
      </c>
      <c r="O423" s="126">
        <v>6.326530719057267</v>
      </c>
      <c r="P423" s="123">
        <f t="shared" si="38"/>
        <v>-1002.2435636962846</v>
      </c>
      <c r="Q423" s="123">
        <f t="shared" si="39"/>
        <v>-1.4480943614654009</v>
      </c>
      <c r="R423" s="123">
        <f t="shared" si="36"/>
        <v>92154.916660541858</v>
      </c>
      <c r="S423" s="123">
        <f t="shared" si="37"/>
        <v>120114.56032615359</v>
      </c>
      <c r="T423" s="123">
        <f t="shared" si="40"/>
        <v>0</v>
      </c>
      <c r="U423" s="123">
        <f t="shared" si="41"/>
        <v>1</v>
      </c>
      <c r="W423" s="25"/>
    </row>
    <row r="424" spans="11:23" x14ac:dyDescent="0.25">
      <c r="K424" s="123" t="s">
        <v>533</v>
      </c>
      <c r="L424" s="126">
        <v>8776.1620282458298</v>
      </c>
      <c r="M424" s="126">
        <v>8.3770420953371225</v>
      </c>
      <c r="N424" s="126">
        <v>7219.3485685506903</v>
      </c>
      <c r="O424" s="126">
        <v>7.3603860926005602</v>
      </c>
      <c r="P424" s="123">
        <f t="shared" si="38"/>
        <v>1556.8134596951395</v>
      </c>
      <c r="Q424" s="123">
        <f t="shared" si="39"/>
        <v>1.0166560027365623</v>
      </c>
      <c r="R424" s="123">
        <f t="shared" si="36"/>
        <v>158764.67987849662</v>
      </c>
      <c r="S424" s="123">
        <f t="shared" si="37"/>
        <v>139988.3732834605</v>
      </c>
      <c r="T424" s="123">
        <f t="shared" si="40"/>
        <v>1</v>
      </c>
      <c r="U424" s="123">
        <f t="shared" si="41"/>
        <v>0</v>
      </c>
      <c r="W424" s="25"/>
    </row>
    <row r="425" spans="11:23" x14ac:dyDescent="0.25">
      <c r="K425" s="123" t="s">
        <v>534</v>
      </c>
      <c r="L425" s="126">
        <v>7975.9985890908047</v>
      </c>
      <c r="M425" s="126">
        <v>7.9492746989671899</v>
      </c>
      <c r="N425" s="126">
        <v>5690.2092269914456</v>
      </c>
      <c r="O425" s="126">
        <v>6.2407111582033297</v>
      </c>
      <c r="P425" s="123">
        <f t="shared" si="38"/>
        <v>2285.7893620993591</v>
      </c>
      <c r="Q425" s="123">
        <f t="shared" si="39"/>
        <v>1.7085635407638602</v>
      </c>
      <c r="R425" s="123">
        <f t="shared" si="36"/>
        <v>151009.495390253</v>
      </c>
      <c r="S425" s="123">
        <f t="shared" si="37"/>
        <v>119124.01393707516</v>
      </c>
      <c r="T425" s="123">
        <f t="shared" si="40"/>
        <v>1</v>
      </c>
      <c r="U425" s="123">
        <f t="shared" si="41"/>
        <v>0</v>
      </c>
      <c r="W425" s="25"/>
    </row>
    <row r="426" spans="11:23" x14ac:dyDescent="0.25">
      <c r="K426" s="123" t="s">
        <v>535</v>
      </c>
      <c r="L426" s="126">
        <v>6777.1360450990851</v>
      </c>
      <c r="M426" s="126">
        <v>5.6694917146354351</v>
      </c>
      <c r="N426" s="126">
        <v>6098.2822695971372</v>
      </c>
      <c r="O426" s="126">
        <v>5.5490308226952747</v>
      </c>
      <c r="P426" s="123">
        <f t="shared" si="38"/>
        <v>678.85377550194789</v>
      </c>
      <c r="Q426" s="123">
        <f t="shared" si="39"/>
        <v>0.12046089194016041</v>
      </c>
      <c r="R426" s="123">
        <f t="shared" si="36"/>
        <v>106612.69824760962</v>
      </c>
      <c r="S426" s="123">
        <f t="shared" si="37"/>
        <v>104882.33418430835</v>
      </c>
      <c r="T426" s="123">
        <f t="shared" si="40"/>
        <v>1</v>
      </c>
      <c r="U426" s="123">
        <f t="shared" si="41"/>
        <v>0</v>
      </c>
      <c r="W426" s="25"/>
    </row>
    <row r="427" spans="11:23" x14ac:dyDescent="0.25">
      <c r="K427" s="123" t="s">
        <v>536</v>
      </c>
      <c r="L427" s="126">
        <v>6713.5928965435724</v>
      </c>
      <c r="M427" s="126">
        <v>6.4100172743089336</v>
      </c>
      <c r="N427" s="126">
        <v>6122.7869465243257</v>
      </c>
      <c r="O427" s="126">
        <v>6.0624357256642902</v>
      </c>
      <c r="P427" s="123">
        <f t="shared" si="38"/>
        <v>590.80595001924667</v>
      </c>
      <c r="Q427" s="123">
        <f t="shared" si="39"/>
        <v>0.34758154864464341</v>
      </c>
      <c r="R427" s="123">
        <f t="shared" si="36"/>
        <v>121486.7525896351</v>
      </c>
      <c r="S427" s="123">
        <f t="shared" si="37"/>
        <v>115125.92756676147</v>
      </c>
      <c r="T427" s="123">
        <f t="shared" si="40"/>
        <v>1</v>
      </c>
      <c r="U427" s="123">
        <f t="shared" si="41"/>
        <v>0</v>
      </c>
      <c r="W427" s="25"/>
    </row>
    <row r="428" spans="11:23" x14ac:dyDescent="0.25">
      <c r="K428" s="123" t="s">
        <v>537</v>
      </c>
      <c r="L428" s="126">
        <v>11111.192087437203</v>
      </c>
      <c r="M428" s="126">
        <v>11.112450948589867</v>
      </c>
      <c r="N428" s="126">
        <v>5937.7896741746599</v>
      </c>
      <c r="O428" s="126">
        <v>6.8048447388379403</v>
      </c>
      <c r="P428" s="123">
        <f t="shared" si="38"/>
        <v>5173.4024132625427</v>
      </c>
      <c r="Q428" s="123">
        <f t="shared" si="39"/>
        <v>4.3076062097519268</v>
      </c>
      <c r="R428" s="123">
        <f t="shared" si="36"/>
        <v>211137.82688436014</v>
      </c>
      <c r="S428" s="123">
        <f t="shared" si="37"/>
        <v>130159.10510258413</v>
      </c>
      <c r="T428" s="123">
        <f t="shared" si="40"/>
        <v>1</v>
      </c>
      <c r="U428" s="123">
        <f t="shared" si="41"/>
        <v>0</v>
      </c>
      <c r="W428" s="25"/>
    </row>
    <row r="429" spans="11:23" x14ac:dyDescent="0.25">
      <c r="K429" s="123" t="s">
        <v>538</v>
      </c>
      <c r="L429" s="126">
        <v>9222.9353669184675</v>
      </c>
      <c r="M429" s="126">
        <v>10.592491016026505</v>
      </c>
      <c r="N429" s="126">
        <v>7728.397410653819</v>
      </c>
      <c r="O429" s="126">
        <v>9.5476923636950364</v>
      </c>
      <c r="P429" s="123">
        <f t="shared" si="38"/>
        <v>1494.5379562646485</v>
      </c>
      <c r="Q429" s="123">
        <f t="shared" si="39"/>
        <v>1.044798652331469</v>
      </c>
      <c r="R429" s="123">
        <f t="shared" si="36"/>
        <v>202626.88495361162</v>
      </c>
      <c r="S429" s="123">
        <f t="shared" si="37"/>
        <v>183225.4498632469</v>
      </c>
      <c r="T429" s="123">
        <f t="shared" si="40"/>
        <v>1</v>
      </c>
      <c r="U429" s="123">
        <f t="shared" si="41"/>
        <v>0</v>
      </c>
      <c r="W429" s="25"/>
    </row>
    <row r="430" spans="11:23" x14ac:dyDescent="0.25">
      <c r="K430" s="123" t="s">
        <v>539</v>
      </c>
      <c r="L430" s="126">
        <v>7618.232050606357</v>
      </c>
      <c r="M430" s="126">
        <v>7.4654423447572746</v>
      </c>
      <c r="N430" s="126">
        <v>8358.5129443725746</v>
      </c>
      <c r="O430" s="126">
        <v>8.9903732967639485</v>
      </c>
      <c r="P430" s="123">
        <f t="shared" si="38"/>
        <v>-740.28089376621756</v>
      </c>
      <c r="Q430" s="123">
        <f t="shared" si="39"/>
        <v>-1.5249309520066738</v>
      </c>
      <c r="R430" s="123">
        <f t="shared" si="36"/>
        <v>141690.61484453912</v>
      </c>
      <c r="S430" s="123">
        <f t="shared" si="37"/>
        <v>171448.9529909064</v>
      </c>
      <c r="T430" s="123">
        <f t="shared" si="40"/>
        <v>0</v>
      </c>
      <c r="U430" s="123">
        <f t="shared" si="41"/>
        <v>1</v>
      </c>
      <c r="W430" s="25"/>
    </row>
    <row r="431" spans="11:23" x14ac:dyDescent="0.25">
      <c r="K431" s="123" t="s">
        <v>540</v>
      </c>
      <c r="L431" s="126">
        <v>4286.7767658815119</v>
      </c>
      <c r="M431" s="126">
        <v>3.8508507611887506</v>
      </c>
      <c r="N431" s="126">
        <v>6372.777520335665</v>
      </c>
      <c r="O431" s="126">
        <v>6.4108545298578861</v>
      </c>
      <c r="P431" s="123">
        <f t="shared" si="38"/>
        <v>-2086.0007544541531</v>
      </c>
      <c r="Q431" s="123">
        <f t="shared" si="39"/>
        <v>-2.5600037686691355</v>
      </c>
      <c r="R431" s="123">
        <f t="shared" si="36"/>
        <v>72730.238457893502</v>
      </c>
      <c r="S431" s="123">
        <f t="shared" si="37"/>
        <v>121844.31307682206</v>
      </c>
      <c r="T431" s="123">
        <f t="shared" si="40"/>
        <v>0</v>
      </c>
      <c r="U431" s="123">
        <f t="shared" si="41"/>
        <v>1</v>
      </c>
      <c r="W431" s="25"/>
    </row>
    <row r="432" spans="11:23" x14ac:dyDescent="0.25">
      <c r="K432" s="123" t="s">
        <v>541</v>
      </c>
      <c r="L432" s="126">
        <v>8523.0720729067598</v>
      </c>
      <c r="M432" s="126">
        <v>7.3069312611174482</v>
      </c>
      <c r="N432" s="126">
        <v>6544.605638251729</v>
      </c>
      <c r="O432" s="126">
        <v>6.2763008237137488</v>
      </c>
      <c r="P432" s="123">
        <f t="shared" si="38"/>
        <v>1978.4664346550308</v>
      </c>
      <c r="Q432" s="123">
        <f t="shared" si="39"/>
        <v>1.0306304374036994</v>
      </c>
      <c r="R432" s="123">
        <f t="shared" si="36"/>
        <v>137615.55314944219</v>
      </c>
      <c r="S432" s="123">
        <f t="shared" si="37"/>
        <v>118981.41083602325</v>
      </c>
      <c r="T432" s="123">
        <f t="shared" si="40"/>
        <v>1</v>
      </c>
      <c r="U432" s="123">
        <f t="shared" si="41"/>
        <v>0</v>
      </c>
      <c r="W432" s="25"/>
    </row>
    <row r="433" spans="11:23" x14ac:dyDescent="0.25">
      <c r="K433" s="123" t="s">
        <v>542</v>
      </c>
      <c r="L433" s="126">
        <v>10827.867756648506</v>
      </c>
      <c r="M433" s="126">
        <v>11.033871906334269</v>
      </c>
      <c r="N433" s="126">
        <v>5503.8029542101949</v>
      </c>
      <c r="O433" s="126">
        <v>5.7578195489932327</v>
      </c>
      <c r="P433" s="123">
        <f t="shared" si="38"/>
        <v>5324.0648024383108</v>
      </c>
      <c r="Q433" s="123">
        <f t="shared" si="39"/>
        <v>5.2760523573410367</v>
      </c>
      <c r="R433" s="123">
        <f t="shared" si="36"/>
        <v>209849.57037003688</v>
      </c>
      <c r="S433" s="123">
        <f t="shared" si="37"/>
        <v>109652.58802565445</v>
      </c>
      <c r="T433" s="123">
        <f t="shared" si="40"/>
        <v>1</v>
      </c>
      <c r="U433" s="123">
        <f t="shared" si="41"/>
        <v>0</v>
      </c>
      <c r="W433" s="25"/>
    </row>
    <row r="434" spans="11:23" x14ac:dyDescent="0.25">
      <c r="K434" s="123" t="s">
        <v>543</v>
      </c>
      <c r="L434" s="126">
        <v>5651.592573731532</v>
      </c>
      <c r="M434" s="126">
        <v>5.3977048957785518</v>
      </c>
      <c r="N434" s="126">
        <v>7432.7925548541398</v>
      </c>
      <c r="O434" s="126">
        <v>7.4525059475082145</v>
      </c>
      <c r="P434" s="123">
        <f t="shared" si="38"/>
        <v>-1781.1999811226078</v>
      </c>
      <c r="Q434" s="123">
        <f t="shared" si="39"/>
        <v>-2.0548010517296627</v>
      </c>
      <c r="R434" s="123">
        <f t="shared" si="36"/>
        <v>102302.50534183951</v>
      </c>
      <c r="S434" s="123">
        <f t="shared" si="37"/>
        <v>141617.32639531014</v>
      </c>
      <c r="T434" s="123">
        <f t="shared" si="40"/>
        <v>0</v>
      </c>
      <c r="U434" s="123">
        <f t="shared" si="41"/>
        <v>1</v>
      </c>
      <c r="W434" s="25"/>
    </row>
    <row r="435" spans="11:23" x14ac:dyDescent="0.25">
      <c r="K435" s="123" t="s">
        <v>544</v>
      </c>
      <c r="L435" s="126">
        <v>9214.7239938739731</v>
      </c>
      <c r="M435" s="126">
        <v>9.3653336791046957</v>
      </c>
      <c r="N435" s="126">
        <v>6512.2044667719574</v>
      </c>
      <c r="O435" s="126">
        <v>7.3850718518076066</v>
      </c>
      <c r="P435" s="123">
        <f t="shared" si="38"/>
        <v>2702.5195271020157</v>
      </c>
      <c r="Q435" s="123">
        <f t="shared" si="39"/>
        <v>1.9802618272970891</v>
      </c>
      <c r="R435" s="123">
        <f t="shared" si="36"/>
        <v>178091.94958821993</v>
      </c>
      <c r="S435" s="123">
        <f t="shared" si="37"/>
        <v>141189.2325693802</v>
      </c>
      <c r="T435" s="123">
        <f t="shared" si="40"/>
        <v>1</v>
      </c>
      <c r="U435" s="123">
        <f t="shared" si="41"/>
        <v>0</v>
      </c>
      <c r="W435" s="25"/>
    </row>
    <row r="436" spans="11:23" x14ac:dyDescent="0.25">
      <c r="K436" s="123" t="s">
        <v>545</v>
      </c>
      <c r="L436" s="126">
        <v>9069.1045891531357</v>
      </c>
      <c r="M436" s="126">
        <v>8.8449222605399811</v>
      </c>
      <c r="N436" s="126">
        <v>6010.1453320510127</v>
      </c>
      <c r="O436" s="126">
        <v>6.329715183673529</v>
      </c>
      <c r="P436" s="123">
        <f t="shared" si="38"/>
        <v>3058.959257102123</v>
      </c>
      <c r="Q436" s="123">
        <f t="shared" si="39"/>
        <v>2.5152070768664521</v>
      </c>
      <c r="R436" s="123">
        <f t="shared" si="36"/>
        <v>167829.34062164649</v>
      </c>
      <c r="S436" s="123">
        <f t="shared" si="37"/>
        <v>120584.15834141956</v>
      </c>
      <c r="T436" s="123">
        <f t="shared" si="40"/>
        <v>1</v>
      </c>
      <c r="U436" s="123">
        <f t="shared" si="41"/>
        <v>0</v>
      </c>
      <c r="W436" s="25"/>
    </row>
    <row r="437" spans="11:23" x14ac:dyDescent="0.25">
      <c r="K437" s="123" t="s">
        <v>546</v>
      </c>
      <c r="L437" s="126">
        <v>10327.085384040874</v>
      </c>
      <c r="M437" s="126">
        <v>10.745639946863694</v>
      </c>
      <c r="N437" s="126">
        <v>6454.419470902938</v>
      </c>
      <c r="O437" s="126">
        <v>7.4259542863208008</v>
      </c>
      <c r="P437" s="123">
        <f t="shared" si="38"/>
        <v>3872.6659131379365</v>
      </c>
      <c r="Q437" s="123">
        <f t="shared" si="39"/>
        <v>3.319685660542893</v>
      </c>
      <c r="R437" s="123">
        <f t="shared" si="36"/>
        <v>204585.71355323301</v>
      </c>
      <c r="S437" s="123">
        <f t="shared" si="37"/>
        <v>142064.66625551309</v>
      </c>
      <c r="T437" s="123">
        <f t="shared" si="40"/>
        <v>1</v>
      </c>
      <c r="U437" s="123">
        <f t="shared" si="41"/>
        <v>0</v>
      </c>
      <c r="W437" s="25"/>
    </row>
    <row r="438" spans="11:23" x14ac:dyDescent="0.25">
      <c r="K438" s="123" t="s">
        <v>547</v>
      </c>
      <c r="L438" s="126">
        <v>8937.7846207390285</v>
      </c>
      <c r="M438" s="126">
        <v>8.9633916560500726</v>
      </c>
      <c r="N438" s="126">
        <v>6450.8835490157362</v>
      </c>
      <c r="O438" s="126">
        <v>7.4269168924793219</v>
      </c>
      <c r="P438" s="123">
        <f t="shared" si="38"/>
        <v>2486.9010717232923</v>
      </c>
      <c r="Q438" s="123">
        <f t="shared" si="39"/>
        <v>1.5364747635707507</v>
      </c>
      <c r="R438" s="123">
        <f t="shared" si="36"/>
        <v>170330.04850026243</v>
      </c>
      <c r="S438" s="123">
        <f t="shared" si="37"/>
        <v>142087.45430057071</v>
      </c>
      <c r="T438" s="123">
        <f t="shared" si="40"/>
        <v>1</v>
      </c>
      <c r="U438" s="123">
        <f t="shared" si="41"/>
        <v>0</v>
      </c>
      <c r="W438" s="25"/>
    </row>
    <row r="439" spans="11:23" x14ac:dyDescent="0.25">
      <c r="K439" s="123" t="s">
        <v>548</v>
      </c>
      <c r="L439" s="126">
        <v>5502.6941658470896</v>
      </c>
      <c r="M439" s="126">
        <v>5.4476116433796733</v>
      </c>
      <c r="N439" s="126">
        <v>6177.1617200523551</v>
      </c>
      <c r="O439" s="126">
        <v>6.3521402736814467</v>
      </c>
      <c r="P439" s="123">
        <f t="shared" si="38"/>
        <v>-674.46755420526551</v>
      </c>
      <c r="Q439" s="123">
        <f t="shared" si="39"/>
        <v>-0.90452863030177344</v>
      </c>
      <c r="R439" s="123">
        <f t="shared" si="36"/>
        <v>103449.53870174638</v>
      </c>
      <c r="S439" s="123">
        <f t="shared" si="37"/>
        <v>120865.64375357657</v>
      </c>
      <c r="T439" s="123">
        <f t="shared" si="40"/>
        <v>0</v>
      </c>
      <c r="U439" s="123">
        <f t="shared" si="41"/>
        <v>1</v>
      </c>
      <c r="W439" s="25"/>
    </row>
    <row r="440" spans="11:23" x14ac:dyDescent="0.25">
      <c r="K440" s="123" t="s">
        <v>549</v>
      </c>
      <c r="L440" s="126">
        <v>7196.8555281890276</v>
      </c>
      <c r="M440" s="126">
        <v>7.3205441802900761</v>
      </c>
      <c r="N440" s="126">
        <v>7170.5745254677986</v>
      </c>
      <c r="O440" s="126">
        <v>8.0839238226158336</v>
      </c>
      <c r="P440" s="123">
        <f t="shared" si="38"/>
        <v>26.281002721229015</v>
      </c>
      <c r="Q440" s="123">
        <f t="shared" si="39"/>
        <v>-0.7633796423257575</v>
      </c>
      <c r="R440" s="123">
        <f t="shared" si="36"/>
        <v>139214.02807761251</v>
      </c>
      <c r="S440" s="123">
        <f t="shared" si="37"/>
        <v>154507.90192684889</v>
      </c>
      <c r="T440" s="123">
        <f t="shared" si="40"/>
        <v>0</v>
      </c>
      <c r="U440" s="123">
        <f t="shared" si="41"/>
        <v>1</v>
      </c>
      <c r="W440" s="25"/>
    </row>
    <row r="441" spans="11:23" x14ac:dyDescent="0.25">
      <c r="K441" s="123" t="s">
        <v>550</v>
      </c>
      <c r="L441" s="126">
        <v>10579.231911130322</v>
      </c>
      <c r="M441" s="126">
        <v>8.904191147786749</v>
      </c>
      <c r="N441" s="126">
        <v>6836.9524023399781</v>
      </c>
      <c r="O441" s="126">
        <v>5.6560731934649091</v>
      </c>
      <c r="P441" s="123">
        <f t="shared" si="38"/>
        <v>3742.2795087903442</v>
      </c>
      <c r="Q441" s="123">
        <f t="shared" si="39"/>
        <v>3.2481179543218399</v>
      </c>
      <c r="R441" s="123">
        <f t="shared" si="36"/>
        <v>167504.59104460466</v>
      </c>
      <c r="S441" s="123">
        <f t="shared" si="37"/>
        <v>106284.51146695821</v>
      </c>
      <c r="T441" s="123">
        <f t="shared" si="40"/>
        <v>1</v>
      </c>
      <c r="U441" s="123">
        <f t="shared" si="41"/>
        <v>0</v>
      </c>
      <c r="W441" s="25"/>
    </row>
    <row r="442" spans="11:23" x14ac:dyDescent="0.25">
      <c r="K442" s="123" t="s">
        <v>551</v>
      </c>
      <c r="L442" s="126">
        <v>7415.9769218382862</v>
      </c>
      <c r="M442" s="126">
        <v>7.2071147361159555</v>
      </c>
      <c r="N442" s="126">
        <v>6855.9874243799177</v>
      </c>
      <c r="O442" s="126">
        <v>7.5372559950882874</v>
      </c>
      <c r="P442" s="123">
        <f t="shared" si="38"/>
        <v>559.98949745836853</v>
      </c>
      <c r="Q442" s="123">
        <f t="shared" si="39"/>
        <v>-0.33014125897233182</v>
      </c>
      <c r="R442" s="123">
        <f t="shared" si="36"/>
        <v>136726.31780048081</v>
      </c>
      <c r="S442" s="123">
        <f t="shared" si="37"/>
        <v>143889.13247738584</v>
      </c>
      <c r="T442" s="123">
        <f t="shared" si="40"/>
        <v>0</v>
      </c>
      <c r="U442" s="123">
        <f t="shared" si="41"/>
        <v>1</v>
      </c>
    </row>
    <row r="443" spans="11:23" x14ac:dyDescent="0.25">
      <c r="K443" s="123" t="s">
        <v>552</v>
      </c>
      <c r="L443" s="126">
        <v>8607.410104488039</v>
      </c>
      <c r="M443" s="126">
        <v>7.6509826197170732</v>
      </c>
      <c r="N443" s="126">
        <v>6258.566350700431</v>
      </c>
      <c r="O443" s="126">
        <v>6.0200550081583994</v>
      </c>
      <c r="P443" s="123">
        <f t="shared" si="38"/>
        <v>2348.843753787608</v>
      </c>
      <c r="Q443" s="123">
        <f t="shared" si="39"/>
        <v>1.6309276115586737</v>
      </c>
      <c r="R443" s="123">
        <f t="shared" si="36"/>
        <v>144412.2422898534</v>
      </c>
      <c r="S443" s="123">
        <f t="shared" si="37"/>
        <v>114142.53381246755</v>
      </c>
      <c r="T443" s="123">
        <f t="shared" si="40"/>
        <v>1</v>
      </c>
      <c r="U443" s="123">
        <f t="shared" si="41"/>
        <v>0</v>
      </c>
    </row>
    <row r="444" spans="11:23" x14ac:dyDescent="0.25">
      <c r="K444" s="123" t="s">
        <v>553</v>
      </c>
      <c r="L444" s="126">
        <v>7819.8014684544232</v>
      </c>
      <c r="M444" s="126">
        <v>7.1028992050594484</v>
      </c>
      <c r="N444" s="126">
        <v>7444.0040755376231</v>
      </c>
      <c r="O444" s="126">
        <v>7.2890672074820424</v>
      </c>
      <c r="P444" s="123">
        <f t="shared" si="38"/>
        <v>375.79739291680016</v>
      </c>
      <c r="Q444" s="123">
        <f t="shared" si="39"/>
        <v>-0.18616800242259401</v>
      </c>
      <c r="R444" s="123">
        <f t="shared" si="36"/>
        <v>134238.18263273456</v>
      </c>
      <c r="S444" s="123">
        <f t="shared" si="37"/>
        <v>138337.34007410324</v>
      </c>
      <c r="T444" s="123">
        <f t="shared" si="40"/>
        <v>0</v>
      </c>
      <c r="U444" s="123">
        <f t="shared" si="41"/>
        <v>1</v>
      </c>
    </row>
    <row r="445" spans="11:23" x14ac:dyDescent="0.25">
      <c r="K445" s="123" t="s">
        <v>554</v>
      </c>
      <c r="L445" s="126">
        <v>8267.8127236785076</v>
      </c>
      <c r="M445" s="126">
        <v>8.1001694282958852</v>
      </c>
      <c r="N445" s="126">
        <v>6113.5164126248083</v>
      </c>
      <c r="O445" s="126">
        <v>6.2991639736076719</v>
      </c>
      <c r="P445" s="123">
        <f t="shared" si="38"/>
        <v>2154.2963110536994</v>
      </c>
      <c r="Q445" s="123">
        <f t="shared" si="39"/>
        <v>1.8010054546882133</v>
      </c>
      <c r="R445" s="123">
        <f t="shared" si="36"/>
        <v>153735.5758422392</v>
      </c>
      <c r="S445" s="123">
        <f t="shared" si="37"/>
        <v>119869.76305952863</v>
      </c>
      <c r="T445" s="123">
        <f t="shared" si="40"/>
        <v>1</v>
      </c>
      <c r="U445" s="123">
        <f t="shared" si="41"/>
        <v>0</v>
      </c>
    </row>
    <row r="446" spans="11:23" x14ac:dyDescent="0.25">
      <c r="K446" s="123" t="s">
        <v>555</v>
      </c>
      <c r="L446" s="126">
        <v>7999.0624778219662</v>
      </c>
      <c r="M446" s="126">
        <v>7.8514990144438181</v>
      </c>
      <c r="N446" s="126">
        <v>6895.4597062196208</v>
      </c>
      <c r="O446" s="126">
        <v>7.2080242709131985</v>
      </c>
      <c r="P446" s="123">
        <f t="shared" si="38"/>
        <v>1103.6027716023455</v>
      </c>
      <c r="Q446" s="123">
        <f t="shared" si="39"/>
        <v>0.64347474353061962</v>
      </c>
      <c r="R446" s="123">
        <f t="shared" si="36"/>
        <v>149030.91781105439</v>
      </c>
      <c r="S446" s="123">
        <f t="shared" si="37"/>
        <v>137265.02571204436</v>
      </c>
      <c r="T446" s="123">
        <f t="shared" si="40"/>
        <v>1</v>
      </c>
      <c r="U446" s="123">
        <f t="shared" si="41"/>
        <v>0</v>
      </c>
    </row>
    <row r="447" spans="11:23" x14ac:dyDescent="0.25">
      <c r="K447" s="123" t="s">
        <v>556</v>
      </c>
      <c r="L447" s="126">
        <v>5240.3960552366343</v>
      </c>
      <c r="M447" s="126">
        <v>4.5923056603911778</v>
      </c>
      <c r="N447" s="126">
        <v>7627.4145455373709</v>
      </c>
      <c r="O447" s="126">
        <v>7.7240888466126485</v>
      </c>
      <c r="P447" s="123">
        <f t="shared" si="38"/>
        <v>-2387.0184903007366</v>
      </c>
      <c r="Q447" s="123">
        <f t="shared" si="39"/>
        <v>-3.1317831862214707</v>
      </c>
      <c r="R447" s="123">
        <f t="shared" si="36"/>
        <v>86605.71715258692</v>
      </c>
      <c r="S447" s="123">
        <f t="shared" si="37"/>
        <v>146854.3623867156</v>
      </c>
      <c r="T447" s="123">
        <f t="shared" si="40"/>
        <v>0</v>
      </c>
      <c r="U447" s="123">
        <f t="shared" si="41"/>
        <v>1</v>
      </c>
    </row>
    <row r="448" spans="11:23" x14ac:dyDescent="0.25">
      <c r="K448" s="123" t="s">
        <v>557</v>
      </c>
      <c r="L448" s="126">
        <v>5459.7398600196393</v>
      </c>
      <c r="M448" s="126">
        <v>5.1098912846480387</v>
      </c>
      <c r="N448" s="126">
        <v>4941.1000436703753</v>
      </c>
      <c r="O448" s="126">
        <v>5.4024394575197228</v>
      </c>
      <c r="P448" s="123">
        <f t="shared" si="38"/>
        <v>518.63981634926404</v>
      </c>
      <c r="Q448" s="123">
        <f t="shared" si="39"/>
        <v>-0.29254817287168411</v>
      </c>
      <c r="R448" s="123">
        <f t="shared" si="36"/>
        <v>96738.085832941142</v>
      </c>
      <c r="S448" s="123">
        <f t="shared" si="37"/>
        <v>103107.68910672408</v>
      </c>
      <c r="T448" s="123">
        <f t="shared" si="40"/>
        <v>0</v>
      </c>
      <c r="U448" s="123">
        <f t="shared" si="41"/>
        <v>1</v>
      </c>
    </row>
    <row r="449" spans="11:21" x14ac:dyDescent="0.25">
      <c r="K449" s="123" t="s">
        <v>558</v>
      </c>
      <c r="L449" s="126">
        <v>8256.9351145618439</v>
      </c>
      <c r="M449" s="126">
        <v>7.8555846257545525</v>
      </c>
      <c r="N449" s="126">
        <v>6203.4285932988614</v>
      </c>
      <c r="O449" s="126">
        <v>6.9009308692629512</v>
      </c>
      <c r="P449" s="123">
        <f t="shared" si="38"/>
        <v>2053.5065212629825</v>
      </c>
      <c r="Q449" s="123">
        <f t="shared" si="39"/>
        <v>0.95465375649160134</v>
      </c>
      <c r="R449" s="123">
        <f t="shared" si="36"/>
        <v>148854.7574005292</v>
      </c>
      <c r="S449" s="123">
        <f t="shared" si="37"/>
        <v>131815.18879196016</v>
      </c>
      <c r="T449" s="123">
        <f t="shared" si="40"/>
        <v>1</v>
      </c>
      <c r="U449" s="123">
        <f t="shared" si="41"/>
        <v>0</v>
      </c>
    </row>
    <row r="450" spans="11:21" x14ac:dyDescent="0.25">
      <c r="K450" s="123" t="s">
        <v>559</v>
      </c>
      <c r="L450" s="126">
        <v>8462.9310558587767</v>
      </c>
      <c r="M450" s="126">
        <v>6.989432940058574</v>
      </c>
      <c r="N450" s="126">
        <v>8052.2945124505422</v>
      </c>
      <c r="O450" s="126">
        <v>7.4821550146673408</v>
      </c>
      <c r="P450" s="123">
        <f t="shared" si="38"/>
        <v>410.6365434082345</v>
      </c>
      <c r="Q450" s="123">
        <f t="shared" si="39"/>
        <v>-0.49272207460876682</v>
      </c>
      <c r="R450" s="123">
        <f t="shared" si="36"/>
        <v>131325.7277453127</v>
      </c>
      <c r="S450" s="123">
        <f t="shared" si="37"/>
        <v>141590.80578089628</v>
      </c>
      <c r="T450" s="123">
        <f t="shared" si="40"/>
        <v>0</v>
      </c>
      <c r="U450" s="123">
        <f t="shared" si="41"/>
        <v>1</v>
      </c>
    </row>
    <row r="451" spans="11:21" x14ac:dyDescent="0.25">
      <c r="K451" s="123" t="s">
        <v>560</v>
      </c>
      <c r="L451" s="126">
        <v>8209.6290571678383</v>
      </c>
      <c r="M451" s="126">
        <v>7.3236459872226085</v>
      </c>
      <c r="N451" s="126">
        <v>7763.9579598367091</v>
      </c>
      <c r="O451" s="126">
        <v>7.6559285704874158</v>
      </c>
      <c r="P451" s="123">
        <f t="shared" si="38"/>
        <v>445.6710973311292</v>
      </c>
      <c r="Q451" s="123">
        <f t="shared" si="39"/>
        <v>-0.33228258326480731</v>
      </c>
      <c r="R451" s="123">
        <f t="shared" si="36"/>
        <v>138263.29068728435</v>
      </c>
      <c r="S451" s="123">
        <f t="shared" si="37"/>
        <v>145354.61344991162</v>
      </c>
      <c r="T451" s="123">
        <f t="shared" si="40"/>
        <v>0</v>
      </c>
      <c r="U451" s="123">
        <f t="shared" si="41"/>
        <v>1</v>
      </c>
    </row>
    <row r="452" spans="11:21" x14ac:dyDescent="0.25">
      <c r="K452" s="123" t="s">
        <v>561</v>
      </c>
      <c r="L452" s="126">
        <v>8007.6775370482028</v>
      </c>
      <c r="M452" s="126">
        <v>8.276781213745128</v>
      </c>
      <c r="N452" s="126">
        <v>8232.9750760986535</v>
      </c>
      <c r="O452" s="126">
        <v>9.7780405219290873</v>
      </c>
      <c r="P452" s="123">
        <f t="shared" si="38"/>
        <v>-225.29753905045072</v>
      </c>
      <c r="Q452" s="123">
        <f t="shared" si="39"/>
        <v>-1.5012593081839594</v>
      </c>
      <c r="R452" s="123">
        <f t="shared" si="36"/>
        <v>157527.94673785436</v>
      </c>
      <c r="S452" s="123">
        <f t="shared" si="37"/>
        <v>187327.83536248308</v>
      </c>
      <c r="T452" s="123">
        <f t="shared" si="40"/>
        <v>0</v>
      </c>
      <c r="U452" s="123">
        <f t="shared" si="41"/>
        <v>1</v>
      </c>
    </row>
    <row r="453" spans="11:21" x14ac:dyDescent="0.25">
      <c r="K453" s="123" t="s">
        <v>562</v>
      </c>
      <c r="L453" s="126">
        <v>5816.9666174936683</v>
      </c>
      <c r="M453" s="126">
        <v>5.5908013041449243</v>
      </c>
      <c r="N453" s="126">
        <v>6514.4255323193292</v>
      </c>
      <c r="O453" s="126">
        <v>7.1720993288396198</v>
      </c>
      <c r="P453" s="123">
        <f t="shared" si="38"/>
        <v>-697.45891482566094</v>
      </c>
      <c r="Q453" s="123">
        <f t="shared" si="39"/>
        <v>-1.5812980246946955</v>
      </c>
      <c r="R453" s="123">
        <f t="shared" si="36"/>
        <v>105999.05946540482</v>
      </c>
      <c r="S453" s="123">
        <f t="shared" si="37"/>
        <v>136927.56104447308</v>
      </c>
      <c r="T453" s="123">
        <f t="shared" si="40"/>
        <v>0</v>
      </c>
      <c r="U453" s="123">
        <f t="shared" si="41"/>
        <v>1</v>
      </c>
    </row>
    <row r="454" spans="11:21" x14ac:dyDescent="0.25">
      <c r="K454" s="123" t="s">
        <v>563</v>
      </c>
      <c r="L454" s="126">
        <v>6236.8381508455077</v>
      </c>
      <c r="M454" s="126">
        <v>5.9276404911609228</v>
      </c>
      <c r="N454" s="126">
        <v>7031.7534279563615</v>
      </c>
      <c r="O454" s="126">
        <v>7.9027588290577153</v>
      </c>
      <c r="P454" s="123">
        <f t="shared" si="38"/>
        <v>-794.91527711085382</v>
      </c>
      <c r="Q454" s="123">
        <f t="shared" si="39"/>
        <v>-1.9751183378967925</v>
      </c>
      <c r="R454" s="123">
        <f t="shared" si="36"/>
        <v>112315.97167237295</v>
      </c>
      <c r="S454" s="123">
        <f t="shared" si="37"/>
        <v>151023.42315319795</v>
      </c>
      <c r="T454" s="123">
        <f t="shared" si="40"/>
        <v>0</v>
      </c>
      <c r="U454" s="123">
        <f t="shared" si="41"/>
        <v>1</v>
      </c>
    </row>
    <row r="455" spans="11:21" x14ac:dyDescent="0.25">
      <c r="K455" s="123" t="s">
        <v>564</v>
      </c>
      <c r="L455" s="126">
        <v>8006.4855979041749</v>
      </c>
      <c r="M455" s="126">
        <v>7.6187725242797075</v>
      </c>
      <c r="N455" s="126">
        <v>7037.3012608883964</v>
      </c>
      <c r="O455" s="126">
        <v>7.463511697389281</v>
      </c>
      <c r="P455" s="123">
        <f t="shared" si="38"/>
        <v>969.18433701577851</v>
      </c>
      <c r="Q455" s="123">
        <f t="shared" si="39"/>
        <v>0.15526082689042653</v>
      </c>
      <c r="R455" s="123">
        <f t="shared" si="36"/>
        <v>144368.96488768997</v>
      </c>
      <c r="S455" s="123">
        <f t="shared" si="37"/>
        <v>142232.93268689723</v>
      </c>
      <c r="T455" s="123">
        <f t="shared" si="40"/>
        <v>1</v>
      </c>
      <c r="U455" s="123">
        <f t="shared" si="41"/>
        <v>0</v>
      </c>
    </row>
    <row r="456" spans="11:21" x14ac:dyDescent="0.25">
      <c r="K456" s="123" t="s">
        <v>565</v>
      </c>
      <c r="L456" s="126">
        <v>8149.2072939323689</v>
      </c>
      <c r="M456" s="126">
        <v>8.8199720692220644</v>
      </c>
      <c r="N456" s="126">
        <v>6749.8213467840142</v>
      </c>
      <c r="O456" s="126">
        <v>7.4151559114398715</v>
      </c>
      <c r="P456" s="123">
        <f t="shared" si="38"/>
        <v>1399.3859471483547</v>
      </c>
      <c r="Q456" s="123">
        <f t="shared" si="39"/>
        <v>1.4048161577821929</v>
      </c>
      <c r="R456" s="123">
        <f t="shared" si="36"/>
        <v>168250.23409050892</v>
      </c>
      <c r="S456" s="123">
        <f t="shared" si="37"/>
        <v>141553.29688201341</v>
      </c>
      <c r="T456" s="123">
        <f t="shared" si="40"/>
        <v>1</v>
      </c>
      <c r="U456" s="123">
        <f t="shared" si="41"/>
        <v>0</v>
      </c>
    </row>
    <row r="457" spans="11:21" x14ac:dyDescent="0.25">
      <c r="K457" s="123" t="s">
        <v>566</v>
      </c>
      <c r="L457" s="126">
        <v>8055.4748095190498</v>
      </c>
      <c r="M457" s="126">
        <v>6.6591378160674637</v>
      </c>
      <c r="N457" s="126">
        <v>10257.297911958774</v>
      </c>
      <c r="O457" s="126">
        <v>9.0749802008143821</v>
      </c>
      <c r="P457" s="123">
        <f t="shared" si="38"/>
        <v>-2201.8231024397246</v>
      </c>
      <c r="Q457" s="123">
        <f t="shared" si="39"/>
        <v>-2.4158423847469184</v>
      </c>
      <c r="R457" s="123">
        <f t="shared" si="36"/>
        <v>125127.28151183022</v>
      </c>
      <c r="S457" s="123">
        <f t="shared" si="37"/>
        <v>171242.30610432886</v>
      </c>
      <c r="T457" s="123">
        <f t="shared" si="40"/>
        <v>0</v>
      </c>
      <c r="U457" s="123">
        <f t="shared" si="41"/>
        <v>1</v>
      </c>
    </row>
    <row r="458" spans="11:21" x14ac:dyDescent="0.25">
      <c r="K458" s="123" t="s">
        <v>567</v>
      </c>
      <c r="L458" s="126">
        <v>7326.437062508794</v>
      </c>
      <c r="M458" s="126">
        <v>7.6879161867204688</v>
      </c>
      <c r="N458" s="126">
        <v>6837.0583745090598</v>
      </c>
      <c r="O458" s="126">
        <v>7.9096263337722625</v>
      </c>
      <c r="P458" s="123">
        <f t="shared" si="38"/>
        <v>489.37868799973421</v>
      </c>
      <c r="Q458" s="123">
        <f t="shared" si="39"/>
        <v>-0.2217101470517937</v>
      </c>
      <c r="R458" s="123">
        <f t="shared" si="36"/>
        <v>146431.88667190057</v>
      </c>
      <c r="S458" s="123">
        <f t="shared" si="37"/>
        <v>151355.46830093619</v>
      </c>
      <c r="T458" s="123">
        <f t="shared" si="40"/>
        <v>0</v>
      </c>
      <c r="U458" s="123">
        <f t="shared" si="41"/>
        <v>1</v>
      </c>
    </row>
    <row r="459" spans="11:21" x14ac:dyDescent="0.25">
      <c r="K459" s="123" t="s">
        <v>568</v>
      </c>
      <c r="L459" s="126">
        <v>9637.6648088604452</v>
      </c>
      <c r="M459" s="126">
        <v>9.938507323305771</v>
      </c>
      <c r="N459" s="126">
        <v>5786.1224897470429</v>
      </c>
      <c r="O459" s="126">
        <v>6.0290972310807156</v>
      </c>
      <c r="P459" s="123">
        <f t="shared" si="38"/>
        <v>3851.5423191134023</v>
      </c>
      <c r="Q459" s="123">
        <f t="shared" si="39"/>
        <v>3.9094100922250554</v>
      </c>
      <c r="R459" s="123">
        <f t="shared" si="36"/>
        <v>189132.48165725498</v>
      </c>
      <c r="S459" s="123">
        <f t="shared" si="37"/>
        <v>114795.82213186727</v>
      </c>
      <c r="T459" s="123">
        <f t="shared" si="40"/>
        <v>1</v>
      </c>
      <c r="U459" s="123">
        <f t="shared" si="41"/>
        <v>0</v>
      </c>
    </row>
    <row r="460" spans="11:21" x14ac:dyDescent="0.25">
      <c r="K460" s="123" t="s">
        <v>569</v>
      </c>
      <c r="L460" s="126">
        <v>7093.3552120925333</v>
      </c>
      <c r="M460" s="126">
        <v>7.1763045135573353</v>
      </c>
      <c r="N460" s="126">
        <v>5569.3431499459584</v>
      </c>
      <c r="O460" s="126">
        <v>6.5595150277596259</v>
      </c>
      <c r="P460" s="123">
        <f t="shared" si="38"/>
        <v>1524.0120621465749</v>
      </c>
      <c r="Q460" s="123">
        <f t="shared" si="39"/>
        <v>0.61678948579770942</v>
      </c>
      <c r="R460" s="123">
        <f t="shared" si="36"/>
        <v>136432.73505905416</v>
      </c>
      <c r="S460" s="123">
        <f t="shared" si="37"/>
        <v>125620.95740524656</v>
      </c>
      <c r="T460" s="123">
        <f t="shared" si="40"/>
        <v>1</v>
      </c>
      <c r="U460" s="123">
        <f t="shared" si="41"/>
        <v>0</v>
      </c>
    </row>
    <row r="461" spans="11:21" x14ac:dyDescent="0.25">
      <c r="K461" s="123" t="s">
        <v>570</v>
      </c>
      <c r="L461" s="126">
        <v>6548.2276846239401</v>
      </c>
      <c r="M461" s="126">
        <v>6.1233950218073474</v>
      </c>
      <c r="N461" s="126">
        <v>6813.5828036513776</v>
      </c>
      <c r="O461" s="126">
        <v>6.7316349208116666</v>
      </c>
      <c r="P461" s="123">
        <f t="shared" si="38"/>
        <v>-265.35511902743747</v>
      </c>
      <c r="Q461" s="123">
        <f t="shared" si="39"/>
        <v>-0.60823989900431918</v>
      </c>
      <c r="R461" s="123">
        <f t="shared" si="36"/>
        <v>115919.672751523</v>
      </c>
      <c r="S461" s="123">
        <f t="shared" si="37"/>
        <v>127819.11561258195</v>
      </c>
      <c r="T461" s="123">
        <f t="shared" si="40"/>
        <v>0</v>
      </c>
      <c r="U461" s="123">
        <f t="shared" si="41"/>
        <v>1</v>
      </c>
    </row>
    <row r="462" spans="11:21" x14ac:dyDescent="0.25">
      <c r="K462" s="123" t="s">
        <v>571</v>
      </c>
      <c r="L462" s="126">
        <v>8803.5190772678689</v>
      </c>
      <c r="M462" s="126">
        <v>7.3502432180516362</v>
      </c>
      <c r="N462" s="126">
        <v>7480.5670174429069</v>
      </c>
      <c r="O462" s="126">
        <v>6.798673924212002</v>
      </c>
      <c r="P462" s="123">
        <f t="shared" si="38"/>
        <v>1322.9520598249619</v>
      </c>
      <c r="Q462" s="123">
        <f t="shared" si="39"/>
        <v>0.55156929383963416</v>
      </c>
      <c r="R462" s="123">
        <f t="shared" si="36"/>
        <v>138201.34528376485</v>
      </c>
      <c r="S462" s="123">
        <f t="shared" si="37"/>
        <v>128492.91146679713</v>
      </c>
      <c r="T462" s="123">
        <f t="shared" si="40"/>
        <v>1</v>
      </c>
      <c r="U462" s="123">
        <f t="shared" si="41"/>
        <v>0</v>
      </c>
    </row>
    <row r="463" spans="11:21" x14ac:dyDescent="0.25">
      <c r="K463" s="123" t="s">
        <v>572</v>
      </c>
      <c r="L463" s="126">
        <v>6260.9429310557043</v>
      </c>
      <c r="M463" s="126">
        <v>5.8913096555581612</v>
      </c>
      <c r="N463" s="126">
        <v>8392.5953556750428</v>
      </c>
      <c r="O463" s="126">
        <v>8.5953789744104423</v>
      </c>
      <c r="P463" s="123">
        <f t="shared" si="38"/>
        <v>-2131.6524246193385</v>
      </c>
      <c r="Q463" s="123">
        <f t="shared" si="39"/>
        <v>-2.7040693188522811</v>
      </c>
      <c r="R463" s="123">
        <f t="shared" si="36"/>
        <v>111565.25018010753</v>
      </c>
      <c r="S463" s="123">
        <f t="shared" si="37"/>
        <v>163514.98413253381</v>
      </c>
      <c r="T463" s="123">
        <f t="shared" si="40"/>
        <v>0</v>
      </c>
      <c r="U463" s="123">
        <f t="shared" si="41"/>
        <v>1</v>
      </c>
    </row>
    <row r="464" spans="11:21" x14ac:dyDescent="0.25">
      <c r="K464" s="123" t="s">
        <v>573</v>
      </c>
      <c r="L464" s="126">
        <v>7301.6724304843101</v>
      </c>
      <c r="M464" s="126">
        <v>6.5401093565252495</v>
      </c>
      <c r="N464" s="126">
        <v>8034.9157820941764</v>
      </c>
      <c r="O464" s="126">
        <v>8.03852008832515</v>
      </c>
      <c r="P464" s="123">
        <f t="shared" si="38"/>
        <v>-733.24335160986629</v>
      </c>
      <c r="Q464" s="123">
        <f t="shared" si="39"/>
        <v>-1.4984107317999005</v>
      </c>
      <c r="R464" s="123">
        <f t="shared" si="36"/>
        <v>123500.51470002068</v>
      </c>
      <c r="S464" s="123">
        <f t="shared" si="37"/>
        <v>152735.48598440882</v>
      </c>
      <c r="T464" s="123">
        <f t="shared" si="40"/>
        <v>0</v>
      </c>
      <c r="U464" s="123">
        <f t="shared" si="41"/>
        <v>1</v>
      </c>
    </row>
    <row r="465" spans="11:21" x14ac:dyDescent="0.25">
      <c r="K465" s="123" t="s">
        <v>574</v>
      </c>
      <c r="L465" s="126">
        <v>6856.1680776658086</v>
      </c>
      <c r="M465" s="126">
        <v>3.669904431471835</v>
      </c>
      <c r="N465" s="126">
        <v>5812.7430858875978</v>
      </c>
      <c r="O465" s="126">
        <v>3.9942925522080461</v>
      </c>
      <c r="P465" s="123">
        <f t="shared" si="38"/>
        <v>1043.4249917782108</v>
      </c>
      <c r="Q465" s="123">
        <f t="shared" si="39"/>
        <v>-0.32438812073621115</v>
      </c>
      <c r="R465" s="123">
        <f t="shared" ref="R465:R528" si="42">M465*willingness_to_pay-L465</f>
        <v>66541.920551770891</v>
      </c>
      <c r="S465" s="123">
        <f t="shared" ref="S465:S528" si="43">O465*willingness_to_pay-N465</f>
        <v>74073.107958273322</v>
      </c>
      <c r="T465" s="123">
        <f t="shared" si="40"/>
        <v>0</v>
      </c>
      <c r="U465" s="123">
        <f t="shared" si="41"/>
        <v>1</v>
      </c>
    </row>
    <row r="466" spans="11:21" x14ac:dyDescent="0.25">
      <c r="K466" s="123" t="s">
        <v>575</v>
      </c>
      <c r="L466" s="126">
        <v>6079.1264214490147</v>
      </c>
      <c r="M466" s="126">
        <v>5.5303254591523121</v>
      </c>
      <c r="N466" s="126">
        <v>7125.9461526538089</v>
      </c>
      <c r="O466" s="126">
        <v>6.9113101595287354</v>
      </c>
      <c r="P466" s="123">
        <f t="shared" ref="P466:P529" si="44">L466-N466</f>
        <v>-1046.8197312047942</v>
      </c>
      <c r="Q466" s="123">
        <f t="shared" ref="Q466:Q529" si="45">M466-O466</f>
        <v>-1.3809847003764233</v>
      </c>
      <c r="R466" s="123">
        <f t="shared" si="42"/>
        <v>104527.38276159723</v>
      </c>
      <c r="S466" s="123">
        <f t="shared" si="43"/>
        <v>131100.25703792091</v>
      </c>
      <c r="T466" s="123">
        <f t="shared" ref="T466:T529" si="46">IF(L466="", "",IF(R466=MAX(R466:S466),1,0))</f>
        <v>0</v>
      </c>
      <c r="U466" s="123">
        <f t="shared" ref="U466:U529" si="47">IF(N466="", "", IF(S466=MAX(R466:S466),1,0))</f>
        <v>1</v>
      </c>
    </row>
    <row r="467" spans="11:21" x14ac:dyDescent="0.25">
      <c r="K467" s="123" t="s">
        <v>576</v>
      </c>
      <c r="L467" s="126">
        <v>7672.0829314863786</v>
      </c>
      <c r="M467" s="126">
        <v>6.7202942512458259</v>
      </c>
      <c r="N467" s="126">
        <v>9106.3796006029825</v>
      </c>
      <c r="O467" s="126">
        <v>8.6820960791199671</v>
      </c>
      <c r="P467" s="123">
        <f t="shared" si="44"/>
        <v>-1434.2966691166039</v>
      </c>
      <c r="Q467" s="123">
        <f t="shared" si="45"/>
        <v>-1.9618018278741411</v>
      </c>
      <c r="R467" s="123">
        <f t="shared" si="42"/>
        <v>126733.80209343015</v>
      </c>
      <c r="S467" s="123">
        <f t="shared" si="43"/>
        <v>164535.54198179636</v>
      </c>
      <c r="T467" s="123">
        <f t="shared" si="46"/>
        <v>0</v>
      </c>
      <c r="U467" s="123">
        <f t="shared" si="47"/>
        <v>1</v>
      </c>
    </row>
    <row r="468" spans="11:21" x14ac:dyDescent="0.25">
      <c r="K468" s="123" t="s">
        <v>577</v>
      </c>
      <c r="L468" s="126">
        <v>5450.7203400490653</v>
      </c>
      <c r="M468" s="126">
        <v>4.8208675316106238</v>
      </c>
      <c r="N468" s="126">
        <v>6221.2545161953149</v>
      </c>
      <c r="O468" s="126">
        <v>6.1298381254573631</v>
      </c>
      <c r="P468" s="123">
        <f t="shared" si="44"/>
        <v>-770.53417614624959</v>
      </c>
      <c r="Q468" s="123">
        <f t="shared" si="45"/>
        <v>-1.3089705938467393</v>
      </c>
      <c r="R468" s="123">
        <f t="shared" si="42"/>
        <v>90966.630292163405</v>
      </c>
      <c r="S468" s="123">
        <f t="shared" si="43"/>
        <v>116375.50799295194</v>
      </c>
      <c r="T468" s="123">
        <f t="shared" si="46"/>
        <v>0</v>
      </c>
      <c r="U468" s="123">
        <f t="shared" si="47"/>
        <v>1</v>
      </c>
    </row>
    <row r="469" spans="11:21" x14ac:dyDescent="0.25">
      <c r="K469" s="123" t="s">
        <v>578</v>
      </c>
      <c r="L469" s="126">
        <v>4793.6565435191296</v>
      </c>
      <c r="M469" s="126">
        <v>2.1392135633233114</v>
      </c>
      <c r="N469" s="126">
        <v>7898.6601195101248</v>
      </c>
      <c r="O469" s="126">
        <v>4.3435179502384633</v>
      </c>
      <c r="P469" s="123">
        <f t="shared" si="44"/>
        <v>-3105.0035759909952</v>
      </c>
      <c r="Q469" s="123">
        <f t="shared" si="45"/>
        <v>-2.204304386915152</v>
      </c>
      <c r="R469" s="123">
        <f t="shared" si="42"/>
        <v>37990.614722947095</v>
      </c>
      <c r="S469" s="123">
        <f t="shared" si="43"/>
        <v>78971.698885259146</v>
      </c>
      <c r="T469" s="123">
        <f t="shared" si="46"/>
        <v>0</v>
      </c>
      <c r="U469" s="123">
        <f t="shared" si="47"/>
        <v>1</v>
      </c>
    </row>
    <row r="470" spans="11:21" x14ac:dyDescent="0.25">
      <c r="K470" s="123" t="s">
        <v>579</v>
      </c>
      <c r="L470" s="126">
        <v>8830.8756764335376</v>
      </c>
      <c r="M470" s="126">
        <v>7.9600916688363474</v>
      </c>
      <c r="N470" s="126">
        <v>8025.4279150867023</v>
      </c>
      <c r="O470" s="126">
        <v>7.7112362107296564</v>
      </c>
      <c r="P470" s="123">
        <f t="shared" si="44"/>
        <v>805.44776134683525</v>
      </c>
      <c r="Q470" s="123">
        <f t="shared" si="45"/>
        <v>0.24885545810669107</v>
      </c>
      <c r="R470" s="123">
        <f t="shared" si="42"/>
        <v>150370.95770029342</v>
      </c>
      <c r="S470" s="123">
        <f t="shared" si="43"/>
        <v>146199.29629950642</v>
      </c>
      <c r="T470" s="123">
        <f t="shared" si="46"/>
        <v>1</v>
      </c>
      <c r="U470" s="123">
        <f t="shared" si="47"/>
        <v>0</v>
      </c>
    </row>
    <row r="471" spans="11:21" x14ac:dyDescent="0.25">
      <c r="K471" s="123" t="s">
        <v>580</v>
      </c>
      <c r="L471" s="126">
        <v>6731.474836604496</v>
      </c>
      <c r="M471" s="126">
        <v>6.7356646685172583</v>
      </c>
      <c r="N471" s="126">
        <v>8087.2439200524041</v>
      </c>
      <c r="O471" s="126">
        <v>8.9518028961386804</v>
      </c>
      <c r="P471" s="123">
        <f t="shared" si="44"/>
        <v>-1355.7690834479081</v>
      </c>
      <c r="Q471" s="123">
        <f t="shared" si="45"/>
        <v>-2.2161382276214221</v>
      </c>
      <c r="R471" s="123">
        <f t="shared" si="42"/>
        <v>127981.81853374068</v>
      </c>
      <c r="S471" s="123">
        <f t="shared" si="43"/>
        <v>170948.81400272122</v>
      </c>
      <c r="T471" s="123">
        <f t="shared" si="46"/>
        <v>0</v>
      </c>
      <c r="U471" s="123">
        <f t="shared" si="47"/>
        <v>1</v>
      </c>
    </row>
    <row r="472" spans="11:21" x14ac:dyDescent="0.25">
      <c r="K472" s="123" t="s">
        <v>581</v>
      </c>
      <c r="L472" s="126">
        <v>5781.6393351230008</v>
      </c>
      <c r="M472" s="126">
        <v>5.6775184506340848</v>
      </c>
      <c r="N472" s="126">
        <v>6855.7670265386232</v>
      </c>
      <c r="O472" s="126">
        <v>7.5907725761992078</v>
      </c>
      <c r="P472" s="123">
        <f t="shared" si="44"/>
        <v>-1074.1276914156224</v>
      </c>
      <c r="Q472" s="123">
        <f t="shared" si="45"/>
        <v>-1.913254125565123</v>
      </c>
      <c r="R472" s="123">
        <f t="shared" si="42"/>
        <v>107768.72967755869</v>
      </c>
      <c r="S472" s="123">
        <f t="shared" si="43"/>
        <v>144959.68449744553</v>
      </c>
      <c r="T472" s="123">
        <f t="shared" si="46"/>
        <v>0</v>
      </c>
      <c r="U472" s="123">
        <f t="shared" si="47"/>
        <v>1</v>
      </c>
    </row>
    <row r="473" spans="11:21" x14ac:dyDescent="0.25">
      <c r="K473" s="123" t="s">
        <v>582</v>
      </c>
      <c r="L473" s="126">
        <v>8770.405441825209</v>
      </c>
      <c r="M473" s="126">
        <v>6.773981910891484</v>
      </c>
      <c r="N473" s="126">
        <v>9136.8175457845609</v>
      </c>
      <c r="O473" s="126">
        <v>7.2442593809182307</v>
      </c>
      <c r="P473" s="123">
        <f t="shared" si="44"/>
        <v>-366.41210395935195</v>
      </c>
      <c r="Q473" s="123">
        <f t="shared" si="45"/>
        <v>-0.47027747002674669</v>
      </c>
      <c r="R473" s="123">
        <f t="shared" si="42"/>
        <v>126709.23277600449</v>
      </c>
      <c r="S473" s="123">
        <f t="shared" si="43"/>
        <v>135748.37007258006</v>
      </c>
      <c r="T473" s="123">
        <f t="shared" si="46"/>
        <v>0</v>
      </c>
      <c r="U473" s="123">
        <f t="shared" si="47"/>
        <v>1</v>
      </c>
    </row>
    <row r="474" spans="11:21" x14ac:dyDescent="0.25">
      <c r="K474" s="123" t="s">
        <v>583</v>
      </c>
      <c r="L474" s="126">
        <v>7321.8262139868384</v>
      </c>
      <c r="M474" s="126">
        <v>7.3892591778796586</v>
      </c>
      <c r="N474" s="126">
        <v>7252.3094484425037</v>
      </c>
      <c r="O474" s="126">
        <v>8.2034149305660975</v>
      </c>
      <c r="P474" s="123">
        <f t="shared" si="44"/>
        <v>69.516765544334703</v>
      </c>
      <c r="Q474" s="123">
        <f t="shared" si="45"/>
        <v>-0.81415575268643892</v>
      </c>
      <c r="R474" s="123">
        <f t="shared" si="42"/>
        <v>140463.35734360633</v>
      </c>
      <c r="S474" s="123">
        <f t="shared" si="43"/>
        <v>156815.98916287944</v>
      </c>
      <c r="T474" s="123">
        <f t="shared" si="46"/>
        <v>0</v>
      </c>
      <c r="U474" s="123">
        <f t="shared" si="47"/>
        <v>1</v>
      </c>
    </row>
    <row r="475" spans="11:21" x14ac:dyDescent="0.25">
      <c r="K475" s="123" t="s">
        <v>584</v>
      </c>
      <c r="L475" s="126">
        <v>6405.6064322831498</v>
      </c>
      <c r="M475" s="126">
        <v>4.6891025300877924</v>
      </c>
      <c r="N475" s="126">
        <v>9626.0834484885727</v>
      </c>
      <c r="O475" s="126">
        <v>7.8497650944427404</v>
      </c>
      <c r="P475" s="123">
        <f t="shared" si="44"/>
        <v>-3220.4770162054228</v>
      </c>
      <c r="Q475" s="123">
        <f t="shared" si="45"/>
        <v>-3.160662564354948</v>
      </c>
      <c r="R475" s="123">
        <f t="shared" si="42"/>
        <v>87376.444169472699</v>
      </c>
      <c r="S475" s="123">
        <f t="shared" si="43"/>
        <v>147369.21844036621</v>
      </c>
      <c r="T475" s="123">
        <f t="shared" si="46"/>
        <v>0</v>
      </c>
      <c r="U475" s="123">
        <f t="shared" si="47"/>
        <v>1</v>
      </c>
    </row>
    <row r="476" spans="11:21" x14ac:dyDescent="0.25">
      <c r="K476" s="123" t="s">
        <v>585</v>
      </c>
      <c r="L476" s="126">
        <v>6436.265148738099</v>
      </c>
      <c r="M476" s="126">
        <v>6.0242088033016294</v>
      </c>
      <c r="N476" s="126">
        <v>8321.3772933460532</v>
      </c>
      <c r="O476" s="126">
        <v>8.2736796132757284</v>
      </c>
      <c r="P476" s="123">
        <f t="shared" si="44"/>
        <v>-1885.1121446079542</v>
      </c>
      <c r="Q476" s="123">
        <f t="shared" si="45"/>
        <v>-2.249470809974099</v>
      </c>
      <c r="R476" s="123">
        <f t="shared" si="42"/>
        <v>114047.91091729449</v>
      </c>
      <c r="S476" s="123">
        <f t="shared" si="43"/>
        <v>157152.21497216853</v>
      </c>
      <c r="T476" s="123">
        <f t="shared" si="46"/>
        <v>0</v>
      </c>
      <c r="U476" s="123">
        <f t="shared" si="47"/>
        <v>1</v>
      </c>
    </row>
    <row r="477" spans="11:21" x14ac:dyDescent="0.25">
      <c r="K477" s="123" t="s">
        <v>586</v>
      </c>
      <c r="L477" s="126">
        <v>7715.220963580774</v>
      </c>
      <c r="M477" s="126">
        <v>6.8993524476659323</v>
      </c>
      <c r="N477" s="126">
        <v>5717.3712785996649</v>
      </c>
      <c r="O477" s="126">
        <v>5.4041449224447682</v>
      </c>
      <c r="P477" s="123">
        <f t="shared" si="44"/>
        <v>1997.849684981109</v>
      </c>
      <c r="Q477" s="123">
        <f t="shared" si="45"/>
        <v>1.4952075252211641</v>
      </c>
      <c r="R477" s="123">
        <f t="shared" si="42"/>
        <v>130271.82798973788</v>
      </c>
      <c r="S477" s="123">
        <f t="shared" si="43"/>
        <v>102365.5271702957</v>
      </c>
      <c r="T477" s="123">
        <f t="shared" si="46"/>
        <v>1</v>
      </c>
      <c r="U477" s="123">
        <f t="shared" si="47"/>
        <v>0</v>
      </c>
    </row>
    <row r="478" spans="11:21" x14ac:dyDescent="0.25">
      <c r="K478" s="123" t="s">
        <v>587</v>
      </c>
      <c r="L478" s="126">
        <v>9893.0664338286351</v>
      </c>
      <c r="M478" s="126">
        <v>9.3011554780020891</v>
      </c>
      <c r="N478" s="126">
        <v>6619.739694787907</v>
      </c>
      <c r="O478" s="126">
        <v>7.5699065433738637</v>
      </c>
      <c r="P478" s="123">
        <f t="shared" si="44"/>
        <v>3273.3267390407282</v>
      </c>
      <c r="Q478" s="123">
        <f t="shared" si="45"/>
        <v>1.7312489346282254</v>
      </c>
      <c r="R478" s="123">
        <f t="shared" si="42"/>
        <v>176130.04312621313</v>
      </c>
      <c r="S478" s="123">
        <f t="shared" si="43"/>
        <v>144778.39117268936</v>
      </c>
      <c r="T478" s="123">
        <f t="shared" si="46"/>
        <v>1</v>
      </c>
      <c r="U478" s="123">
        <f t="shared" si="47"/>
        <v>0</v>
      </c>
    </row>
    <row r="479" spans="11:21" x14ac:dyDescent="0.25">
      <c r="K479" s="123" t="s">
        <v>588</v>
      </c>
      <c r="L479" s="126">
        <v>6767.7843225217157</v>
      </c>
      <c r="M479" s="126">
        <v>7.5158044501326833</v>
      </c>
      <c r="N479" s="126">
        <v>6209.0668365797837</v>
      </c>
      <c r="O479" s="126">
        <v>7.2205613316995354</v>
      </c>
      <c r="P479" s="123">
        <f t="shared" si="44"/>
        <v>558.71748594193195</v>
      </c>
      <c r="Q479" s="123">
        <f t="shared" si="45"/>
        <v>0.29524311843314788</v>
      </c>
      <c r="R479" s="123">
        <f t="shared" si="42"/>
        <v>143548.30468013196</v>
      </c>
      <c r="S479" s="123">
        <f t="shared" si="43"/>
        <v>138202.15979741092</v>
      </c>
      <c r="T479" s="123">
        <f t="shared" si="46"/>
        <v>1</v>
      </c>
      <c r="U479" s="123">
        <f t="shared" si="47"/>
        <v>0</v>
      </c>
    </row>
    <row r="480" spans="11:21" x14ac:dyDescent="0.25">
      <c r="K480" s="123" t="s">
        <v>589</v>
      </c>
      <c r="L480" s="126">
        <v>5448.7588565934684</v>
      </c>
      <c r="M480" s="126">
        <v>5.0667982624958743</v>
      </c>
      <c r="N480" s="126">
        <v>6517.2654342944006</v>
      </c>
      <c r="O480" s="126">
        <v>7.4438883536373872</v>
      </c>
      <c r="P480" s="123">
        <f t="shared" si="44"/>
        <v>-1068.5065777009322</v>
      </c>
      <c r="Q480" s="123">
        <f t="shared" si="45"/>
        <v>-2.3770900911415129</v>
      </c>
      <c r="R480" s="123">
        <f t="shared" si="42"/>
        <v>95887.206393324013</v>
      </c>
      <c r="S480" s="123">
        <f t="shared" si="43"/>
        <v>142360.50163845334</v>
      </c>
      <c r="T480" s="123">
        <f t="shared" si="46"/>
        <v>0</v>
      </c>
      <c r="U480" s="123">
        <f t="shared" si="47"/>
        <v>1</v>
      </c>
    </row>
    <row r="481" spans="11:21" x14ac:dyDescent="0.25">
      <c r="K481" s="123" t="s">
        <v>590</v>
      </c>
      <c r="L481" s="126">
        <v>4995.1307295391907</v>
      </c>
      <c r="M481" s="126">
        <v>5.0439197286538668</v>
      </c>
      <c r="N481" s="126">
        <v>5164.8856396356105</v>
      </c>
      <c r="O481" s="126">
        <v>5.8802685436063848</v>
      </c>
      <c r="P481" s="123">
        <f t="shared" si="44"/>
        <v>-169.75491009641974</v>
      </c>
      <c r="Q481" s="123">
        <f t="shared" si="45"/>
        <v>-0.836348814952518</v>
      </c>
      <c r="R481" s="123">
        <f t="shared" si="42"/>
        <v>95883.263843538152</v>
      </c>
      <c r="S481" s="123">
        <f t="shared" si="43"/>
        <v>112440.48523249208</v>
      </c>
      <c r="T481" s="123">
        <f t="shared" si="46"/>
        <v>0</v>
      </c>
      <c r="U481" s="123">
        <f t="shared" si="47"/>
        <v>1</v>
      </c>
    </row>
    <row r="482" spans="11:21" x14ac:dyDescent="0.25">
      <c r="K482" s="123" t="s">
        <v>591</v>
      </c>
      <c r="L482" s="126">
        <v>10229.326505768124</v>
      </c>
      <c r="M482" s="126">
        <v>8.7363273911388255</v>
      </c>
      <c r="N482" s="126">
        <v>8765.9250078606019</v>
      </c>
      <c r="O482" s="126">
        <v>7.7245000022892869</v>
      </c>
      <c r="P482" s="123">
        <f t="shared" si="44"/>
        <v>1463.4014979075218</v>
      </c>
      <c r="Q482" s="123">
        <f t="shared" si="45"/>
        <v>1.0118273888495386</v>
      </c>
      <c r="R482" s="123">
        <f t="shared" si="42"/>
        <v>164497.2213170084</v>
      </c>
      <c r="S482" s="123">
        <f t="shared" si="43"/>
        <v>145724.07503792513</v>
      </c>
      <c r="T482" s="123">
        <f t="shared" si="46"/>
        <v>1</v>
      </c>
      <c r="U482" s="123">
        <f t="shared" si="47"/>
        <v>0</v>
      </c>
    </row>
    <row r="483" spans="11:21" x14ac:dyDescent="0.25">
      <c r="K483" s="123" t="s">
        <v>592</v>
      </c>
      <c r="L483" s="126">
        <v>12272.32243201617</v>
      </c>
      <c r="M483" s="126">
        <v>11.275417441057998</v>
      </c>
      <c r="N483" s="126">
        <v>5408.4171540935395</v>
      </c>
      <c r="O483" s="126">
        <v>5.5629492645885765</v>
      </c>
      <c r="P483" s="123">
        <f t="shared" si="44"/>
        <v>6863.9052779226304</v>
      </c>
      <c r="Q483" s="123">
        <f t="shared" si="45"/>
        <v>5.7124681764694216</v>
      </c>
      <c r="R483" s="123">
        <f t="shared" si="42"/>
        <v>213236.02638914381</v>
      </c>
      <c r="S483" s="123">
        <f t="shared" si="43"/>
        <v>105850.568137678</v>
      </c>
      <c r="T483" s="123">
        <f t="shared" si="46"/>
        <v>1</v>
      </c>
      <c r="U483" s="123">
        <f t="shared" si="47"/>
        <v>0</v>
      </c>
    </row>
    <row r="484" spans="11:21" x14ac:dyDescent="0.25">
      <c r="K484" s="123" t="s">
        <v>593</v>
      </c>
      <c r="L484" s="126">
        <v>6014.0362155282583</v>
      </c>
      <c r="M484" s="126">
        <v>5.526087230489817</v>
      </c>
      <c r="N484" s="126">
        <v>8084.9540840066711</v>
      </c>
      <c r="O484" s="126">
        <v>7.9037187595800535</v>
      </c>
      <c r="P484" s="123">
        <f t="shared" si="44"/>
        <v>-2070.9178684784129</v>
      </c>
      <c r="Q484" s="123">
        <f t="shared" si="45"/>
        <v>-2.3776315290902366</v>
      </c>
      <c r="R484" s="123">
        <f t="shared" si="42"/>
        <v>104507.70839426808</v>
      </c>
      <c r="S484" s="123">
        <f t="shared" si="43"/>
        <v>149989.42110759442</v>
      </c>
      <c r="T484" s="123">
        <f t="shared" si="46"/>
        <v>0</v>
      </c>
      <c r="U484" s="123">
        <f t="shared" si="47"/>
        <v>1</v>
      </c>
    </row>
    <row r="485" spans="11:21" x14ac:dyDescent="0.25">
      <c r="K485" s="123" t="s">
        <v>594</v>
      </c>
      <c r="L485" s="126">
        <v>6811.5238921783975</v>
      </c>
      <c r="M485" s="126">
        <v>6.7947852067303094</v>
      </c>
      <c r="N485" s="126">
        <v>6161.7944933866056</v>
      </c>
      <c r="O485" s="126">
        <v>6.2805567527393267</v>
      </c>
      <c r="P485" s="123">
        <f t="shared" si="44"/>
        <v>649.72939879179194</v>
      </c>
      <c r="Q485" s="123">
        <f t="shared" si="45"/>
        <v>0.51422845399098271</v>
      </c>
      <c r="R485" s="123">
        <f t="shared" si="42"/>
        <v>129084.18024242777</v>
      </c>
      <c r="S485" s="123">
        <f t="shared" si="43"/>
        <v>119449.34056139992</v>
      </c>
      <c r="T485" s="123">
        <f t="shared" si="46"/>
        <v>1</v>
      </c>
      <c r="U485" s="123">
        <f t="shared" si="47"/>
        <v>0</v>
      </c>
    </row>
    <row r="486" spans="11:21" x14ac:dyDescent="0.25">
      <c r="K486" s="123" t="s">
        <v>595</v>
      </c>
      <c r="L486" s="126">
        <v>8118.2742406360721</v>
      </c>
      <c r="M486" s="126">
        <v>7.459020665503318</v>
      </c>
      <c r="N486" s="126">
        <v>7076.5653092947305</v>
      </c>
      <c r="O486" s="126">
        <v>6.913287126698572</v>
      </c>
      <c r="P486" s="123">
        <f t="shared" si="44"/>
        <v>1041.7089313413417</v>
      </c>
      <c r="Q486" s="123">
        <f t="shared" si="45"/>
        <v>0.54573353880474595</v>
      </c>
      <c r="R486" s="123">
        <f t="shared" si="42"/>
        <v>141062.1390694303</v>
      </c>
      <c r="S486" s="123">
        <f t="shared" si="43"/>
        <v>131189.17722467671</v>
      </c>
      <c r="T486" s="123">
        <f t="shared" si="46"/>
        <v>1</v>
      </c>
      <c r="U486" s="123">
        <f t="shared" si="47"/>
        <v>0</v>
      </c>
    </row>
    <row r="487" spans="11:21" x14ac:dyDescent="0.25">
      <c r="K487" s="123" t="s">
        <v>596</v>
      </c>
      <c r="L487" s="126">
        <v>9200.7056032114269</v>
      </c>
      <c r="M487" s="126">
        <v>7.3325219795307834</v>
      </c>
      <c r="N487" s="126">
        <v>6493.2064412021682</v>
      </c>
      <c r="O487" s="126">
        <v>5.557474335890519</v>
      </c>
      <c r="P487" s="123">
        <f t="shared" si="44"/>
        <v>2707.4991620092587</v>
      </c>
      <c r="Q487" s="123">
        <f t="shared" si="45"/>
        <v>1.7750476436402645</v>
      </c>
      <c r="R487" s="123">
        <f t="shared" si="42"/>
        <v>137449.73398740424</v>
      </c>
      <c r="S487" s="123">
        <f t="shared" si="43"/>
        <v>104656.2802766082</v>
      </c>
      <c r="T487" s="123">
        <f t="shared" si="46"/>
        <v>1</v>
      </c>
      <c r="U487" s="123">
        <f t="shared" si="47"/>
        <v>0</v>
      </c>
    </row>
    <row r="488" spans="11:21" x14ac:dyDescent="0.25">
      <c r="K488" s="123" t="s">
        <v>597</v>
      </c>
      <c r="L488" s="126">
        <v>8975.7678236769316</v>
      </c>
      <c r="M488" s="126">
        <v>9.4460973336777361</v>
      </c>
      <c r="N488" s="126">
        <v>8290.5268396223491</v>
      </c>
      <c r="O488" s="126">
        <v>9.9975236172594073</v>
      </c>
      <c r="P488" s="123">
        <f t="shared" si="44"/>
        <v>685.24098405458244</v>
      </c>
      <c r="Q488" s="123">
        <f t="shared" si="45"/>
        <v>-0.55142628358167123</v>
      </c>
      <c r="R488" s="123">
        <f t="shared" si="42"/>
        <v>179946.17884987779</v>
      </c>
      <c r="S488" s="123">
        <f t="shared" si="43"/>
        <v>191659.94550556579</v>
      </c>
      <c r="T488" s="123">
        <f t="shared" si="46"/>
        <v>0</v>
      </c>
      <c r="U488" s="123">
        <f t="shared" si="47"/>
        <v>1</v>
      </c>
    </row>
    <row r="489" spans="11:21" x14ac:dyDescent="0.25">
      <c r="K489" s="123" t="s">
        <v>598</v>
      </c>
      <c r="L489" s="126">
        <v>5690.6785037373011</v>
      </c>
      <c r="M489" s="126">
        <v>4.8215533719620192</v>
      </c>
      <c r="N489" s="126">
        <v>6214.600735968691</v>
      </c>
      <c r="O489" s="126">
        <v>5.6886455547116386</v>
      </c>
      <c r="P489" s="123">
        <f t="shared" si="44"/>
        <v>-523.9222322313899</v>
      </c>
      <c r="Q489" s="123">
        <f t="shared" si="45"/>
        <v>-0.86709218274961941</v>
      </c>
      <c r="R489" s="123">
        <f t="shared" si="42"/>
        <v>90740.388935503084</v>
      </c>
      <c r="S489" s="123">
        <f t="shared" si="43"/>
        <v>107558.31035826408</v>
      </c>
      <c r="T489" s="123">
        <f t="shared" si="46"/>
        <v>0</v>
      </c>
      <c r="U489" s="123">
        <f t="shared" si="47"/>
        <v>1</v>
      </c>
    </row>
    <row r="490" spans="11:21" x14ac:dyDescent="0.25">
      <c r="K490" s="123" t="s">
        <v>599</v>
      </c>
      <c r="L490" s="126">
        <v>5737.1010108596201</v>
      </c>
      <c r="M490" s="126">
        <v>5.1625488929264982</v>
      </c>
      <c r="N490" s="126">
        <v>7174.1006810919407</v>
      </c>
      <c r="O490" s="126">
        <v>6.8843492433134061</v>
      </c>
      <c r="P490" s="123">
        <f t="shared" si="44"/>
        <v>-1436.9996702323206</v>
      </c>
      <c r="Q490" s="123">
        <f t="shared" si="45"/>
        <v>-1.7218003503869079</v>
      </c>
      <c r="R490" s="123">
        <f t="shared" si="42"/>
        <v>97513.876847670341</v>
      </c>
      <c r="S490" s="123">
        <f t="shared" si="43"/>
        <v>130512.88418517618</v>
      </c>
      <c r="T490" s="123">
        <f t="shared" si="46"/>
        <v>0</v>
      </c>
      <c r="U490" s="123">
        <f t="shared" si="47"/>
        <v>1</v>
      </c>
    </row>
    <row r="491" spans="11:21" x14ac:dyDescent="0.25">
      <c r="K491" s="123" t="s">
        <v>600</v>
      </c>
      <c r="L491" s="126">
        <v>9683.1252821900453</v>
      </c>
      <c r="M491" s="126">
        <v>9.1677488042645923</v>
      </c>
      <c r="N491" s="126">
        <v>5518.0708942422189</v>
      </c>
      <c r="O491" s="126">
        <v>5.2448214555440682</v>
      </c>
      <c r="P491" s="123">
        <f t="shared" si="44"/>
        <v>4165.0543879478264</v>
      </c>
      <c r="Q491" s="123">
        <f t="shared" si="45"/>
        <v>3.9229273487205241</v>
      </c>
      <c r="R491" s="123">
        <f t="shared" si="42"/>
        <v>173671.85080310181</v>
      </c>
      <c r="S491" s="123">
        <f t="shared" si="43"/>
        <v>99378.358216639142</v>
      </c>
      <c r="T491" s="123">
        <f t="shared" si="46"/>
        <v>1</v>
      </c>
      <c r="U491" s="123">
        <f t="shared" si="47"/>
        <v>0</v>
      </c>
    </row>
    <row r="492" spans="11:21" x14ac:dyDescent="0.25">
      <c r="K492" s="123" t="s">
        <v>601</v>
      </c>
      <c r="L492" s="126">
        <v>8112.7232320561261</v>
      </c>
      <c r="M492" s="126">
        <v>8.3203538938238708</v>
      </c>
      <c r="N492" s="126">
        <v>6610.2521028960546</v>
      </c>
      <c r="O492" s="126">
        <v>7.2246829013515992</v>
      </c>
      <c r="P492" s="123">
        <f t="shared" si="44"/>
        <v>1502.4711291600715</v>
      </c>
      <c r="Q492" s="123">
        <f t="shared" si="45"/>
        <v>1.0956709924722716</v>
      </c>
      <c r="R492" s="123">
        <f t="shared" si="42"/>
        <v>158294.35464442128</v>
      </c>
      <c r="S492" s="123">
        <f t="shared" si="43"/>
        <v>137883.40592413594</v>
      </c>
      <c r="T492" s="123">
        <f t="shared" si="46"/>
        <v>1</v>
      </c>
      <c r="U492" s="123">
        <f t="shared" si="47"/>
        <v>0</v>
      </c>
    </row>
    <row r="493" spans="11:21" x14ac:dyDescent="0.25">
      <c r="K493" s="123" t="s">
        <v>602</v>
      </c>
      <c r="L493" s="126">
        <v>6820.3102093938105</v>
      </c>
      <c r="M493" s="126">
        <v>7.0953065780132683</v>
      </c>
      <c r="N493" s="126">
        <v>4950.3552516904874</v>
      </c>
      <c r="O493" s="126">
        <v>5.6828424301613563</v>
      </c>
      <c r="P493" s="123">
        <f t="shared" si="44"/>
        <v>1869.9549577033231</v>
      </c>
      <c r="Q493" s="123">
        <f t="shared" si="45"/>
        <v>1.412464147851912</v>
      </c>
      <c r="R493" s="123">
        <f t="shared" si="42"/>
        <v>135085.82135087156</v>
      </c>
      <c r="S493" s="123">
        <f t="shared" si="43"/>
        <v>108706.49335153664</v>
      </c>
      <c r="T493" s="123">
        <f t="shared" si="46"/>
        <v>1</v>
      </c>
      <c r="U493" s="123">
        <f t="shared" si="47"/>
        <v>0</v>
      </c>
    </row>
    <row r="494" spans="11:21" x14ac:dyDescent="0.25">
      <c r="K494" s="123" t="s">
        <v>603</v>
      </c>
      <c r="L494" s="126">
        <v>11471.474049541635</v>
      </c>
      <c r="M494" s="126">
        <v>9.829847292691813</v>
      </c>
      <c r="N494" s="126">
        <v>5964.2309409854588</v>
      </c>
      <c r="O494" s="126">
        <v>5.2728491045725345</v>
      </c>
      <c r="P494" s="123">
        <f t="shared" si="44"/>
        <v>5507.2431085561766</v>
      </c>
      <c r="Q494" s="123">
        <f t="shared" si="45"/>
        <v>4.5569981881192785</v>
      </c>
      <c r="R494" s="123">
        <f t="shared" si="42"/>
        <v>185125.47180429462</v>
      </c>
      <c r="S494" s="123">
        <f t="shared" si="43"/>
        <v>99492.751150465221</v>
      </c>
      <c r="T494" s="123">
        <f t="shared" si="46"/>
        <v>1</v>
      </c>
      <c r="U494" s="123">
        <f t="shared" si="47"/>
        <v>0</v>
      </c>
    </row>
    <row r="495" spans="11:21" x14ac:dyDescent="0.25">
      <c r="K495" s="123" t="s">
        <v>604</v>
      </c>
      <c r="L495" s="126">
        <v>9087.7867706213037</v>
      </c>
      <c r="M495" s="126">
        <v>8.5842697209941985</v>
      </c>
      <c r="N495" s="126">
        <v>6507.9995019656171</v>
      </c>
      <c r="O495" s="126">
        <v>6.7024693911320092</v>
      </c>
      <c r="P495" s="123">
        <f t="shared" si="44"/>
        <v>2579.7872686556866</v>
      </c>
      <c r="Q495" s="123">
        <f t="shared" si="45"/>
        <v>1.8818003298621893</v>
      </c>
      <c r="R495" s="123">
        <f t="shared" si="42"/>
        <v>162597.60764926265</v>
      </c>
      <c r="S495" s="123">
        <f t="shared" si="43"/>
        <v>127541.38832067457</v>
      </c>
      <c r="T495" s="123">
        <f t="shared" si="46"/>
        <v>1</v>
      </c>
      <c r="U495" s="123">
        <f t="shared" si="47"/>
        <v>0</v>
      </c>
    </row>
    <row r="496" spans="11:21" x14ac:dyDescent="0.25">
      <c r="K496" s="123" t="s">
        <v>605</v>
      </c>
      <c r="L496" s="126">
        <v>10191.742587884546</v>
      </c>
      <c r="M496" s="126">
        <v>9.36013363137514</v>
      </c>
      <c r="N496" s="126">
        <v>7208.160910114806</v>
      </c>
      <c r="O496" s="126">
        <v>7.2966363538665675</v>
      </c>
      <c r="P496" s="123">
        <f t="shared" si="44"/>
        <v>2983.5816777697401</v>
      </c>
      <c r="Q496" s="123">
        <f t="shared" si="45"/>
        <v>2.0634972775085725</v>
      </c>
      <c r="R496" s="123">
        <f t="shared" si="42"/>
        <v>177010.93003961825</v>
      </c>
      <c r="S496" s="123">
        <f t="shared" si="43"/>
        <v>138724.56616721652</v>
      </c>
      <c r="T496" s="123">
        <f t="shared" si="46"/>
        <v>1</v>
      </c>
      <c r="U496" s="123">
        <f t="shared" si="47"/>
        <v>0</v>
      </c>
    </row>
    <row r="497" spans="11:21" x14ac:dyDescent="0.25">
      <c r="K497" s="123" t="s">
        <v>606</v>
      </c>
      <c r="L497" s="126">
        <v>8914.764268794037</v>
      </c>
      <c r="M497" s="126">
        <v>7.6298783649674551</v>
      </c>
      <c r="N497" s="126">
        <v>8265.0121948966389</v>
      </c>
      <c r="O497" s="126">
        <v>7.8956760178937291</v>
      </c>
      <c r="P497" s="123">
        <f t="shared" si="44"/>
        <v>649.75207389739808</v>
      </c>
      <c r="Q497" s="123">
        <f t="shared" si="45"/>
        <v>-0.265797652926274</v>
      </c>
      <c r="R497" s="123">
        <f t="shared" si="42"/>
        <v>143682.80303055505</v>
      </c>
      <c r="S497" s="123">
        <f t="shared" si="43"/>
        <v>149648.50816297793</v>
      </c>
      <c r="T497" s="123">
        <f t="shared" si="46"/>
        <v>0</v>
      </c>
      <c r="U497" s="123">
        <f t="shared" si="47"/>
        <v>1</v>
      </c>
    </row>
    <row r="498" spans="11:21" x14ac:dyDescent="0.25">
      <c r="K498" s="123" t="s">
        <v>607</v>
      </c>
      <c r="L498" s="126">
        <v>10089.951047079398</v>
      </c>
      <c r="M498" s="126">
        <v>9.1044716573159512</v>
      </c>
      <c r="N498" s="126">
        <v>7440.3564735235905</v>
      </c>
      <c r="O498" s="126">
        <v>7.045934316959058</v>
      </c>
      <c r="P498" s="123">
        <f t="shared" si="44"/>
        <v>2649.5945735558071</v>
      </c>
      <c r="Q498" s="123">
        <f t="shared" si="45"/>
        <v>2.0585373403568932</v>
      </c>
      <c r="R498" s="123">
        <f t="shared" si="42"/>
        <v>171999.48209923963</v>
      </c>
      <c r="S498" s="123">
        <f t="shared" si="43"/>
        <v>133478.32986565755</v>
      </c>
      <c r="T498" s="123">
        <f t="shared" si="46"/>
        <v>1</v>
      </c>
      <c r="U498" s="123">
        <f t="shared" si="47"/>
        <v>0</v>
      </c>
    </row>
    <row r="499" spans="11:21" x14ac:dyDescent="0.25">
      <c r="K499" s="123" t="s">
        <v>608</v>
      </c>
      <c r="L499" s="126">
        <v>6717.1525488752777</v>
      </c>
      <c r="M499" s="126">
        <v>5.8667533683486912</v>
      </c>
      <c r="N499" s="126">
        <v>7216.0239858343475</v>
      </c>
      <c r="O499" s="126">
        <v>6.3302503826469989</v>
      </c>
      <c r="P499" s="123">
        <f t="shared" si="44"/>
        <v>-498.8714369590698</v>
      </c>
      <c r="Q499" s="123">
        <f t="shared" si="45"/>
        <v>-0.4634970142983077</v>
      </c>
      <c r="R499" s="123">
        <f t="shared" si="42"/>
        <v>110617.91481809854</v>
      </c>
      <c r="S499" s="123">
        <f t="shared" si="43"/>
        <v>119388.98366710564</v>
      </c>
      <c r="T499" s="123">
        <f t="shared" si="46"/>
        <v>0</v>
      </c>
      <c r="U499" s="123">
        <f t="shared" si="47"/>
        <v>1</v>
      </c>
    </row>
    <row r="500" spans="11:21" x14ac:dyDescent="0.25">
      <c r="K500" s="123" t="s">
        <v>609</v>
      </c>
      <c r="L500" s="126">
        <v>8470.1703751430778</v>
      </c>
      <c r="M500" s="126">
        <v>7.3300819700843043</v>
      </c>
      <c r="N500" s="126">
        <v>9875.3461807217027</v>
      </c>
      <c r="O500" s="126">
        <v>8.9945927103411893</v>
      </c>
      <c r="P500" s="123">
        <f t="shared" si="44"/>
        <v>-1405.1758055786249</v>
      </c>
      <c r="Q500" s="123">
        <f t="shared" si="45"/>
        <v>-1.6645107402568851</v>
      </c>
      <c r="R500" s="123">
        <f t="shared" si="42"/>
        <v>138131.469026543</v>
      </c>
      <c r="S500" s="123">
        <f t="shared" si="43"/>
        <v>170016.50802610206</v>
      </c>
      <c r="T500" s="123">
        <f t="shared" si="46"/>
        <v>0</v>
      </c>
      <c r="U500" s="123">
        <f t="shared" si="47"/>
        <v>1</v>
      </c>
    </row>
    <row r="501" spans="11:21" x14ac:dyDescent="0.25">
      <c r="K501" s="123" t="s">
        <v>610</v>
      </c>
      <c r="L501" s="126">
        <v>9405.976758354951</v>
      </c>
      <c r="M501" s="126">
        <v>9.546986981373788</v>
      </c>
      <c r="N501" s="126">
        <v>9502.2429343698877</v>
      </c>
      <c r="O501" s="126">
        <v>11.168444992451565</v>
      </c>
      <c r="P501" s="123">
        <f t="shared" si="44"/>
        <v>-96.266176014936718</v>
      </c>
      <c r="Q501" s="123">
        <f t="shared" si="45"/>
        <v>-1.6214580110777774</v>
      </c>
      <c r="R501" s="123">
        <f t="shared" si="42"/>
        <v>181533.76286912081</v>
      </c>
      <c r="S501" s="123">
        <f t="shared" si="43"/>
        <v>213866.65691466141</v>
      </c>
      <c r="T501" s="123">
        <f t="shared" si="46"/>
        <v>0</v>
      </c>
      <c r="U501" s="123">
        <f t="shared" si="47"/>
        <v>1</v>
      </c>
    </row>
    <row r="502" spans="11:21" x14ac:dyDescent="0.25">
      <c r="K502" s="123" t="s">
        <v>611</v>
      </c>
      <c r="L502" s="126">
        <v>9145.6258888582961</v>
      </c>
      <c r="M502" s="126">
        <v>8.8813082395815179</v>
      </c>
      <c r="N502" s="126">
        <v>6889.5500366524257</v>
      </c>
      <c r="O502" s="126">
        <v>7.3938406330717985</v>
      </c>
      <c r="P502" s="123">
        <f t="shared" si="44"/>
        <v>2256.0758522058704</v>
      </c>
      <c r="Q502" s="123">
        <f t="shared" si="45"/>
        <v>1.4874676065097194</v>
      </c>
      <c r="R502" s="123">
        <f t="shared" si="42"/>
        <v>168480.53890277207</v>
      </c>
      <c r="S502" s="123">
        <f t="shared" si="43"/>
        <v>140987.26262478356</v>
      </c>
      <c r="T502" s="123">
        <f t="shared" si="46"/>
        <v>1</v>
      </c>
      <c r="U502" s="123">
        <f t="shared" si="47"/>
        <v>0</v>
      </c>
    </row>
    <row r="503" spans="11:21" x14ac:dyDescent="0.25">
      <c r="K503" s="123" t="s">
        <v>612</v>
      </c>
      <c r="L503" s="126">
        <v>7988.0980040715749</v>
      </c>
      <c r="M503" s="126">
        <v>6.1485648719591932</v>
      </c>
      <c r="N503" s="126">
        <v>6528.7887764420766</v>
      </c>
      <c r="O503" s="126">
        <v>6.1047273926003793</v>
      </c>
      <c r="P503" s="123">
        <f t="shared" si="44"/>
        <v>1459.3092276294983</v>
      </c>
      <c r="Q503" s="123">
        <f t="shared" si="45"/>
        <v>4.383747935881388E-2</v>
      </c>
      <c r="R503" s="123">
        <f t="shared" si="42"/>
        <v>114983.19943511228</v>
      </c>
      <c r="S503" s="123">
        <f t="shared" si="43"/>
        <v>115565.75907556551</v>
      </c>
      <c r="T503" s="123">
        <f t="shared" si="46"/>
        <v>0</v>
      </c>
      <c r="U503" s="123">
        <f t="shared" si="47"/>
        <v>1</v>
      </c>
    </row>
    <row r="504" spans="11:21" x14ac:dyDescent="0.25">
      <c r="K504" s="123" t="s">
        <v>613</v>
      </c>
      <c r="L504" s="126">
        <v>7886.7134315555058</v>
      </c>
      <c r="M504" s="126">
        <v>7.9976021826912174</v>
      </c>
      <c r="N504" s="126">
        <v>5954.602650373713</v>
      </c>
      <c r="O504" s="126">
        <v>6.8717394777994851</v>
      </c>
      <c r="P504" s="123">
        <f t="shared" si="44"/>
        <v>1932.1107811817928</v>
      </c>
      <c r="Q504" s="123">
        <f t="shared" si="45"/>
        <v>1.1258627048917322</v>
      </c>
      <c r="R504" s="123">
        <f t="shared" si="42"/>
        <v>152065.33022226882</v>
      </c>
      <c r="S504" s="123">
        <f t="shared" si="43"/>
        <v>131480.18690561599</v>
      </c>
      <c r="T504" s="123">
        <f t="shared" si="46"/>
        <v>1</v>
      </c>
      <c r="U504" s="123">
        <f t="shared" si="47"/>
        <v>0</v>
      </c>
    </row>
    <row r="505" spans="11:21" x14ac:dyDescent="0.25">
      <c r="K505" s="123" t="s">
        <v>614</v>
      </c>
      <c r="L505" s="126">
        <v>8463.2749897472422</v>
      </c>
      <c r="M505" s="126">
        <v>8.6293521975775356</v>
      </c>
      <c r="N505" s="126">
        <v>6859.3374859121486</v>
      </c>
      <c r="O505" s="126">
        <v>7.567378167562917</v>
      </c>
      <c r="P505" s="123">
        <f t="shared" si="44"/>
        <v>1603.9375038350936</v>
      </c>
      <c r="Q505" s="123">
        <f t="shared" si="45"/>
        <v>1.0619740300146185</v>
      </c>
      <c r="R505" s="123">
        <f t="shared" si="42"/>
        <v>164123.76896180346</v>
      </c>
      <c r="S505" s="123">
        <f t="shared" si="43"/>
        <v>144488.2258653462</v>
      </c>
      <c r="T505" s="123">
        <f t="shared" si="46"/>
        <v>1</v>
      </c>
      <c r="U505" s="123">
        <f t="shared" si="47"/>
        <v>0</v>
      </c>
    </row>
    <row r="506" spans="11:21" x14ac:dyDescent="0.25">
      <c r="K506" s="123" t="s">
        <v>615</v>
      </c>
      <c r="L506" s="126">
        <v>9604.825156744193</v>
      </c>
      <c r="M506" s="126">
        <v>8.7966131382788113</v>
      </c>
      <c r="N506" s="126">
        <v>7899.0488897200321</v>
      </c>
      <c r="O506" s="126">
        <v>8.000633226122245</v>
      </c>
      <c r="P506" s="123">
        <f t="shared" si="44"/>
        <v>1705.7762670241609</v>
      </c>
      <c r="Q506" s="123">
        <f t="shared" si="45"/>
        <v>0.79597991215656627</v>
      </c>
      <c r="R506" s="123">
        <f t="shared" si="42"/>
        <v>166327.43760883203</v>
      </c>
      <c r="S506" s="123">
        <f t="shared" si="43"/>
        <v>152113.61563272486</v>
      </c>
      <c r="T506" s="123">
        <f t="shared" si="46"/>
        <v>1</v>
      </c>
      <c r="U506" s="123">
        <f t="shared" si="47"/>
        <v>0</v>
      </c>
    </row>
    <row r="507" spans="11:21" x14ac:dyDescent="0.25">
      <c r="K507" s="123" t="s">
        <v>616</v>
      </c>
      <c r="L507" s="126">
        <v>7168.7610903959649</v>
      </c>
      <c r="M507" s="126">
        <v>6.479124413502392</v>
      </c>
      <c r="N507" s="126">
        <v>7561.8796090894994</v>
      </c>
      <c r="O507" s="126">
        <v>7.2982135796895351</v>
      </c>
      <c r="P507" s="123">
        <f t="shared" si="44"/>
        <v>-393.1185186935345</v>
      </c>
      <c r="Q507" s="123">
        <f t="shared" si="45"/>
        <v>-0.81908916618714311</v>
      </c>
      <c r="R507" s="123">
        <f t="shared" si="42"/>
        <v>122413.72717965188</v>
      </c>
      <c r="S507" s="123">
        <f t="shared" si="43"/>
        <v>138402.39198470121</v>
      </c>
      <c r="T507" s="123">
        <f t="shared" si="46"/>
        <v>0</v>
      </c>
      <c r="U507" s="123">
        <f t="shared" si="47"/>
        <v>1</v>
      </c>
    </row>
    <row r="508" spans="11:21" x14ac:dyDescent="0.25">
      <c r="K508" s="123" t="s">
        <v>617</v>
      </c>
      <c r="L508" s="126">
        <v>7948.366668831437</v>
      </c>
      <c r="M508" s="126">
        <v>8.3784913300309896</v>
      </c>
      <c r="N508" s="126">
        <v>6261.5554198705868</v>
      </c>
      <c r="O508" s="126">
        <v>7.8860031823350827</v>
      </c>
      <c r="P508" s="123">
        <f t="shared" si="44"/>
        <v>1686.8112489608502</v>
      </c>
      <c r="Q508" s="123">
        <f t="shared" si="45"/>
        <v>0.49248814769590687</v>
      </c>
      <c r="R508" s="123">
        <f t="shared" si="42"/>
        <v>159621.45993178835</v>
      </c>
      <c r="S508" s="123">
        <f t="shared" si="43"/>
        <v>151458.50822683107</v>
      </c>
      <c r="T508" s="123">
        <f t="shared" si="46"/>
        <v>1</v>
      </c>
      <c r="U508" s="123">
        <f t="shared" si="47"/>
        <v>0</v>
      </c>
    </row>
    <row r="509" spans="11:21" x14ac:dyDescent="0.25">
      <c r="K509" s="123" t="s">
        <v>618</v>
      </c>
      <c r="L509" s="126">
        <v>5862.9497678845237</v>
      </c>
      <c r="M509" s="126">
        <v>5.9735035794537259</v>
      </c>
      <c r="N509" s="126">
        <v>6879.5851188795186</v>
      </c>
      <c r="O509" s="126">
        <v>7.4806566185217021</v>
      </c>
      <c r="P509" s="123">
        <f t="shared" si="44"/>
        <v>-1016.635350994995</v>
      </c>
      <c r="Q509" s="123">
        <f t="shared" si="45"/>
        <v>-1.5071530390679762</v>
      </c>
      <c r="R509" s="123">
        <f t="shared" si="42"/>
        <v>113607.12182119</v>
      </c>
      <c r="S509" s="123">
        <f t="shared" si="43"/>
        <v>142733.54725155453</v>
      </c>
      <c r="T509" s="123">
        <f t="shared" si="46"/>
        <v>0</v>
      </c>
      <c r="U509" s="123">
        <f t="shared" si="47"/>
        <v>1</v>
      </c>
    </row>
    <row r="510" spans="11:21" x14ac:dyDescent="0.25">
      <c r="K510" s="123" t="s">
        <v>619</v>
      </c>
      <c r="L510" s="126">
        <v>10202.605139446792</v>
      </c>
      <c r="M510" s="126">
        <v>10.786863488687509</v>
      </c>
      <c r="N510" s="126">
        <v>6071.5294924922318</v>
      </c>
      <c r="O510" s="126">
        <v>7.3645104578249878</v>
      </c>
      <c r="P510" s="123">
        <f t="shared" si="44"/>
        <v>4131.0756469545604</v>
      </c>
      <c r="Q510" s="123">
        <f t="shared" si="45"/>
        <v>3.4223530308625207</v>
      </c>
      <c r="R510" s="123">
        <f t="shared" si="42"/>
        <v>205534.66463430336</v>
      </c>
      <c r="S510" s="123">
        <f t="shared" si="43"/>
        <v>141218.67966400753</v>
      </c>
      <c r="T510" s="123">
        <f t="shared" si="46"/>
        <v>1</v>
      </c>
      <c r="U510" s="123">
        <f t="shared" si="47"/>
        <v>0</v>
      </c>
    </row>
    <row r="511" spans="11:21" x14ac:dyDescent="0.25">
      <c r="K511" s="123" t="s">
        <v>620</v>
      </c>
      <c r="L511" s="126">
        <v>5571.0998560850539</v>
      </c>
      <c r="M511" s="126">
        <v>5.7913444000033145</v>
      </c>
      <c r="N511" s="126">
        <v>6031.3836171548701</v>
      </c>
      <c r="O511" s="126">
        <v>6.7639518028723904</v>
      </c>
      <c r="P511" s="123">
        <f t="shared" si="44"/>
        <v>-460.28376106981614</v>
      </c>
      <c r="Q511" s="123">
        <f t="shared" si="45"/>
        <v>-0.97260740286907588</v>
      </c>
      <c r="R511" s="123">
        <f t="shared" si="42"/>
        <v>110255.78814398123</v>
      </c>
      <c r="S511" s="123">
        <f t="shared" si="43"/>
        <v>129247.65244029294</v>
      </c>
      <c r="T511" s="123">
        <f t="shared" si="46"/>
        <v>0</v>
      </c>
      <c r="U511" s="123">
        <f t="shared" si="47"/>
        <v>1</v>
      </c>
    </row>
    <row r="512" spans="11:21" x14ac:dyDescent="0.25">
      <c r="K512" s="123" t="s">
        <v>621</v>
      </c>
      <c r="L512" s="126">
        <v>9610.0652001625785</v>
      </c>
      <c r="M512" s="126">
        <v>8.8508077074067764</v>
      </c>
      <c r="N512" s="126">
        <v>7256.809747778766</v>
      </c>
      <c r="O512" s="126">
        <v>7.0777577871406843</v>
      </c>
      <c r="P512" s="123">
        <f t="shared" si="44"/>
        <v>2353.2554523838126</v>
      </c>
      <c r="Q512" s="123">
        <f t="shared" si="45"/>
        <v>1.7730499202660921</v>
      </c>
      <c r="R512" s="123">
        <f t="shared" si="42"/>
        <v>167406.08894797295</v>
      </c>
      <c r="S512" s="123">
        <f t="shared" si="43"/>
        <v>134298.34599503494</v>
      </c>
      <c r="T512" s="123">
        <f t="shared" si="46"/>
        <v>1</v>
      </c>
      <c r="U512" s="123">
        <f t="shared" si="47"/>
        <v>0</v>
      </c>
    </row>
    <row r="513" spans="11:21" x14ac:dyDescent="0.25">
      <c r="K513" s="123" t="s">
        <v>622</v>
      </c>
      <c r="L513" s="126">
        <v>4040.7124304268564</v>
      </c>
      <c r="M513" s="126">
        <v>3.8227703773262283</v>
      </c>
      <c r="N513" s="126">
        <v>6960.1684807720894</v>
      </c>
      <c r="O513" s="126">
        <v>7.6348813397901516</v>
      </c>
      <c r="P513" s="123">
        <f t="shared" si="44"/>
        <v>-2919.4560503452331</v>
      </c>
      <c r="Q513" s="123">
        <f t="shared" si="45"/>
        <v>-3.8121109624639233</v>
      </c>
      <c r="R513" s="123">
        <f t="shared" si="42"/>
        <v>72414.695116097719</v>
      </c>
      <c r="S513" s="123">
        <f t="shared" si="43"/>
        <v>145737.45831503093</v>
      </c>
      <c r="T513" s="123">
        <f t="shared" si="46"/>
        <v>0</v>
      </c>
      <c r="U513" s="123">
        <f t="shared" si="47"/>
        <v>1</v>
      </c>
    </row>
    <row r="514" spans="11:21" x14ac:dyDescent="0.25">
      <c r="K514" s="123" t="s">
        <v>623</v>
      </c>
      <c r="L514" s="126">
        <v>8100.8726986539878</v>
      </c>
      <c r="M514" s="126">
        <v>7.1718146123201096</v>
      </c>
      <c r="N514" s="126">
        <v>7543.5415042021395</v>
      </c>
      <c r="O514" s="126">
        <v>7.5503329060864459</v>
      </c>
      <c r="P514" s="123">
        <f t="shared" si="44"/>
        <v>557.33119445184821</v>
      </c>
      <c r="Q514" s="123">
        <f t="shared" si="45"/>
        <v>-0.37851829376633628</v>
      </c>
      <c r="R514" s="123">
        <f t="shared" si="42"/>
        <v>135335.4195477482</v>
      </c>
      <c r="S514" s="123">
        <f t="shared" si="43"/>
        <v>143463.11661752677</v>
      </c>
      <c r="T514" s="123">
        <f t="shared" si="46"/>
        <v>0</v>
      </c>
      <c r="U514" s="123">
        <f t="shared" si="47"/>
        <v>1</v>
      </c>
    </row>
    <row r="515" spans="11:21" x14ac:dyDescent="0.25">
      <c r="K515" s="123" t="s">
        <v>624</v>
      </c>
      <c r="L515" s="126">
        <v>7748.1117050940575</v>
      </c>
      <c r="M515" s="126">
        <v>7.0972667831580747</v>
      </c>
      <c r="N515" s="126">
        <v>5899.7190610122425</v>
      </c>
      <c r="O515" s="126">
        <v>6.0689544738056815</v>
      </c>
      <c r="P515" s="123">
        <f t="shared" si="44"/>
        <v>1848.392644081815</v>
      </c>
      <c r="Q515" s="123">
        <f t="shared" si="45"/>
        <v>1.0283123093523932</v>
      </c>
      <c r="R515" s="123">
        <f t="shared" si="42"/>
        <v>134197.22395806745</v>
      </c>
      <c r="S515" s="123">
        <f t="shared" si="43"/>
        <v>115479.37041510138</v>
      </c>
      <c r="T515" s="123">
        <f t="shared" si="46"/>
        <v>1</v>
      </c>
      <c r="U515" s="123">
        <f t="shared" si="47"/>
        <v>0</v>
      </c>
    </row>
    <row r="516" spans="11:21" x14ac:dyDescent="0.25">
      <c r="K516" s="123" t="s">
        <v>625</v>
      </c>
      <c r="L516" s="126">
        <v>7825.1813587204269</v>
      </c>
      <c r="M516" s="126">
        <v>7.7765269861936837</v>
      </c>
      <c r="N516" s="126">
        <v>7985.289628835254</v>
      </c>
      <c r="O516" s="126">
        <v>9.3526160916002397</v>
      </c>
      <c r="P516" s="123">
        <f t="shared" si="44"/>
        <v>-160.10827011482706</v>
      </c>
      <c r="Q516" s="123">
        <f t="shared" si="45"/>
        <v>-1.576089105406556</v>
      </c>
      <c r="R516" s="123">
        <f t="shared" si="42"/>
        <v>147705.35836515322</v>
      </c>
      <c r="S516" s="123">
        <f t="shared" si="43"/>
        <v>179067.03220316954</v>
      </c>
      <c r="T516" s="123">
        <f t="shared" si="46"/>
        <v>0</v>
      </c>
      <c r="U516" s="123">
        <f t="shared" si="47"/>
        <v>1</v>
      </c>
    </row>
    <row r="517" spans="11:21" x14ac:dyDescent="0.25">
      <c r="K517" s="123" t="s">
        <v>626</v>
      </c>
      <c r="L517" s="126">
        <v>8491.4722973350799</v>
      </c>
      <c r="M517" s="126">
        <v>8.2434229700341284</v>
      </c>
      <c r="N517" s="126">
        <v>7154.9711478048548</v>
      </c>
      <c r="O517" s="126">
        <v>8.0894495900963168</v>
      </c>
      <c r="P517" s="123">
        <f t="shared" si="44"/>
        <v>1336.5011495302251</v>
      </c>
      <c r="Q517" s="123">
        <f t="shared" si="45"/>
        <v>0.15397337993781157</v>
      </c>
      <c r="R517" s="123">
        <f t="shared" si="42"/>
        <v>156376.98710334749</v>
      </c>
      <c r="S517" s="123">
        <f t="shared" si="43"/>
        <v>154634.0206541215</v>
      </c>
      <c r="T517" s="123">
        <f t="shared" si="46"/>
        <v>1</v>
      </c>
      <c r="U517" s="123">
        <f t="shared" si="47"/>
        <v>0</v>
      </c>
    </row>
    <row r="518" spans="11:21" x14ac:dyDescent="0.25">
      <c r="K518" s="123" t="s">
        <v>627</v>
      </c>
      <c r="L518" s="126">
        <v>7852.0485451907189</v>
      </c>
      <c r="M518" s="126">
        <v>8.9029342784303864</v>
      </c>
      <c r="N518" s="126">
        <v>5216.7819292384938</v>
      </c>
      <c r="O518" s="126">
        <v>6.0275175332806086</v>
      </c>
      <c r="P518" s="123">
        <f t="shared" si="44"/>
        <v>2635.266615952225</v>
      </c>
      <c r="Q518" s="123">
        <f t="shared" si="45"/>
        <v>2.8754167451497779</v>
      </c>
      <c r="R518" s="123">
        <f t="shared" si="42"/>
        <v>170206.63702341702</v>
      </c>
      <c r="S518" s="123">
        <f t="shared" si="43"/>
        <v>115333.56873637368</v>
      </c>
      <c r="T518" s="123">
        <f t="shared" si="46"/>
        <v>1</v>
      </c>
      <c r="U518" s="123">
        <f t="shared" si="47"/>
        <v>0</v>
      </c>
    </row>
    <row r="519" spans="11:21" x14ac:dyDescent="0.25">
      <c r="K519" s="123" t="s">
        <v>628</v>
      </c>
      <c r="L519" s="126">
        <v>7452.9048989439798</v>
      </c>
      <c r="M519" s="126">
        <v>7.3994067969966251</v>
      </c>
      <c r="N519" s="126">
        <v>6510.1949758970477</v>
      </c>
      <c r="O519" s="126">
        <v>7.3452100080243499</v>
      </c>
      <c r="P519" s="123">
        <f t="shared" si="44"/>
        <v>942.70992304693209</v>
      </c>
      <c r="Q519" s="123">
        <f t="shared" si="45"/>
        <v>5.4196788972275201E-2</v>
      </c>
      <c r="R519" s="123">
        <f t="shared" si="42"/>
        <v>140535.23104098852</v>
      </c>
      <c r="S519" s="123">
        <f t="shared" si="43"/>
        <v>140394.00518458994</v>
      </c>
      <c r="T519" s="123">
        <f t="shared" si="46"/>
        <v>1</v>
      </c>
      <c r="U519" s="123">
        <f t="shared" si="47"/>
        <v>0</v>
      </c>
    </row>
    <row r="520" spans="11:21" x14ac:dyDescent="0.25">
      <c r="K520" s="123" t="s">
        <v>629</v>
      </c>
      <c r="L520" s="126">
        <v>7033.5844792717653</v>
      </c>
      <c r="M520" s="126">
        <v>5.4098145439855667</v>
      </c>
      <c r="N520" s="126">
        <v>8351.5815792834837</v>
      </c>
      <c r="O520" s="126">
        <v>6.9095361038761638</v>
      </c>
      <c r="P520" s="123">
        <f t="shared" si="44"/>
        <v>-1317.9971000117184</v>
      </c>
      <c r="Q520" s="123">
        <f t="shared" si="45"/>
        <v>-1.4997215598905971</v>
      </c>
      <c r="R520" s="123">
        <f t="shared" si="42"/>
        <v>101162.70640043957</v>
      </c>
      <c r="S520" s="123">
        <f t="shared" si="43"/>
        <v>129839.14049823978</v>
      </c>
      <c r="T520" s="123">
        <f t="shared" si="46"/>
        <v>0</v>
      </c>
      <c r="U520" s="123">
        <f t="shared" si="47"/>
        <v>1</v>
      </c>
    </row>
    <row r="521" spans="11:21" x14ac:dyDescent="0.25">
      <c r="K521" s="123" t="s">
        <v>630</v>
      </c>
      <c r="L521" s="126">
        <v>7882.0196634283002</v>
      </c>
      <c r="M521" s="126">
        <v>8.0340412004701758</v>
      </c>
      <c r="N521" s="126">
        <v>8106.0433511733236</v>
      </c>
      <c r="O521" s="126">
        <v>8.7005850846967281</v>
      </c>
      <c r="P521" s="123">
        <f t="shared" si="44"/>
        <v>-224.02368774502338</v>
      </c>
      <c r="Q521" s="123">
        <f t="shared" si="45"/>
        <v>-0.66654388422655231</v>
      </c>
      <c r="R521" s="123">
        <f t="shared" si="42"/>
        <v>152798.80434597522</v>
      </c>
      <c r="S521" s="123">
        <f t="shared" si="43"/>
        <v>165905.65834276125</v>
      </c>
      <c r="T521" s="123">
        <f t="shared" si="46"/>
        <v>0</v>
      </c>
      <c r="U521" s="123">
        <f t="shared" si="47"/>
        <v>1</v>
      </c>
    </row>
    <row r="522" spans="11:21" x14ac:dyDescent="0.25">
      <c r="K522" s="123" t="s">
        <v>631</v>
      </c>
      <c r="L522" s="126">
        <v>7479.7947390141344</v>
      </c>
      <c r="M522" s="126">
        <v>7.9049889638352475</v>
      </c>
      <c r="N522" s="126">
        <v>7123.1730525859721</v>
      </c>
      <c r="O522" s="126">
        <v>7.6332738152707877</v>
      </c>
      <c r="P522" s="123">
        <f t="shared" si="44"/>
        <v>356.62168642816232</v>
      </c>
      <c r="Q522" s="123">
        <f t="shared" si="45"/>
        <v>0.27171514856445977</v>
      </c>
      <c r="R522" s="123">
        <f t="shared" si="42"/>
        <v>150619.98453769082</v>
      </c>
      <c r="S522" s="123">
        <f t="shared" si="43"/>
        <v>145542.30325282979</v>
      </c>
      <c r="T522" s="123">
        <f t="shared" si="46"/>
        <v>1</v>
      </c>
      <c r="U522" s="123">
        <f t="shared" si="47"/>
        <v>0</v>
      </c>
    </row>
    <row r="523" spans="11:21" x14ac:dyDescent="0.25">
      <c r="K523" s="123" t="s">
        <v>632</v>
      </c>
      <c r="L523" s="126">
        <v>10063.068737775671</v>
      </c>
      <c r="M523" s="126">
        <v>9.2423708662999484</v>
      </c>
      <c r="N523" s="126">
        <v>5338.8035568076466</v>
      </c>
      <c r="O523" s="126">
        <v>5.2995255421549814</v>
      </c>
      <c r="P523" s="123">
        <f t="shared" si="44"/>
        <v>4724.2651809680247</v>
      </c>
      <c r="Q523" s="123">
        <f t="shared" si="45"/>
        <v>3.942845324144967</v>
      </c>
      <c r="R523" s="123">
        <f t="shared" si="42"/>
        <v>174784.34858822331</v>
      </c>
      <c r="S523" s="123">
        <f t="shared" si="43"/>
        <v>100651.70728629199</v>
      </c>
      <c r="T523" s="123">
        <f t="shared" si="46"/>
        <v>1</v>
      </c>
      <c r="U523" s="123">
        <f t="shared" si="47"/>
        <v>0</v>
      </c>
    </row>
    <row r="524" spans="11:21" x14ac:dyDescent="0.25">
      <c r="K524" s="123" t="s">
        <v>633</v>
      </c>
      <c r="L524" s="126">
        <v>7467.4013662914167</v>
      </c>
      <c r="M524" s="126">
        <v>7.0631573704556727</v>
      </c>
      <c r="N524" s="126">
        <v>6733.0256665226998</v>
      </c>
      <c r="O524" s="126">
        <v>6.7560939518133694</v>
      </c>
      <c r="P524" s="123">
        <f t="shared" si="44"/>
        <v>734.37569976871691</v>
      </c>
      <c r="Q524" s="123">
        <f t="shared" si="45"/>
        <v>0.30706341864230335</v>
      </c>
      <c r="R524" s="123">
        <f t="shared" si="42"/>
        <v>133795.74604282202</v>
      </c>
      <c r="S524" s="123">
        <f t="shared" si="43"/>
        <v>128388.85336974467</v>
      </c>
      <c r="T524" s="123">
        <f t="shared" si="46"/>
        <v>1</v>
      </c>
      <c r="U524" s="123">
        <f t="shared" si="47"/>
        <v>0</v>
      </c>
    </row>
    <row r="525" spans="11:21" x14ac:dyDescent="0.25">
      <c r="K525" s="123" t="s">
        <v>634</v>
      </c>
      <c r="L525" s="126">
        <v>8022.1582656710325</v>
      </c>
      <c r="M525" s="126">
        <v>7.3375882115770361</v>
      </c>
      <c r="N525" s="126">
        <v>5190.5530055763875</v>
      </c>
      <c r="O525" s="126">
        <v>5.5072804303442053</v>
      </c>
      <c r="P525" s="123">
        <f t="shared" si="44"/>
        <v>2831.605260094645</v>
      </c>
      <c r="Q525" s="123">
        <f t="shared" si="45"/>
        <v>1.8303077812328308</v>
      </c>
      <c r="R525" s="123">
        <f t="shared" si="42"/>
        <v>138729.6059658697</v>
      </c>
      <c r="S525" s="123">
        <f t="shared" si="43"/>
        <v>104955.05560130773</v>
      </c>
      <c r="T525" s="123">
        <f t="shared" si="46"/>
        <v>1</v>
      </c>
      <c r="U525" s="123">
        <f t="shared" si="47"/>
        <v>0</v>
      </c>
    </row>
    <row r="526" spans="11:21" x14ac:dyDescent="0.25">
      <c r="K526" s="123" t="s">
        <v>635</v>
      </c>
      <c r="L526" s="126">
        <v>6753.1966593393154</v>
      </c>
      <c r="M526" s="126">
        <v>6.2360436902386622</v>
      </c>
      <c r="N526" s="126">
        <v>7527.8615751736397</v>
      </c>
      <c r="O526" s="126">
        <v>7.6110291439084596</v>
      </c>
      <c r="P526" s="123">
        <f t="shared" si="44"/>
        <v>-774.66491583432435</v>
      </c>
      <c r="Q526" s="123">
        <f t="shared" si="45"/>
        <v>-1.3749854536697974</v>
      </c>
      <c r="R526" s="123">
        <f t="shared" si="42"/>
        <v>117967.67714543393</v>
      </c>
      <c r="S526" s="123">
        <f t="shared" si="43"/>
        <v>144692.72130299555</v>
      </c>
      <c r="T526" s="123">
        <f t="shared" si="46"/>
        <v>0</v>
      </c>
      <c r="U526" s="123">
        <f t="shared" si="47"/>
        <v>1</v>
      </c>
    </row>
    <row r="527" spans="11:21" x14ac:dyDescent="0.25">
      <c r="K527" s="123" t="s">
        <v>636</v>
      </c>
      <c r="L527" s="126">
        <v>4368.5430334674365</v>
      </c>
      <c r="M527" s="126">
        <v>3.8747749829482827</v>
      </c>
      <c r="N527" s="126">
        <v>7402.3057815106322</v>
      </c>
      <c r="O527" s="126">
        <v>7.9993175136930468</v>
      </c>
      <c r="P527" s="123">
        <f t="shared" si="44"/>
        <v>-3033.7627480431956</v>
      </c>
      <c r="Q527" s="123">
        <f t="shared" si="45"/>
        <v>-4.1245425307447636</v>
      </c>
      <c r="R527" s="123">
        <f t="shared" si="42"/>
        <v>73126.95662549822</v>
      </c>
      <c r="S527" s="123">
        <f t="shared" si="43"/>
        <v>152584.04449235031</v>
      </c>
      <c r="T527" s="123">
        <f t="shared" si="46"/>
        <v>0</v>
      </c>
      <c r="U527" s="123">
        <f t="shared" si="47"/>
        <v>1</v>
      </c>
    </row>
    <row r="528" spans="11:21" x14ac:dyDescent="0.25">
      <c r="K528" s="123" t="s">
        <v>637</v>
      </c>
      <c r="L528" s="126">
        <v>6809.9199147750023</v>
      </c>
      <c r="M528" s="126">
        <v>7.3249716072254456</v>
      </c>
      <c r="N528" s="126">
        <v>7062.2474762537913</v>
      </c>
      <c r="O528" s="126">
        <v>8.4379391524048941</v>
      </c>
      <c r="P528" s="123">
        <f t="shared" si="44"/>
        <v>-252.32756147878899</v>
      </c>
      <c r="Q528" s="123">
        <f t="shared" si="45"/>
        <v>-1.1129675451794485</v>
      </c>
      <c r="R528" s="123">
        <f t="shared" si="42"/>
        <v>139689.5122297339</v>
      </c>
      <c r="S528" s="123">
        <f t="shared" si="43"/>
        <v>161696.53557184408</v>
      </c>
      <c r="T528" s="123">
        <f t="shared" si="46"/>
        <v>0</v>
      </c>
      <c r="U528" s="123">
        <f t="shared" si="47"/>
        <v>1</v>
      </c>
    </row>
    <row r="529" spans="11:21" x14ac:dyDescent="0.25">
      <c r="K529" s="123" t="s">
        <v>638</v>
      </c>
      <c r="L529" s="126">
        <v>10546.259957924245</v>
      </c>
      <c r="M529" s="126">
        <v>9.8402912938111751</v>
      </c>
      <c r="N529" s="126">
        <v>5210.8015053742456</v>
      </c>
      <c r="O529" s="126">
        <v>5.6934622973349409</v>
      </c>
      <c r="P529" s="123">
        <f t="shared" si="44"/>
        <v>5335.4584525499995</v>
      </c>
      <c r="Q529" s="123">
        <f t="shared" si="45"/>
        <v>4.1468289964762342</v>
      </c>
      <c r="R529" s="123">
        <f t="shared" ref="R529:R592" si="48">M529*willingness_to_pay-L529</f>
        <v>186259.56591829925</v>
      </c>
      <c r="S529" s="123">
        <f t="shared" ref="S529:S592" si="49">O529*willingness_to_pay-N529</f>
        <v>108658.44444132458</v>
      </c>
      <c r="T529" s="123">
        <f t="shared" si="46"/>
        <v>1</v>
      </c>
      <c r="U529" s="123">
        <f t="shared" si="47"/>
        <v>0</v>
      </c>
    </row>
    <row r="530" spans="11:21" x14ac:dyDescent="0.25">
      <c r="K530" s="123" t="s">
        <v>639</v>
      </c>
      <c r="L530" s="126">
        <v>8623.6003570808098</v>
      </c>
      <c r="M530" s="126">
        <v>8.5958897489219126</v>
      </c>
      <c r="N530" s="126">
        <v>4378.1907444275512</v>
      </c>
      <c r="O530" s="126">
        <v>4.4332633637351497</v>
      </c>
      <c r="P530" s="123">
        <f t="shared" ref="P530:P593" si="50">L530-N530</f>
        <v>4245.4096126532586</v>
      </c>
      <c r="Q530" s="123">
        <f t="shared" ref="Q530:Q593" si="51">M530-O530</f>
        <v>4.1626263851867629</v>
      </c>
      <c r="R530" s="123">
        <f t="shared" si="48"/>
        <v>163294.19462135746</v>
      </c>
      <c r="S530" s="123">
        <f t="shared" si="49"/>
        <v>84287.076530275444</v>
      </c>
      <c r="T530" s="123">
        <f t="shared" ref="T530:T593" si="52">IF(L530="", "",IF(R530=MAX(R530:S530),1,0))</f>
        <v>1</v>
      </c>
      <c r="U530" s="123">
        <f t="shared" ref="U530:U593" si="53">IF(N530="", "", IF(S530=MAX(R530:S530),1,0))</f>
        <v>0</v>
      </c>
    </row>
    <row r="531" spans="11:21" x14ac:dyDescent="0.25">
      <c r="K531" s="123" t="s">
        <v>640</v>
      </c>
      <c r="L531" s="126">
        <v>10032.431854875887</v>
      </c>
      <c r="M531" s="126">
        <v>9.1938922243648644</v>
      </c>
      <c r="N531" s="126">
        <v>6303.4400999338095</v>
      </c>
      <c r="O531" s="126">
        <v>5.5491506969247162</v>
      </c>
      <c r="P531" s="123">
        <f t="shared" si="50"/>
        <v>3728.9917549420779</v>
      </c>
      <c r="Q531" s="123">
        <f t="shared" si="51"/>
        <v>3.6447415274401482</v>
      </c>
      <c r="R531" s="123">
        <f t="shared" si="48"/>
        <v>173845.41263242142</v>
      </c>
      <c r="S531" s="123">
        <f t="shared" si="49"/>
        <v>104679.57383856051</v>
      </c>
      <c r="T531" s="123">
        <f t="shared" si="52"/>
        <v>1</v>
      </c>
      <c r="U531" s="123">
        <f t="shared" si="53"/>
        <v>0</v>
      </c>
    </row>
    <row r="532" spans="11:21" x14ac:dyDescent="0.25">
      <c r="K532" s="123" t="s">
        <v>641</v>
      </c>
      <c r="L532" s="126">
        <v>7995.7308032805668</v>
      </c>
      <c r="M532" s="126">
        <v>7.8774868951388015</v>
      </c>
      <c r="N532" s="126">
        <v>7870.5167051145208</v>
      </c>
      <c r="O532" s="126">
        <v>8.1434125671158633</v>
      </c>
      <c r="P532" s="123">
        <f t="shared" si="50"/>
        <v>125.21409816604591</v>
      </c>
      <c r="Q532" s="123">
        <f t="shared" si="51"/>
        <v>-0.26592567197706174</v>
      </c>
      <c r="R532" s="123">
        <f t="shared" si="48"/>
        <v>149554.00709949544</v>
      </c>
      <c r="S532" s="123">
        <f t="shared" si="49"/>
        <v>154997.73463720275</v>
      </c>
      <c r="T532" s="123">
        <f t="shared" si="52"/>
        <v>0</v>
      </c>
      <c r="U532" s="123">
        <f t="shared" si="53"/>
        <v>1</v>
      </c>
    </row>
    <row r="533" spans="11:21" x14ac:dyDescent="0.25">
      <c r="K533" s="123" t="s">
        <v>642</v>
      </c>
      <c r="L533" s="126">
        <v>7569.9955675433448</v>
      </c>
      <c r="M533" s="126">
        <v>7.8079661249469705</v>
      </c>
      <c r="N533" s="126">
        <v>6729.9313686376927</v>
      </c>
      <c r="O533" s="126">
        <v>7.8335102073452818</v>
      </c>
      <c r="P533" s="123">
        <f t="shared" si="50"/>
        <v>840.06419890565212</v>
      </c>
      <c r="Q533" s="123">
        <f t="shared" si="51"/>
        <v>-2.5544082398311296E-2</v>
      </c>
      <c r="R533" s="123">
        <f t="shared" si="48"/>
        <v>148589.32693139606</v>
      </c>
      <c r="S533" s="123">
        <f t="shared" si="49"/>
        <v>149940.27277826794</v>
      </c>
      <c r="T533" s="123">
        <f t="shared" si="52"/>
        <v>0</v>
      </c>
      <c r="U533" s="123">
        <f t="shared" si="53"/>
        <v>1</v>
      </c>
    </row>
    <row r="534" spans="11:21" x14ac:dyDescent="0.25">
      <c r="K534" s="123" t="s">
        <v>643</v>
      </c>
      <c r="L534" s="126">
        <v>9194.5731403860791</v>
      </c>
      <c r="M534" s="126">
        <v>10.093633817263306</v>
      </c>
      <c r="N534" s="126">
        <v>4820.3154513064619</v>
      </c>
      <c r="O534" s="126">
        <v>5.9256725765858205</v>
      </c>
      <c r="P534" s="123">
        <f t="shared" si="50"/>
        <v>4374.2576890796172</v>
      </c>
      <c r="Q534" s="123">
        <f t="shared" si="51"/>
        <v>4.167961240677486</v>
      </c>
      <c r="R534" s="123">
        <f t="shared" si="48"/>
        <v>192678.10320488006</v>
      </c>
      <c r="S534" s="123">
        <f t="shared" si="49"/>
        <v>113693.13608040994</v>
      </c>
      <c r="T534" s="123">
        <f t="shared" si="52"/>
        <v>1</v>
      </c>
      <c r="U534" s="123">
        <f t="shared" si="53"/>
        <v>0</v>
      </c>
    </row>
    <row r="535" spans="11:21" x14ac:dyDescent="0.25">
      <c r="K535" s="123" t="s">
        <v>644</v>
      </c>
      <c r="L535" s="126">
        <v>9652.662951153563</v>
      </c>
      <c r="M535" s="126">
        <v>10.013479709470095</v>
      </c>
      <c r="N535" s="126">
        <v>7817.9760519147521</v>
      </c>
      <c r="O535" s="126">
        <v>8.3307274941916489</v>
      </c>
      <c r="P535" s="123">
        <f t="shared" si="50"/>
        <v>1834.6868992388108</v>
      </c>
      <c r="Q535" s="123">
        <f t="shared" si="51"/>
        <v>1.6827522152784464</v>
      </c>
      <c r="R535" s="123">
        <f t="shared" si="48"/>
        <v>190616.93123824836</v>
      </c>
      <c r="S535" s="123">
        <f t="shared" si="49"/>
        <v>158796.57383191824</v>
      </c>
      <c r="T535" s="123">
        <f t="shared" si="52"/>
        <v>1</v>
      </c>
      <c r="U535" s="123">
        <f t="shared" si="53"/>
        <v>0</v>
      </c>
    </row>
    <row r="536" spans="11:21" x14ac:dyDescent="0.25">
      <c r="K536" s="123" t="s">
        <v>645</v>
      </c>
      <c r="L536" s="126">
        <v>8125.2986856005791</v>
      </c>
      <c r="M536" s="126">
        <v>7.5218179480040508</v>
      </c>
      <c r="N536" s="126">
        <v>6978.6460984787727</v>
      </c>
      <c r="O536" s="126">
        <v>6.9601835557979586</v>
      </c>
      <c r="P536" s="123">
        <f t="shared" si="50"/>
        <v>1146.6525871218064</v>
      </c>
      <c r="Q536" s="123">
        <f t="shared" si="51"/>
        <v>0.56163439220609224</v>
      </c>
      <c r="R536" s="123">
        <f t="shared" si="48"/>
        <v>142311.06027448043</v>
      </c>
      <c r="S536" s="123">
        <f t="shared" si="49"/>
        <v>132225.0250174804</v>
      </c>
      <c r="T536" s="123">
        <f t="shared" si="52"/>
        <v>1</v>
      </c>
      <c r="U536" s="123">
        <f t="shared" si="53"/>
        <v>0</v>
      </c>
    </row>
    <row r="537" spans="11:21" x14ac:dyDescent="0.25">
      <c r="K537" s="123" t="s">
        <v>646</v>
      </c>
      <c r="L537" s="126">
        <v>7228.541513258393</v>
      </c>
      <c r="M537" s="126">
        <v>6.7607388069056995</v>
      </c>
      <c r="N537" s="126">
        <v>6974.0317237631079</v>
      </c>
      <c r="O537" s="126">
        <v>6.7468448567126424</v>
      </c>
      <c r="P537" s="123">
        <f t="shared" si="50"/>
        <v>254.50978949528508</v>
      </c>
      <c r="Q537" s="123">
        <f t="shared" si="51"/>
        <v>1.3893950193057059E-2</v>
      </c>
      <c r="R537" s="123">
        <f t="shared" si="48"/>
        <v>127986.2346248556</v>
      </c>
      <c r="S537" s="123">
        <f t="shared" si="49"/>
        <v>127962.86541048974</v>
      </c>
      <c r="T537" s="123">
        <f t="shared" si="52"/>
        <v>1</v>
      </c>
      <c r="U537" s="123">
        <f t="shared" si="53"/>
        <v>0</v>
      </c>
    </row>
    <row r="538" spans="11:21" x14ac:dyDescent="0.25">
      <c r="K538" s="123" t="s">
        <v>647</v>
      </c>
      <c r="L538" s="126">
        <v>8179.1417816031999</v>
      </c>
      <c r="M538" s="126">
        <v>7.160963244740179</v>
      </c>
      <c r="N538" s="126">
        <v>9936.3704333642072</v>
      </c>
      <c r="O538" s="126">
        <v>9.2504520561113743</v>
      </c>
      <c r="P538" s="123">
        <f t="shared" si="50"/>
        <v>-1757.2286517610073</v>
      </c>
      <c r="Q538" s="123">
        <f t="shared" si="51"/>
        <v>-2.0894888113711954</v>
      </c>
      <c r="R538" s="123">
        <f t="shared" si="48"/>
        <v>135040.12311320039</v>
      </c>
      <c r="S538" s="123">
        <f t="shared" si="49"/>
        <v>175072.67068886329</v>
      </c>
      <c r="T538" s="123">
        <f t="shared" si="52"/>
        <v>0</v>
      </c>
      <c r="U538" s="123">
        <f t="shared" si="53"/>
        <v>1</v>
      </c>
    </row>
    <row r="539" spans="11:21" x14ac:dyDescent="0.25">
      <c r="K539" s="123" t="s">
        <v>648</v>
      </c>
      <c r="L539" s="126">
        <v>7110.0629547906919</v>
      </c>
      <c r="M539" s="126">
        <v>5.8460114602686488</v>
      </c>
      <c r="N539" s="126">
        <v>4785.367260322223</v>
      </c>
      <c r="O539" s="126">
        <v>3.9529159255580604</v>
      </c>
      <c r="P539" s="123">
        <f t="shared" si="50"/>
        <v>2324.6956944684689</v>
      </c>
      <c r="Q539" s="123">
        <f t="shared" si="51"/>
        <v>1.8930955347105884</v>
      </c>
      <c r="R539" s="123">
        <f t="shared" si="48"/>
        <v>109810.16625058229</v>
      </c>
      <c r="S539" s="123">
        <f t="shared" si="49"/>
        <v>74272.951250838989</v>
      </c>
      <c r="T539" s="123">
        <f t="shared" si="52"/>
        <v>1</v>
      </c>
      <c r="U539" s="123">
        <f t="shared" si="53"/>
        <v>0</v>
      </c>
    </row>
    <row r="540" spans="11:21" x14ac:dyDescent="0.25">
      <c r="K540" s="123" t="s">
        <v>649</v>
      </c>
      <c r="L540" s="126">
        <v>8551.913197144002</v>
      </c>
      <c r="M540" s="126">
        <v>7.5025547849642749</v>
      </c>
      <c r="N540" s="126">
        <v>5920.456947536486</v>
      </c>
      <c r="O540" s="126">
        <v>5.4590087853394351</v>
      </c>
      <c r="P540" s="123">
        <f t="shared" si="50"/>
        <v>2631.4562496075159</v>
      </c>
      <c r="Q540" s="123">
        <f t="shared" si="51"/>
        <v>2.0435459996248397</v>
      </c>
      <c r="R540" s="123">
        <f t="shared" si="48"/>
        <v>141499.18250214151</v>
      </c>
      <c r="S540" s="123">
        <f t="shared" si="49"/>
        <v>103259.71875925222</v>
      </c>
      <c r="T540" s="123">
        <f t="shared" si="52"/>
        <v>1</v>
      </c>
      <c r="U540" s="123">
        <f t="shared" si="53"/>
        <v>0</v>
      </c>
    </row>
    <row r="541" spans="11:21" x14ac:dyDescent="0.25">
      <c r="K541" s="123" t="s">
        <v>650</v>
      </c>
      <c r="L541" s="126">
        <v>6166.6580673243625</v>
      </c>
      <c r="M541" s="126">
        <v>5.1760115635407953</v>
      </c>
      <c r="N541" s="126">
        <v>6689.4824799139978</v>
      </c>
      <c r="O541" s="126">
        <v>6.8632994438099537</v>
      </c>
      <c r="P541" s="123">
        <f t="shared" si="50"/>
        <v>-522.82441258963536</v>
      </c>
      <c r="Q541" s="123">
        <f t="shared" si="51"/>
        <v>-1.6872878802691584</v>
      </c>
      <c r="R541" s="123">
        <f t="shared" si="48"/>
        <v>97353.573203491542</v>
      </c>
      <c r="S541" s="123">
        <f t="shared" si="49"/>
        <v>130576.50639628508</v>
      </c>
      <c r="T541" s="123">
        <f t="shared" si="52"/>
        <v>0</v>
      </c>
      <c r="U541" s="123">
        <f t="shared" si="53"/>
        <v>1</v>
      </c>
    </row>
    <row r="542" spans="11:21" x14ac:dyDescent="0.25">
      <c r="K542" s="123" t="s">
        <v>651</v>
      </c>
      <c r="L542" s="126">
        <v>6708.0920040371602</v>
      </c>
      <c r="M542" s="126">
        <v>7.3328471356490263</v>
      </c>
      <c r="N542" s="126">
        <v>5462.8623514620049</v>
      </c>
      <c r="O542" s="126">
        <v>6.6563983018312234</v>
      </c>
      <c r="P542" s="123">
        <f t="shared" si="50"/>
        <v>1245.2296525751553</v>
      </c>
      <c r="Q542" s="123">
        <f t="shared" si="51"/>
        <v>0.67644883381780296</v>
      </c>
      <c r="R542" s="123">
        <f t="shared" si="48"/>
        <v>139948.85070894336</v>
      </c>
      <c r="S542" s="123">
        <f t="shared" si="49"/>
        <v>127665.10368516247</v>
      </c>
      <c r="T542" s="123">
        <f t="shared" si="52"/>
        <v>1</v>
      </c>
      <c r="U542" s="123">
        <f t="shared" si="53"/>
        <v>0</v>
      </c>
    </row>
    <row r="543" spans="11:21" x14ac:dyDescent="0.25">
      <c r="K543" s="123" t="s">
        <v>652</v>
      </c>
      <c r="L543" s="126">
        <v>6217.3942245673115</v>
      </c>
      <c r="M543" s="126">
        <v>5.8933937376244279</v>
      </c>
      <c r="N543" s="126">
        <v>6383.5261735685081</v>
      </c>
      <c r="O543" s="126">
        <v>6.558692410848904</v>
      </c>
      <c r="P543" s="123">
        <f t="shared" si="50"/>
        <v>-166.13194900119652</v>
      </c>
      <c r="Q543" s="123">
        <f t="shared" si="51"/>
        <v>-0.66529867322447611</v>
      </c>
      <c r="R543" s="123">
        <f t="shared" si="48"/>
        <v>111650.48052792125</v>
      </c>
      <c r="S543" s="123">
        <f t="shared" si="49"/>
        <v>124790.32204340957</v>
      </c>
      <c r="T543" s="123">
        <f t="shared" si="52"/>
        <v>0</v>
      </c>
      <c r="U543" s="123">
        <f t="shared" si="53"/>
        <v>1</v>
      </c>
    </row>
    <row r="544" spans="11:21" x14ac:dyDescent="0.25">
      <c r="K544" s="123" t="s">
        <v>653</v>
      </c>
      <c r="L544" s="126">
        <v>10100.659636411532</v>
      </c>
      <c r="M544" s="126">
        <v>9.1177279657540158</v>
      </c>
      <c r="N544" s="126">
        <v>6739.9178281410204</v>
      </c>
      <c r="O544" s="126">
        <v>6.1412379897865872</v>
      </c>
      <c r="P544" s="123">
        <f t="shared" si="50"/>
        <v>3360.7418082705117</v>
      </c>
      <c r="Q544" s="123">
        <f t="shared" si="51"/>
        <v>2.9764899759674286</v>
      </c>
      <c r="R544" s="123">
        <f t="shared" si="48"/>
        <v>172253.89967866879</v>
      </c>
      <c r="S544" s="123">
        <f t="shared" si="49"/>
        <v>116084.84196759074</v>
      </c>
      <c r="T544" s="123">
        <f t="shared" si="52"/>
        <v>1</v>
      </c>
      <c r="U544" s="123">
        <f t="shared" si="53"/>
        <v>0</v>
      </c>
    </row>
    <row r="545" spans="11:21" x14ac:dyDescent="0.25">
      <c r="K545" s="123" t="s">
        <v>654</v>
      </c>
      <c r="L545" s="126">
        <v>10819.616524848483</v>
      </c>
      <c r="M545" s="126">
        <v>8.0603524067155483</v>
      </c>
      <c r="N545" s="126">
        <v>6695.5267735149791</v>
      </c>
      <c r="O545" s="126">
        <v>5.1478868730914424</v>
      </c>
      <c r="P545" s="123">
        <f t="shared" si="50"/>
        <v>4124.089751333504</v>
      </c>
      <c r="Q545" s="123">
        <f t="shared" si="51"/>
        <v>2.9124655336241059</v>
      </c>
      <c r="R545" s="123">
        <f t="shared" si="48"/>
        <v>150387.43160946248</v>
      </c>
      <c r="S545" s="123">
        <f t="shared" si="49"/>
        <v>96262.210688313862</v>
      </c>
      <c r="T545" s="123">
        <f t="shared" si="52"/>
        <v>1</v>
      </c>
      <c r="U545" s="123">
        <f t="shared" si="53"/>
        <v>0</v>
      </c>
    </row>
    <row r="546" spans="11:21" x14ac:dyDescent="0.25">
      <c r="K546" s="123" t="s">
        <v>655</v>
      </c>
      <c r="L546" s="126">
        <v>5429.5206714878304</v>
      </c>
      <c r="M546" s="126">
        <v>2.4490295031259484</v>
      </c>
      <c r="N546" s="126">
        <v>6697.1935813470154</v>
      </c>
      <c r="O546" s="126">
        <v>3.9579013522103592</v>
      </c>
      <c r="P546" s="123">
        <f t="shared" si="50"/>
        <v>-1267.672909859185</v>
      </c>
      <c r="Q546" s="123">
        <f t="shared" si="51"/>
        <v>-1.5088718490844109</v>
      </c>
      <c r="R546" s="123">
        <f t="shared" si="48"/>
        <v>43551.069391031138</v>
      </c>
      <c r="S546" s="123">
        <f t="shared" si="49"/>
        <v>72460.833462860159</v>
      </c>
      <c r="T546" s="123">
        <f t="shared" si="52"/>
        <v>0</v>
      </c>
      <c r="U546" s="123">
        <f t="shared" si="53"/>
        <v>1</v>
      </c>
    </row>
    <row r="547" spans="11:21" x14ac:dyDescent="0.25">
      <c r="K547" s="123" t="s">
        <v>656</v>
      </c>
      <c r="L547" s="126">
        <v>6353.3105641150432</v>
      </c>
      <c r="M547" s="126">
        <v>4.9862736328546786</v>
      </c>
      <c r="N547" s="126">
        <v>6927.5420957307333</v>
      </c>
      <c r="O547" s="126">
        <v>5.7990667943159666</v>
      </c>
      <c r="P547" s="123">
        <f t="shared" si="50"/>
        <v>-574.23153161569007</v>
      </c>
      <c r="Q547" s="123">
        <f t="shared" si="51"/>
        <v>-0.81279316146128799</v>
      </c>
      <c r="R547" s="123">
        <f t="shared" si="48"/>
        <v>93372.162092978528</v>
      </c>
      <c r="S547" s="123">
        <f t="shared" si="49"/>
        <v>109053.79379058859</v>
      </c>
      <c r="T547" s="123">
        <f t="shared" si="52"/>
        <v>0</v>
      </c>
      <c r="U547" s="123">
        <f t="shared" si="53"/>
        <v>1</v>
      </c>
    </row>
    <row r="548" spans="11:21" x14ac:dyDescent="0.25">
      <c r="K548" s="123" t="s">
        <v>657</v>
      </c>
      <c r="L548" s="126">
        <v>9296.2981031389572</v>
      </c>
      <c r="M548" s="126">
        <v>9.5186458823054263</v>
      </c>
      <c r="N548" s="126">
        <v>5438.9012158315172</v>
      </c>
      <c r="O548" s="126">
        <v>6.0840902846558498</v>
      </c>
      <c r="P548" s="123">
        <f t="shared" si="50"/>
        <v>3857.39688730744</v>
      </c>
      <c r="Q548" s="123">
        <f t="shared" si="51"/>
        <v>3.4345555976495765</v>
      </c>
      <c r="R548" s="123">
        <f t="shared" si="48"/>
        <v>181076.61954296957</v>
      </c>
      <c r="S548" s="123">
        <f t="shared" si="49"/>
        <v>116242.90447728548</v>
      </c>
      <c r="T548" s="123">
        <f t="shared" si="52"/>
        <v>1</v>
      </c>
      <c r="U548" s="123">
        <f t="shared" si="53"/>
        <v>0</v>
      </c>
    </row>
    <row r="549" spans="11:21" x14ac:dyDescent="0.25">
      <c r="K549" s="123" t="s">
        <v>658</v>
      </c>
      <c r="L549" s="126">
        <v>8478.5156265672194</v>
      </c>
      <c r="M549" s="126">
        <v>6.777002180707961</v>
      </c>
      <c r="N549" s="126">
        <v>7676.2756694442369</v>
      </c>
      <c r="O549" s="126">
        <v>6.6880353460229127</v>
      </c>
      <c r="P549" s="123">
        <f t="shared" si="50"/>
        <v>802.23995712298256</v>
      </c>
      <c r="Q549" s="123">
        <f t="shared" si="51"/>
        <v>8.8966834685048291E-2</v>
      </c>
      <c r="R549" s="123">
        <f t="shared" si="48"/>
        <v>127061.52798759201</v>
      </c>
      <c r="S549" s="123">
        <f t="shared" si="49"/>
        <v>126084.43125101403</v>
      </c>
      <c r="T549" s="123">
        <f t="shared" si="52"/>
        <v>1</v>
      </c>
      <c r="U549" s="123">
        <f t="shared" si="53"/>
        <v>0</v>
      </c>
    </row>
    <row r="550" spans="11:21" x14ac:dyDescent="0.25">
      <c r="K550" s="123" t="s">
        <v>659</v>
      </c>
      <c r="L550" s="126">
        <v>9468.9809145523977</v>
      </c>
      <c r="M550" s="126">
        <v>7.6190207834818748</v>
      </c>
      <c r="N550" s="126">
        <v>5590.8637698348339</v>
      </c>
      <c r="O550" s="126">
        <v>4.5954974672014641</v>
      </c>
      <c r="P550" s="123">
        <f t="shared" si="50"/>
        <v>3878.1171447175639</v>
      </c>
      <c r="Q550" s="123">
        <f t="shared" si="51"/>
        <v>3.0235233162804107</v>
      </c>
      <c r="R550" s="123">
        <f t="shared" si="48"/>
        <v>142911.43475508509</v>
      </c>
      <c r="S550" s="123">
        <f t="shared" si="49"/>
        <v>86319.085574194454</v>
      </c>
      <c r="T550" s="123">
        <f t="shared" si="52"/>
        <v>1</v>
      </c>
      <c r="U550" s="123">
        <f t="shared" si="53"/>
        <v>0</v>
      </c>
    </row>
    <row r="551" spans="11:21" x14ac:dyDescent="0.25">
      <c r="K551" s="123" t="s">
        <v>660</v>
      </c>
      <c r="L551" s="126">
        <v>10549.968574127777</v>
      </c>
      <c r="M551" s="126">
        <v>8.9898743789016908</v>
      </c>
      <c r="N551" s="126">
        <v>6910.1731484231032</v>
      </c>
      <c r="O551" s="126">
        <v>6.4922705273986869</v>
      </c>
      <c r="P551" s="123">
        <f t="shared" si="50"/>
        <v>3639.795425704674</v>
      </c>
      <c r="Q551" s="123">
        <f t="shared" si="51"/>
        <v>2.4976038515030039</v>
      </c>
      <c r="R551" s="123">
        <f t="shared" si="48"/>
        <v>169247.51900390605</v>
      </c>
      <c r="S551" s="123">
        <f t="shared" si="49"/>
        <v>122935.23739955064</v>
      </c>
      <c r="T551" s="123">
        <f t="shared" si="52"/>
        <v>1</v>
      </c>
      <c r="U551" s="123">
        <f t="shared" si="53"/>
        <v>0</v>
      </c>
    </row>
    <row r="552" spans="11:21" x14ac:dyDescent="0.25">
      <c r="K552" s="123" t="s">
        <v>661</v>
      </c>
      <c r="L552" s="126">
        <v>14088.429048336242</v>
      </c>
      <c r="M552" s="126">
        <v>12.794495655015472</v>
      </c>
      <c r="N552" s="126">
        <v>8036.7508955727344</v>
      </c>
      <c r="O552" s="126">
        <v>7.2050708627668358</v>
      </c>
      <c r="P552" s="123">
        <f t="shared" si="50"/>
        <v>6051.6781527635076</v>
      </c>
      <c r="Q552" s="123">
        <f t="shared" si="51"/>
        <v>5.5894247922486366</v>
      </c>
      <c r="R552" s="123">
        <f t="shared" si="48"/>
        <v>241801.48405197321</v>
      </c>
      <c r="S552" s="123">
        <f t="shared" si="49"/>
        <v>136064.66635976397</v>
      </c>
      <c r="T552" s="123">
        <f t="shared" si="52"/>
        <v>1</v>
      </c>
      <c r="U552" s="123">
        <f t="shared" si="53"/>
        <v>0</v>
      </c>
    </row>
    <row r="553" spans="11:21" x14ac:dyDescent="0.25">
      <c r="K553" s="123" t="s">
        <v>662</v>
      </c>
      <c r="L553" s="126">
        <v>5606.6731300228275</v>
      </c>
      <c r="M553" s="126">
        <v>5.4293420546015758</v>
      </c>
      <c r="N553" s="126">
        <v>6479.552639100335</v>
      </c>
      <c r="O553" s="126">
        <v>6.9948098057057964</v>
      </c>
      <c r="P553" s="123">
        <f t="shared" si="50"/>
        <v>-872.87950907750746</v>
      </c>
      <c r="Q553" s="123">
        <f t="shared" si="51"/>
        <v>-1.5654677511042205</v>
      </c>
      <c r="R553" s="123">
        <f t="shared" si="48"/>
        <v>102980.16796200869</v>
      </c>
      <c r="S553" s="123">
        <f t="shared" si="49"/>
        <v>133416.64347501562</v>
      </c>
      <c r="T553" s="123">
        <f t="shared" si="52"/>
        <v>0</v>
      </c>
      <c r="U553" s="123">
        <f t="shared" si="53"/>
        <v>1</v>
      </c>
    </row>
    <row r="554" spans="11:21" x14ac:dyDescent="0.25">
      <c r="K554" s="123" t="s">
        <v>663</v>
      </c>
      <c r="L554" s="126">
        <v>6424.8349295801208</v>
      </c>
      <c r="M554" s="126">
        <v>5.8738065202331855</v>
      </c>
      <c r="N554" s="126">
        <v>6937.4456442206329</v>
      </c>
      <c r="O554" s="126">
        <v>6.7906874201354039</v>
      </c>
      <c r="P554" s="123">
        <f t="shared" si="50"/>
        <v>-512.61071464051201</v>
      </c>
      <c r="Q554" s="123">
        <f t="shared" si="51"/>
        <v>-0.91688089990221844</v>
      </c>
      <c r="R554" s="123">
        <f t="shared" si="48"/>
        <v>111051.29547508359</v>
      </c>
      <c r="S554" s="123">
        <f t="shared" si="49"/>
        <v>128876.30275848744</v>
      </c>
      <c r="T554" s="123">
        <f t="shared" si="52"/>
        <v>0</v>
      </c>
      <c r="U554" s="123">
        <f t="shared" si="53"/>
        <v>1</v>
      </c>
    </row>
    <row r="555" spans="11:21" x14ac:dyDescent="0.25">
      <c r="K555" s="123" t="s">
        <v>664</v>
      </c>
      <c r="L555" s="126">
        <v>5465.6976820778054</v>
      </c>
      <c r="M555" s="126">
        <v>4.7256434103431726</v>
      </c>
      <c r="N555" s="126">
        <v>5965.3462278569159</v>
      </c>
      <c r="O555" s="126">
        <v>5.5367161015187749</v>
      </c>
      <c r="P555" s="123">
        <f t="shared" si="50"/>
        <v>-499.64854577911046</v>
      </c>
      <c r="Q555" s="123">
        <f t="shared" si="51"/>
        <v>-0.81107269117560232</v>
      </c>
      <c r="R555" s="123">
        <f t="shared" si="48"/>
        <v>89047.170524785644</v>
      </c>
      <c r="S555" s="123">
        <f t="shared" si="49"/>
        <v>104768.97580251857</v>
      </c>
      <c r="T555" s="123">
        <f t="shared" si="52"/>
        <v>0</v>
      </c>
      <c r="U555" s="123">
        <f t="shared" si="53"/>
        <v>1</v>
      </c>
    </row>
    <row r="556" spans="11:21" x14ac:dyDescent="0.25">
      <c r="K556" s="123" t="s">
        <v>665</v>
      </c>
      <c r="L556" s="126">
        <v>11472.505655865003</v>
      </c>
      <c r="M556" s="126">
        <v>10.566530197045918</v>
      </c>
      <c r="N556" s="126">
        <v>6592.3060484156276</v>
      </c>
      <c r="O556" s="126">
        <v>6.8889006640008903</v>
      </c>
      <c r="P556" s="123">
        <f t="shared" si="50"/>
        <v>4880.1996074493754</v>
      </c>
      <c r="Q556" s="123">
        <f t="shared" si="51"/>
        <v>3.6776295330450273</v>
      </c>
      <c r="R556" s="123">
        <f t="shared" si="48"/>
        <v>199858.09828505333</v>
      </c>
      <c r="S556" s="123">
        <f t="shared" si="49"/>
        <v>131185.70723160217</v>
      </c>
      <c r="T556" s="123">
        <f t="shared" si="52"/>
        <v>1</v>
      </c>
      <c r="U556" s="123">
        <f t="shared" si="53"/>
        <v>0</v>
      </c>
    </row>
    <row r="557" spans="11:21" x14ac:dyDescent="0.25">
      <c r="K557" s="123" t="s">
        <v>666</v>
      </c>
      <c r="L557" s="126">
        <v>6238.6884801952983</v>
      </c>
      <c r="M557" s="126">
        <v>5.6961451922111781</v>
      </c>
      <c r="N557" s="126">
        <v>5106.9288828013869</v>
      </c>
      <c r="O557" s="126">
        <v>5.2957544051140806</v>
      </c>
      <c r="P557" s="123">
        <f t="shared" si="50"/>
        <v>1131.7595973939115</v>
      </c>
      <c r="Q557" s="123">
        <f t="shared" si="51"/>
        <v>0.40039078709709752</v>
      </c>
      <c r="R557" s="123">
        <f t="shared" si="48"/>
        <v>107684.21536402826</v>
      </c>
      <c r="S557" s="123">
        <f t="shared" si="49"/>
        <v>100808.15921948024</v>
      </c>
      <c r="T557" s="123">
        <f t="shared" si="52"/>
        <v>1</v>
      </c>
      <c r="U557" s="123">
        <f t="shared" si="53"/>
        <v>0</v>
      </c>
    </row>
    <row r="558" spans="11:21" x14ac:dyDescent="0.25">
      <c r="K558" s="123" t="s">
        <v>667</v>
      </c>
      <c r="L558" s="126">
        <v>8825.0569963937378</v>
      </c>
      <c r="M558" s="126">
        <v>6.6689951326670371</v>
      </c>
      <c r="N558" s="126">
        <v>8338.4306374305124</v>
      </c>
      <c r="O558" s="126">
        <v>6.8018611590402944</v>
      </c>
      <c r="P558" s="123">
        <f t="shared" si="50"/>
        <v>486.62635896322536</v>
      </c>
      <c r="Q558" s="123">
        <f t="shared" si="51"/>
        <v>-0.13286602637325728</v>
      </c>
      <c r="R558" s="123">
        <f t="shared" si="48"/>
        <v>124554.845656947</v>
      </c>
      <c r="S558" s="123">
        <f t="shared" si="49"/>
        <v>127698.79254337537</v>
      </c>
      <c r="T558" s="123">
        <f t="shared" si="52"/>
        <v>0</v>
      </c>
      <c r="U558" s="123">
        <f t="shared" si="53"/>
        <v>1</v>
      </c>
    </row>
    <row r="559" spans="11:21" x14ac:dyDescent="0.25">
      <c r="K559" s="123" t="s">
        <v>668</v>
      </c>
      <c r="L559" s="126">
        <v>4734.1862355654248</v>
      </c>
      <c r="M559" s="126">
        <v>5.1264842085895594</v>
      </c>
      <c r="N559" s="126">
        <v>4786.8641292835619</v>
      </c>
      <c r="O559" s="126">
        <v>5.8002308110031988</v>
      </c>
      <c r="P559" s="123">
        <f t="shared" si="50"/>
        <v>-52.677893718137057</v>
      </c>
      <c r="Q559" s="123">
        <f t="shared" si="51"/>
        <v>-0.67374660241363937</v>
      </c>
      <c r="R559" s="123">
        <f t="shared" si="48"/>
        <v>97795.497936225758</v>
      </c>
      <c r="S559" s="123">
        <f t="shared" si="49"/>
        <v>111217.75209078041</v>
      </c>
      <c r="T559" s="123">
        <f t="shared" si="52"/>
        <v>0</v>
      </c>
      <c r="U559" s="123">
        <f t="shared" si="53"/>
        <v>1</v>
      </c>
    </row>
    <row r="560" spans="11:21" x14ac:dyDescent="0.25">
      <c r="K560" s="123" t="s">
        <v>669</v>
      </c>
      <c r="L560" s="126">
        <v>7585.6325637761647</v>
      </c>
      <c r="M560" s="126">
        <v>6.9966943336536129</v>
      </c>
      <c r="N560" s="126">
        <v>7040.2366438416766</v>
      </c>
      <c r="O560" s="126">
        <v>6.7131061082027808</v>
      </c>
      <c r="P560" s="123">
        <f t="shared" si="50"/>
        <v>545.39591993448812</v>
      </c>
      <c r="Q560" s="123">
        <f t="shared" si="51"/>
        <v>0.28358822545083218</v>
      </c>
      <c r="R560" s="123">
        <f t="shared" si="48"/>
        <v>132348.2541092961</v>
      </c>
      <c r="S560" s="123">
        <f t="shared" si="49"/>
        <v>127221.88552021394</v>
      </c>
      <c r="T560" s="123">
        <f t="shared" si="52"/>
        <v>1</v>
      </c>
      <c r="U560" s="123">
        <f t="shared" si="53"/>
        <v>0</v>
      </c>
    </row>
    <row r="561" spans="11:21" x14ac:dyDescent="0.25">
      <c r="K561" s="123" t="s">
        <v>670</v>
      </c>
      <c r="L561" s="126">
        <v>5641.4428141457183</v>
      </c>
      <c r="M561" s="126">
        <v>5.3030798421649363</v>
      </c>
      <c r="N561" s="126">
        <v>8727.9533821164805</v>
      </c>
      <c r="O561" s="126">
        <v>9.7665018369257091</v>
      </c>
      <c r="P561" s="123">
        <f t="shared" si="50"/>
        <v>-3086.5105679707622</v>
      </c>
      <c r="Q561" s="123">
        <f t="shared" si="51"/>
        <v>-4.4634219947607727</v>
      </c>
      <c r="R561" s="123">
        <f t="shared" si="48"/>
        <v>100420.15402915301</v>
      </c>
      <c r="S561" s="123">
        <f t="shared" si="49"/>
        <v>186602.08335639769</v>
      </c>
      <c r="T561" s="123">
        <f t="shared" si="52"/>
        <v>0</v>
      </c>
      <c r="U561" s="123">
        <f t="shared" si="53"/>
        <v>1</v>
      </c>
    </row>
    <row r="562" spans="11:21" x14ac:dyDescent="0.25">
      <c r="K562" s="123" t="s">
        <v>671</v>
      </c>
      <c r="L562" s="126">
        <v>8768.8471989715799</v>
      </c>
      <c r="M562" s="126">
        <v>7.0031589698784975</v>
      </c>
      <c r="N562" s="126">
        <v>7963.8361175309783</v>
      </c>
      <c r="O562" s="126">
        <v>7.5781548308103783</v>
      </c>
      <c r="P562" s="123">
        <f t="shared" si="50"/>
        <v>805.01108144060163</v>
      </c>
      <c r="Q562" s="123">
        <f t="shared" si="51"/>
        <v>-0.57499586093188082</v>
      </c>
      <c r="R562" s="123">
        <f t="shared" si="48"/>
        <v>131294.33219859836</v>
      </c>
      <c r="S562" s="123">
        <f t="shared" si="49"/>
        <v>143599.26049867659</v>
      </c>
      <c r="T562" s="123">
        <f t="shared" si="52"/>
        <v>0</v>
      </c>
      <c r="U562" s="123">
        <f t="shared" si="53"/>
        <v>1</v>
      </c>
    </row>
    <row r="563" spans="11:21" x14ac:dyDescent="0.25">
      <c r="K563" s="123" t="s">
        <v>672</v>
      </c>
      <c r="L563" s="126">
        <v>11586.886957664427</v>
      </c>
      <c r="M563" s="126">
        <v>10.991567165997029</v>
      </c>
      <c r="N563" s="126">
        <v>6787.8776833770517</v>
      </c>
      <c r="O563" s="126">
        <v>7.1468376685073212</v>
      </c>
      <c r="P563" s="123">
        <f t="shared" si="50"/>
        <v>4799.0092742873749</v>
      </c>
      <c r="Q563" s="123">
        <f t="shared" si="51"/>
        <v>3.8447294974897082</v>
      </c>
      <c r="R563" s="123">
        <f t="shared" si="48"/>
        <v>208244.45636227616</v>
      </c>
      <c r="S563" s="123">
        <f t="shared" si="49"/>
        <v>136148.87568676937</v>
      </c>
      <c r="T563" s="123">
        <f t="shared" si="52"/>
        <v>1</v>
      </c>
      <c r="U563" s="123">
        <f t="shared" si="53"/>
        <v>0</v>
      </c>
    </row>
    <row r="564" spans="11:21" x14ac:dyDescent="0.25">
      <c r="K564" s="123" t="s">
        <v>673</v>
      </c>
      <c r="L564" s="126">
        <v>7609.9306167233117</v>
      </c>
      <c r="M564" s="126">
        <v>7.0683184939773653</v>
      </c>
      <c r="N564" s="126">
        <v>6497.8325724264632</v>
      </c>
      <c r="O564" s="126">
        <v>6.2279821984784798</v>
      </c>
      <c r="P564" s="123">
        <f t="shared" si="50"/>
        <v>1112.0980442968485</v>
      </c>
      <c r="Q564" s="123">
        <f t="shared" si="51"/>
        <v>0.84033629549888555</v>
      </c>
      <c r="R564" s="123">
        <f t="shared" si="48"/>
        <v>133756.43926282399</v>
      </c>
      <c r="S564" s="123">
        <f t="shared" si="49"/>
        <v>118061.81139714314</v>
      </c>
      <c r="T564" s="123">
        <f t="shared" si="52"/>
        <v>1</v>
      </c>
      <c r="U564" s="123">
        <f t="shared" si="53"/>
        <v>0</v>
      </c>
    </row>
    <row r="565" spans="11:21" x14ac:dyDescent="0.25">
      <c r="K565" s="123" t="s">
        <v>674</v>
      </c>
      <c r="L565" s="126">
        <v>3868.4122750267506</v>
      </c>
      <c r="M565" s="126">
        <v>3.5792020722939766</v>
      </c>
      <c r="N565" s="126">
        <v>5860.8701517576283</v>
      </c>
      <c r="O565" s="126">
        <v>6.0302230471943119</v>
      </c>
      <c r="P565" s="123">
        <f t="shared" si="50"/>
        <v>-1992.4578767308776</v>
      </c>
      <c r="Q565" s="123">
        <f t="shared" si="51"/>
        <v>-2.4510209749003353</v>
      </c>
      <c r="R565" s="123">
        <f t="shared" si="48"/>
        <v>67715.629170852771</v>
      </c>
      <c r="S565" s="123">
        <f t="shared" si="49"/>
        <v>114743.59079212861</v>
      </c>
      <c r="T565" s="123">
        <f t="shared" si="52"/>
        <v>0</v>
      </c>
      <c r="U565" s="123">
        <f t="shared" si="53"/>
        <v>1</v>
      </c>
    </row>
    <row r="566" spans="11:21" x14ac:dyDescent="0.25">
      <c r="K566" s="123" t="s">
        <v>675</v>
      </c>
      <c r="L566" s="126">
        <v>11038.109568022406</v>
      </c>
      <c r="M566" s="126">
        <v>9.9453072283957393</v>
      </c>
      <c r="N566" s="126">
        <v>4616.3225238847172</v>
      </c>
      <c r="O566" s="126">
        <v>4.3710663218393302</v>
      </c>
      <c r="P566" s="123">
        <f t="shared" si="50"/>
        <v>6421.787044137689</v>
      </c>
      <c r="Q566" s="123">
        <f t="shared" si="51"/>
        <v>5.5742409065564091</v>
      </c>
      <c r="R566" s="123">
        <f t="shared" si="48"/>
        <v>187868.03499989238</v>
      </c>
      <c r="S566" s="123">
        <f t="shared" si="49"/>
        <v>82805.003912901884</v>
      </c>
      <c r="T566" s="123">
        <f t="shared" si="52"/>
        <v>1</v>
      </c>
      <c r="U566" s="123">
        <f t="shared" si="53"/>
        <v>0</v>
      </c>
    </row>
    <row r="567" spans="11:21" x14ac:dyDescent="0.25">
      <c r="K567" s="123" t="s">
        <v>676</v>
      </c>
      <c r="L567" s="126">
        <v>5079.4883950950834</v>
      </c>
      <c r="M567" s="126">
        <v>5.4861240016999089</v>
      </c>
      <c r="N567" s="126">
        <v>5637.6884863529976</v>
      </c>
      <c r="O567" s="126">
        <v>7.1134609358893135</v>
      </c>
      <c r="P567" s="123">
        <f t="shared" si="50"/>
        <v>-558.20009125791421</v>
      </c>
      <c r="Q567" s="123">
        <f t="shared" si="51"/>
        <v>-1.6273369341894046</v>
      </c>
      <c r="R567" s="123">
        <f t="shared" si="48"/>
        <v>104642.99163890308</v>
      </c>
      <c r="S567" s="123">
        <f t="shared" si="49"/>
        <v>136631.53023143328</v>
      </c>
      <c r="T567" s="123">
        <f t="shared" si="52"/>
        <v>0</v>
      </c>
      <c r="U567" s="123">
        <f t="shared" si="53"/>
        <v>1</v>
      </c>
    </row>
    <row r="568" spans="11:21" x14ac:dyDescent="0.25">
      <c r="K568" s="123" t="s">
        <v>677</v>
      </c>
      <c r="L568" s="126">
        <v>7219.8308500966568</v>
      </c>
      <c r="M568" s="126">
        <v>7.1683563755516211</v>
      </c>
      <c r="N568" s="126">
        <v>6544.5342706132387</v>
      </c>
      <c r="O568" s="126">
        <v>7.5062811427621927</v>
      </c>
      <c r="P568" s="123">
        <f t="shared" si="50"/>
        <v>675.2965794834181</v>
      </c>
      <c r="Q568" s="123">
        <f t="shared" si="51"/>
        <v>-0.33792476721057163</v>
      </c>
      <c r="R568" s="123">
        <f t="shared" si="48"/>
        <v>136147.29666093577</v>
      </c>
      <c r="S568" s="123">
        <f t="shared" si="49"/>
        <v>143581.0885846306</v>
      </c>
      <c r="T568" s="123">
        <f t="shared" si="52"/>
        <v>0</v>
      </c>
      <c r="U568" s="123">
        <f t="shared" si="53"/>
        <v>1</v>
      </c>
    </row>
    <row r="569" spans="11:21" x14ac:dyDescent="0.25">
      <c r="K569" s="123" t="s">
        <v>678</v>
      </c>
      <c r="L569" s="126">
        <v>10764.55459679422</v>
      </c>
      <c r="M569" s="126">
        <v>10.408354483990253</v>
      </c>
      <c r="N569" s="126">
        <v>6954.2600886266828</v>
      </c>
      <c r="O569" s="126">
        <v>7.2955965462084347</v>
      </c>
      <c r="P569" s="123">
        <f t="shared" si="50"/>
        <v>3810.2945081675371</v>
      </c>
      <c r="Q569" s="123">
        <f t="shared" si="51"/>
        <v>3.1127579377818186</v>
      </c>
      <c r="R569" s="123">
        <f t="shared" si="48"/>
        <v>197402.53508301085</v>
      </c>
      <c r="S569" s="123">
        <f t="shared" si="49"/>
        <v>138957.67083554203</v>
      </c>
      <c r="T569" s="123">
        <f t="shared" si="52"/>
        <v>1</v>
      </c>
      <c r="U569" s="123">
        <f t="shared" si="53"/>
        <v>0</v>
      </c>
    </row>
    <row r="570" spans="11:21" x14ac:dyDescent="0.25">
      <c r="K570" s="123" t="s">
        <v>679</v>
      </c>
      <c r="L570" s="126">
        <v>6774.6382790754305</v>
      </c>
      <c r="M570" s="126">
        <v>6.3186412490042088</v>
      </c>
      <c r="N570" s="126">
        <v>9146.9433850762962</v>
      </c>
      <c r="O570" s="126">
        <v>9.7297349809590958</v>
      </c>
      <c r="P570" s="123">
        <f t="shared" si="50"/>
        <v>-2372.3051060008656</v>
      </c>
      <c r="Q570" s="123">
        <f t="shared" si="51"/>
        <v>-3.4110937319548871</v>
      </c>
      <c r="R570" s="123">
        <f t="shared" si="48"/>
        <v>119598.18670100874</v>
      </c>
      <c r="S570" s="123">
        <f t="shared" si="49"/>
        <v>185447.75623410562</v>
      </c>
      <c r="T570" s="123">
        <f t="shared" si="52"/>
        <v>0</v>
      </c>
      <c r="U570" s="123">
        <f t="shared" si="53"/>
        <v>1</v>
      </c>
    </row>
    <row r="571" spans="11:21" x14ac:dyDescent="0.25">
      <c r="K571" s="123" t="s">
        <v>680</v>
      </c>
      <c r="L571" s="126">
        <v>8558.9595244344837</v>
      </c>
      <c r="M571" s="126">
        <v>8.9535811102905498</v>
      </c>
      <c r="N571" s="126">
        <v>5321.8300868619335</v>
      </c>
      <c r="O571" s="126">
        <v>6.2398773217429442</v>
      </c>
      <c r="P571" s="123">
        <f t="shared" si="50"/>
        <v>3237.1294375725502</v>
      </c>
      <c r="Q571" s="123">
        <f t="shared" si="51"/>
        <v>2.7137037885476056</v>
      </c>
      <c r="R571" s="123">
        <f t="shared" si="48"/>
        <v>170512.6626813765</v>
      </c>
      <c r="S571" s="123">
        <f t="shared" si="49"/>
        <v>119475.71634799696</v>
      </c>
      <c r="T571" s="123">
        <f t="shared" si="52"/>
        <v>1</v>
      </c>
      <c r="U571" s="123">
        <f t="shared" si="53"/>
        <v>0</v>
      </c>
    </row>
    <row r="572" spans="11:21" x14ac:dyDescent="0.25">
      <c r="K572" s="123" t="s">
        <v>681</v>
      </c>
      <c r="L572" s="126">
        <v>7900.8330994230628</v>
      </c>
      <c r="M572" s="126">
        <v>7.0486731608073807</v>
      </c>
      <c r="N572" s="126">
        <v>6544.2672600046299</v>
      </c>
      <c r="O572" s="126">
        <v>6.2578282124516313</v>
      </c>
      <c r="P572" s="123">
        <f t="shared" si="50"/>
        <v>1356.5658394184329</v>
      </c>
      <c r="Q572" s="123">
        <f t="shared" si="51"/>
        <v>0.79084494835574937</v>
      </c>
      <c r="R572" s="123">
        <f t="shared" si="48"/>
        <v>133072.63011672455</v>
      </c>
      <c r="S572" s="123">
        <f t="shared" si="49"/>
        <v>118612.29698902799</v>
      </c>
      <c r="T572" s="123">
        <f t="shared" si="52"/>
        <v>1</v>
      </c>
      <c r="U572" s="123">
        <f t="shared" si="53"/>
        <v>0</v>
      </c>
    </row>
    <row r="573" spans="11:21" x14ac:dyDescent="0.25">
      <c r="K573" s="123" t="s">
        <v>682</v>
      </c>
      <c r="L573" s="126">
        <v>6369.7049740054299</v>
      </c>
      <c r="M573" s="126">
        <v>6.5263816428953971</v>
      </c>
      <c r="N573" s="126">
        <v>4889.0377226763621</v>
      </c>
      <c r="O573" s="126">
        <v>5.5253524256785029</v>
      </c>
      <c r="P573" s="123">
        <f t="shared" si="50"/>
        <v>1480.6672513290678</v>
      </c>
      <c r="Q573" s="123">
        <f t="shared" si="51"/>
        <v>1.0010292172168942</v>
      </c>
      <c r="R573" s="123">
        <f t="shared" si="48"/>
        <v>124157.92788390251</v>
      </c>
      <c r="S573" s="123">
        <f t="shared" si="49"/>
        <v>105618.01079089369</v>
      </c>
      <c r="T573" s="123">
        <f t="shared" si="52"/>
        <v>1</v>
      </c>
      <c r="U573" s="123">
        <f t="shared" si="53"/>
        <v>0</v>
      </c>
    </row>
    <row r="574" spans="11:21" x14ac:dyDescent="0.25">
      <c r="K574" s="123" t="s">
        <v>683</v>
      </c>
      <c r="L574" s="126">
        <v>8941.2056252024049</v>
      </c>
      <c r="M574" s="126">
        <v>8.9582025251476693</v>
      </c>
      <c r="N574" s="126">
        <v>5345.5393883670968</v>
      </c>
      <c r="O574" s="126">
        <v>6.1288345838040428</v>
      </c>
      <c r="P574" s="123">
        <f t="shared" si="50"/>
        <v>3595.6662368353082</v>
      </c>
      <c r="Q574" s="123">
        <f t="shared" si="51"/>
        <v>2.8293679413436266</v>
      </c>
      <c r="R574" s="123">
        <f t="shared" si="48"/>
        <v>170222.84487775096</v>
      </c>
      <c r="S574" s="123">
        <f t="shared" si="49"/>
        <v>117231.15228771376</v>
      </c>
      <c r="T574" s="123">
        <f t="shared" si="52"/>
        <v>1</v>
      </c>
      <c r="U574" s="123">
        <f t="shared" si="53"/>
        <v>0</v>
      </c>
    </row>
    <row r="575" spans="11:21" x14ac:dyDescent="0.25">
      <c r="K575" s="123" t="s">
        <v>684</v>
      </c>
      <c r="L575" s="126">
        <v>8666.7680506748984</v>
      </c>
      <c r="M575" s="126">
        <v>8.7459448683212351</v>
      </c>
      <c r="N575" s="126">
        <v>5291.1815608678216</v>
      </c>
      <c r="O575" s="126">
        <v>5.540611107699374</v>
      </c>
      <c r="P575" s="123">
        <f t="shared" si="50"/>
        <v>3375.5864898070768</v>
      </c>
      <c r="Q575" s="123">
        <f t="shared" si="51"/>
        <v>3.205333760621861</v>
      </c>
      <c r="R575" s="123">
        <f t="shared" si="48"/>
        <v>166252.1293157498</v>
      </c>
      <c r="S575" s="123">
        <f t="shared" si="49"/>
        <v>105521.04059311966</v>
      </c>
      <c r="T575" s="123">
        <f t="shared" si="52"/>
        <v>1</v>
      </c>
      <c r="U575" s="123">
        <f t="shared" si="53"/>
        <v>0</v>
      </c>
    </row>
    <row r="576" spans="11:21" x14ac:dyDescent="0.25">
      <c r="K576" s="123" t="s">
        <v>685</v>
      </c>
      <c r="L576" s="126">
        <v>11142.313762648104</v>
      </c>
      <c r="M576" s="126">
        <v>12.594467664672422</v>
      </c>
      <c r="N576" s="126">
        <v>4044.1375673356461</v>
      </c>
      <c r="O576" s="126">
        <v>4.7618967744733807</v>
      </c>
      <c r="P576" s="123">
        <f t="shared" si="50"/>
        <v>7098.1761953124578</v>
      </c>
      <c r="Q576" s="123">
        <f t="shared" si="51"/>
        <v>7.8325708901990412</v>
      </c>
      <c r="R576" s="123">
        <f t="shared" si="48"/>
        <v>240747.03953080031</v>
      </c>
      <c r="S576" s="123">
        <f t="shared" si="49"/>
        <v>91193.797922131955</v>
      </c>
      <c r="T576" s="123">
        <f t="shared" si="52"/>
        <v>1</v>
      </c>
      <c r="U576" s="123">
        <f t="shared" si="53"/>
        <v>0</v>
      </c>
    </row>
    <row r="577" spans="11:21" x14ac:dyDescent="0.25">
      <c r="K577" s="123" t="s">
        <v>686</v>
      </c>
      <c r="L577" s="126">
        <v>9512.3588895516223</v>
      </c>
      <c r="M577" s="126">
        <v>7.5212432406141314</v>
      </c>
      <c r="N577" s="126">
        <v>6644.1227042754181</v>
      </c>
      <c r="O577" s="126">
        <v>5.6001220250509389</v>
      </c>
      <c r="P577" s="123">
        <f t="shared" si="50"/>
        <v>2868.2361852762042</v>
      </c>
      <c r="Q577" s="123">
        <f t="shared" si="51"/>
        <v>1.9211212155631925</v>
      </c>
      <c r="R577" s="123">
        <f t="shared" si="48"/>
        <v>140912.50592273101</v>
      </c>
      <c r="S577" s="123">
        <f t="shared" si="49"/>
        <v>105358.31779674336</v>
      </c>
      <c r="T577" s="123">
        <f t="shared" si="52"/>
        <v>1</v>
      </c>
      <c r="U577" s="123">
        <f t="shared" si="53"/>
        <v>0</v>
      </c>
    </row>
    <row r="578" spans="11:21" x14ac:dyDescent="0.25">
      <c r="K578" s="123" t="s">
        <v>687</v>
      </c>
      <c r="L578" s="126">
        <v>11250.018298131581</v>
      </c>
      <c r="M578" s="126">
        <v>11.30811511143531</v>
      </c>
      <c r="N578" s="126">
        <v>8188.8930778484946</v>
      </c>
      <c r="O578" s="126">
        <v>8.6713259251543668</v>
      </c>
      <c r="P578" s="123">
        <f t="shared" si="50"/>
        <v>3061.1252202830865</v>
      </c>
      <c r="Q578" s="123">
        <f t="shared" si="51"/>
        <v>2.6367891862809429</v>
      </c>
      <c r="R578" s="123">
        <f t="shared" si="48"/>
        <v>214912.2839305746</v>
      </c>
      <c r="S578" s="123">
        <f t="shared" si="49"/>
        <v>165237.62542523883</v>
      </c>
      <c r="T578" s="123">
        <f t="shared" si="52"/>
        <v>1</v>
      </c>
      <c r="U578" s="123">
        <f t="shared" si="53"/>
        <v>0</v>
      </c>
    </row>
    <row r="579" spans="11:21" x14ac:dyDescent="0.25">
      <c r="K579" s="123" t="s">
        <v>688</v>
      </c>
      <c r="L579" s="126">
        <v>8684.2004609498545</v>
      </c>
      <c r="M579" s="126">
        <v>7.9165101426688951</v>
      </c>
      <c r="N579" s="126">
        <v>6710.8670189494478</v>
      </c>
      <c r="O579" s="126">
        <v>6.4134521966817637</v>
      </c>
      <c r="P579" s="123">
        <f t="shared" si="50"/>
        <v>1973.3334420004066</v>
      </c>
      <c r="Q579" s="123">
        <f t="shared" si="51"/>
        <v>1.5030579459871314</v>
      </c>
      <c r="R579" s="123">
        <f t="shared" si="48"/>
        <v>149646.00239242805</v>
      </c>
      <c r="S579" s="123">
        <f t="shared" si="49"/>
        <v>121558.17691468583</v>
      </c>
      <c r="T579" s="123">
        <f t="shared" si="52"/>
        <v>1</v>
      </c>
      <c r="U579" s="123">
        <f t="shared" si="53"/>
        <v>0</v>
      </c>
    </row>
    <row r="580" spans="11:21" x14ac:dyDescent="0.25">
      <c r="K580" s="123" t="s">
        <v>689</v>
      </c>
      <c r="L580" s="126">
        <v>9482.3613594421877</v>
      </c>
      <c r="M580" s="126">
        <v>8.0963602588634576</v>
      </c>
      <c r="N580" s="126">
        <v>9326.0738600978675</v>
      </c>
      <c r="O580" s="126">
        <v>8.4126058212592785</v>
      </c>
      <c r="P580" s="123">
        <f t="shared" si="50"/>
        <v>156.28749934432017</v>
      </c>
      <c r="Q580" s="123">
        <f t="shared" si="51"/>
        <v>-0.31624556239582091</v>
      </c>
      <c r="R580" s="123">
        <f t="shared" si="48"/>
        <v>152444.84381782697</v>
      </c>
      <c r="S580" s="123">
        <f t="shared" si="49"/>
        <v>158926.0425650877</v>
      </c>
      <c r="T580" s="123">
        <f t="shared" si="52"/>
        <v>0</v>
      </c>
      <c r="U580" s="123">
        <f t="shared" si="53"/>
        <v>1</v>
      </c>
    </row>
    <row r="581" spans="11:21" x14ac:dyDescent="0.25">
      <c r="K581" s="123" t="s">
        <v>690</v>
      </c>
      <c r="L581" s="126">
        <v>7207.6975816864442</v>
      </c>
      <c r="M581" s="126">
        <v>7.0036346009146175</v>
      </c>
      <c r="N581" s="126">
        <v>7686.6568997739887</v>
      </c>
      <c r="O581" s="126">
        <v>8.1850848765223194</v>
      </c>
      <c r="P581" s="123">
        <f t="shared" si="50"/>
        <v>-478.95931808754449</v>
      </c>
      <c r="Q581" s="123">
        <f t="shared" si="51"/>
        <v>-1.1814502756077019</v>
      </c>
      <c r="R581" s="123">
        <f t="shared" si="48"/>
        <v>132864.99443660589</v>
      </c>
      <c r="S581" s="123">
        <f t="shared" si="49"/>
        <v>156015.04063067242</v>
      </c>
      <c r="T581" s="123">
        <f t="shared" si="52"/>
        <v>0</v>
      </c>
      <c r="U581" s="123">
        <f t="shared" si="53"/>
        <v>1</v>
      </c>
    </row>
    <row r="582" spans="11:21" x14ac:dyDescent="0.25">
      <c r="K582" s="123" t="s">
        <v>691</v>
      </c>
      <c r="L582" s="126">
        <v>6700.5487985583623</v>
      </c>
      <c r="M582" s="126">
        <v>6.1307699283895065</v>
      </c>
      <c r="N582" s="126">
        <v>7903.4005167596415</v>
      </c>
      <c r="O582" s="126">
        <v>7.9212129991616207</v>
      </c>
      <c r="P582" s="123">
        <f t="shared" si="50"/>
        <v>-1202.8517182012793</v>
      </c>
      <c r="Q582" s="123">
        <f t="shared" si="51"/>
        <v>-1.7904430707721142</v>
      </c>
      <c r="R582" s="123">
        <f t="shared" si="48"/>
        <v>115914.84976923178</v>
      </c>
      <c r="S582" s="123">
        <f t="shared" si="49"/>
        <v>150520.85946647279</v>
      </c>
      <c r="T582" s="123">
        <f t="shared" si="52"/>
        <v>0</v>
      </c>
      <c r="U582" s="123">
        <f t="shared" si="53"/>
        <v>1</v>
      </c>
    </row>
    <row r="583" spans="11:21" x14ac:dyDescent="0.25">
      <c r="K583" s="123" t="s">
        <v>692</v>
      </c>
      <c r="L583" s="126">
        <v>13492.117474317334</v>
      </c>
      <c r="M583" s="126">
        <v>11.16455348873847</v>
      </c>
      <c r="N583" s="126">
        <v>7678.428261507348</v>
      </c>
      <c r="O583" s="126">
        <v>6.4712182221138015</v>
      </c>
      <c r="P583" s="123">
        <f t="shared" si="50"/>
        <v>5813.6892128099862</v>
      </c>
      <c r="Q583" s="123">
        <f t="shared" si="51"/>
        <v>4.6933352666246684</v>
      </c>
      <c r="R583" s="123">
        <f t="shared" si="48"/>
        <v>209798.95230045205</v>
      </c>
      <c r="S583" s="123">
        <f t="shared" si="49"/>
        <v>121745.93618076868</v>
      </c>
      <c r="T583" s="123">
        <f t="shared" si="52"/>
        <v>1</v>
      </c>
      <c r="U583" s="123">
        <f t="shared" si="53"/>
        <v>0</v>
      </c>
    </row>
    <row r="584" spans="11:21" x14ac:dyDescent="0.25">
      <c r="K584" s="123" t="s">
        <v>693</v>
      </c>
      <c r="L584" s="126">
        <v>9373.0087427683484</v>
      </c>
      <c r="M584" s="126">
        <v>8.37367035897576</v>
      </c>
      <c r="N584" s="126">
        <v>9738.6869809888085</v>
      </c>
      <c r="O584" s="126">
        <v>9.3944698940400269</v>
      </c>
      <c r="P584" s="123">
        <f t="shared" si="50"/>
        <v>-365.67823822046012</v>
      </c>
      <c r="Q584" s="123">
        <f t="shared" si="51"/>
        <v>-1.0207995350642669</v>
      </c>
      <c r="R584" s="123">
        <f t="shared" si="48"/>
        <v>158100.39843674685</v>
      </c>
      <c r="S584" s="123">
        <f t="shared" si="49"/>
        <v>178150.71089981173</v>
      </c>
      <c r="T584" s="123">
        <f t="shared" si="52"/>
        <v>0</v>
      </c>
      <c r="U584" s="123">
        <f t="shared" si="53"/>
        <v>1</v>
      </c>
    </row>
    <row r="585" spans="11:21" x14ac:dyDescent="0.25">
      <c r="K585" s="123" t="s">
        <v>694</v>
      </c>
      <c r="L585" s="126">
        <v>8305.004844926545</v>
      </c>
      <c r="M585" s="126">
        <v>8.1607417747853646</v>
      </c>
      <c r="N585" s="126">
        <v>6934.534204599734</v>
      </c>
      <c r="O585" s="126">
        <v>7.792903587125557</v>
      </c>
      <c r="P585" s="123">
        <f t="shared" si="50"/>
        <v>1370.470640326811</v>
      </c>
      <c r="Q585" s="123">
        <f t="shared" si="51"/>
        <v>0.36783818765980758</v>
      </c>
      <c r="R585" s="123">
        <f t="shared" si="48"/>
        <v>154909.83065078076</v>
      </c>
      <c r="S585" s="123">
        <f t="shared" si="49"/>
        <v>148923.53753791141</v>
      </c>
      <c r="T585" s="123">
        <f t="shared" si="52"/>
        <v>1</v>
      </c>
      <c r="U585" s="123">
        <f t="shared" si="53"/>
        <v>0</v>
      </c>
    </row>
    <row r="586" spans="11:21" x14ac:dyDescent="0.25">
      <c r="K586" s="123" t="s">
        <v>695</v>
      </c>
      <c r="L586" s="126">
        <v>7493.9720408946714</v>
      </c>
      <c r="M586" s="126">
        <v>6.9876499112989601</v>
      </c>
      <c r="N586" s="126">
        <v>6840.3040284127428</v>
      </c>
      <c r="O586" s="126">
        <v>7.3748892654959546</v>
      </c>
      <c r="P586" s="123">
        <f t="shared" si="50"/>
        <v>653.6680124819286</v>
      </c>
      <c r="Q586" s="123">
        <f t="shared" si="51"/>
        <v>-0.38723935419699451</v>
      </c>
      <c r="R586" s="123">
        <f t="shared" si="48"/>
        <v>132259.02618508454</v>
      </c>
      <c r="S586" s="123">
        <f t="shared" si="49"/>
        <v>140657.48128150636</v>
      </c>
      <c r="T586" s="123">
        <f t="shared" si="52"/>
        <v>0</v>
      </c>
      <c r="U586" s="123">
        <f t="shared" si="53"/>
        <v>1</v>
      </c>
    </row>
    <row r="587" spans="11:21" x14ac:dyDescent="0.25">
      <c r="K587" s="123" t="s">
        <v>696</v>
      </c>
      <c r="L587" s="126">
        <v>8218.8816770299454</v>
      </c>
      <c r="M587" s="126">
        <v>7.4278444875338376</v>
      </c>
      <c r="N587" s="126">
        <v>8481.5973240538042</v>
      </c>
      <c r="O587" s="126">
        <v>8.8086271619171281</v>
      </c>
      <c r="P587" s="123">
        <f t="shared" si="50"/>
        <v>-262.71564702385876</v>
      </c>
      <c r="Q587" s="123">
        <f t="shared" si="51"/>
        <v>-1.3807826743832905</v>
      </c>
      <c r="R587" s="123">
        <f t="shared" si="48"/>
        <v>140338.00807364681</v>
      </c>
      <c r="S587" s="123">
        <f t="shared" si="49"/>
        <v>167690.94591428875</v>
      </c>
      <c r="T587" s="123">
        <f t="shared" si="52"/>
        <v>0</v>
      </c>
      <c r="U587" s="123">
        <f t="shared" si="53"/>
        <v>1</v>
      </c>
    </row>
    <row r="588" spans="11:21" x14ac:dyDescent="0.25">
      <c r="K588" s="123" t="s">
        <v>697</v>
      </c>
      <c r="L588" s="126">
        <v>10089.399002842805</v>
      </c>
      <c r="M588" s="126">
        <v>8.7670919284621327</v>
      </c>
      <c r="N588" s="126">
        <v>5753.4537232122448</v>
      </c>
      <c r="O588" s="126">
        <v>5.3596425357608739</v>
      </c>
      <c r="P588" s="123">
        <f t="shared" si="50"/>
        <v>4335.9452796305604</v>
      </c>
      <c r="Q588" s="123">
        <f t="shared" si="51"/>
        <v>3.4074493927012588</v>
      </c>
      <c r="R588" s="123">
        <f t="shared" si="48"/>
        <v>165252.43956639984</v>
      </c>
      <c r="S588" s="123">
        <f t="shared" si="49"/>
        <v>101439.39699200523</v>
      </c>
      <c r="T588" s="123">
        <f t="shared" si="52"/>
        <v>1</v>
      </c>
      <c r="U588" s="123">
        <f t="shared" si="53"/>
        <v>0</v>
      </c>
    </row>
    <row r="589" spans="11:21" x14ac:dyDescent="0.25">
      <c r="K589" s="123" t="s">
        <v>698</v>
      </c>
      <c r="L589" s="126">
        <v>6476.0052743547276</v>
      </c>
      <c r="M589" s="126">
        <v>5.9463644412304344</v>
      </c>
      <c r="N589" s="126">
        <v>7497.796876413664</v>
      </c>
      <c r="O589" s="126">
        <v>8.5331171011908236</v>
      </c>
      <c r="P589" s="123">
        <f t="shared" si="50"/>
        <v>-1021.7916020589364</v>
      </c>
      <c r="Q589" s="123">
        <f t="shared" si="51"/>
        <v>-2.5867526599603892</v>
      </c>
      <c r="R589" s="123">
        <f t="shared" si="48"/>
        <v>112451.28355025397</v>
      </c>
      <c r="S589" s="123">
        <f t="shared" si="49"/>
        <v>163164.54514740282</v>
      </c>
      <c r="T589" s="123">
        <f t="shared" si="52"/>
        <v>0</v>
      </c>
      <c r="U589" s="123">
        <f t="shared" si="53"/>
        <v>1</v>
      </c>
    </row>
    <row r="590" spans="11:21" x14ac:dyDescent="0.25">
      <c r="K590" s="123" t="s">
        <v>699</v>
      </c>
      <c r="L590" s="126">
        <v>10148.509384888177</v>
      </c>
      <c r="M590" s="126">
        <v>8.5740010608130497</v>
      </c>
      <c r="N590" s="126">
        <v>6080.5444751528721</v>
      </c>
      <c r="O590" s="126">
        <v>5.7334381253483642</v>
      </c>
      <c r="P590" s="123">
        <f t="shared" si="50"/>
        <v>4067.9649097353049</v>
      </c>
      <c r="Q590" s="123">
        <f t="shared" si="51"/>
        <v>2.8405629354646855</v>
      </c>
      <c r="R590" s="123">
        <f t="shared" si="48"/>
        <v>161331.51183137283</v>
      </c>
      <c r="S590" s="123">
        <f t="shared" si="49"/>
        <v>108588.21803181441</v>
      </c>
      <c r="T590" s="123">
        <f t="shared" si="52"/>
        <v>1</v>
      </c>
      <c r="U590" s="123">
        <f t="shared" si="53"/>
        <v>0</v>
      </c>
    </row>
    <row r="591" spans="11:21" x14ac:dyDescent="0.25">
      <c r="K591" s="123" t="s">
        <v>700</v>
      </c>
      <c r="L591" s="126">
        <v>6628.5558957934245</v>
      </c>
      <c r="M591" s="126">
        <v>7.4730625608930463</v>
      </c>
      <c r="N591" s="126">
        <v>6292.6522290811745</v>
      </c>
      <c r="O591" s="126">
        <v>7.4876831433511297</v>
      </c>
      <c r="P591" s="123">
        <f t="shared" si="50"/>
        <v>335.90366671225001</v>
      </c>
      <c r="Q591" s="123">
        <f t="shared" si="51"/>
        <v>-1.4620582458083398E-2</v>
      </c>
      <c r="R591" s="123">
        <f t="shared" si="48"/>
        <v>142832.69532206751</v>
      </c>
      <c r="S591" s="123">
        <f t="shared" si="49"/>
        <v>143461.01063794142</v>
      </c>
      <c r="T591" s="123">
        <f t="shared" si="52"/>
        <v>0</v>
      </c>
      <c r="U591" s="123">
        <f t="shared" si="53"/>
        <v>1</v>
      </c>
    </row>
    <row r="592" spans="11:21" x14ac:dyDescent="0.25">
      <c r="K592" s="123" t="s">
        <v>701</v>
      </c>
      <c r="L592" s="126">
        <v>8296.8232489420734</v>
      </c>
      <c r="M592" s="126">
        <v>6.5044868182930138</v>
      </c>
      <c r="N592" s="126">
        <v>7918.7490456796431</v>
      </c>
      <c r="O592" s="126">
        <v>6.5022219644216319</v>
      </c>
      <c r="P592" s="123">
        <f t="shared" si="50"/>
        <v>378.07420326243027</v>
      </c>
      <c r="Q592" s="123">
        <f t="shared" si="51"/>
        <v>2.2648538713818667E-3</v>
      </c>
      <c r="R592" s="123">
        <f t="shared" si="48"/>
        <v>121792.91311691819</v>
      </c>
      <c r="S592" s="123">
        <f t="shared" si="49"/>
        <v>122125.690242753</v>
      </c>
      <c r="T592" s="123">
        <f t="shared" si="52"/>
        <v>0</v>
      </c>
      <c r="U592" s="123">
        <f t="shared" si="53"/>
        <v>1</v>
      </c>
    </row>
    <row r="593" spans="11:21" x14ac:dyDescent="0.25">
      <c r="K593" s="123" t="s">
        <v>702</v>
      </c>
      <c r="L593" s="126">
        <v>7767.7979215624646</v>
      </c>
      <c r="M593" s="126">
        <v>6.0478904928292021</v>
      </c>
      <c r="N593" s="126">
        <v>7628.7014814746517</v>
      </c>
      <c r="O593" s="126">
        <v>6.4422405506831968</v>
      </c>
      <c r="P593" s="123">
        <f t="shared" si="50"/>
        <v>139.09644008781288</v>
      </c>
      <c r="Q593" s="123">
        <f t="shared" si="51"/>
        <v>-0.39435005785399468</v>
      </c>
      <c r="R593" s="123">
        <f t="shared" ref="R593:R656" si="54">M593*willingness_to_pay-L593</f>
        <v>113190.01193502158</v>
      </c>
      <c r="S593" s="123">
        <f t="shared" ref="S593:S656" si="55">O593*willingness_to_pay-N593</f>
        <v>121216.10953218928</v>
      </c>
      <c r="T593" s="123">
        <f t="shared" si="52"/>
        <v>0</v>
      </c>
      <c r="U593" s="123">
        <f t="shared" si="53"/>
        <v>1</v>
      </c>
    </row>
    <row r="594" spans="11:21" x14ac:dyDescent="0.25">
      <c r="K594" s="123" t="s">
        <v>703</v>
      </c>
      <c r="L594" s="126">
        <v>7502.6748013392871</v>
      </c>
      <c r="M594" s="126">
        <v>6.8056401005887475</v>
      </c>
      <c r="N594" s="126">
        <v>6551.4321314710269</v>
      </c>
      <c r="O594" s="126">
        <v>6.0083294237246934</v>
      </c>
      <c r="P594" s="123">
        <f t="shared" ref="P594:P657" si="56">L594-N594</f>
        <v>951.24266986826024</v>
      </c>
      <c r="Q594" s="123">
        <f t="shared" ref="Q594:Q657" si="57">M594-O594</f>
        <v>0.7973106768640541</v>
      </c>
      <c r="R594" s="123">
        <f t="shared" si="54"/>
        <v>128610.12721043565</v>
      </c>
      <c r="S594" s="123">
        <f t="shared" si="55"/>
        <v>113615.15634302284</v>
      </c>
      <c r="T594" s="123">
        <f t="shared" ref="T594:T657" si="58">IF(L594="", "",IF(R594=MAX(R594:S594),1,0))</f>
        <v>1</v>
      </c>
      <c r="U594" s="123">
        <f t="shared" ref="U594:U657" si="59">IF(N594="", "", IF(S594=MAX(R594:S594),1,0))</f>
        <v>0</v>
      </c>
    </row>
    <row r="595" spans="11:21" x14ac:dyDescent="0.25">
      <c r="K595" s="123" t="s">
        <v>704</v>
      </c>
      <c r="L595" s="126">
        <v>9897.9159903755117</v>
      </c>
      <c r="M595" s="126">
        <v>8.279053331146379</v>
      </c>
      <c r="N595" s="126">
        <v>5813.2290571018748</v>
      </c>
      <c r="O595" s="126">
        <v>5.6080518523354606</v>
      </c>
      <c r="P595" s="123">
        <f t="shared" si="56"/>
        <v>4084.6869332736369</v>
      </c>
      <c r="Q595" s="123">
        <f t="shared" si="57"/>
        <v>2.6710014788109184</v>
      </c>
      <c r="R595" s="123">
        <f t="shared" si="54"/>
        <v>155683.15063255207</v>
      </c>
      <c r="S595" s="123">
        <f t="shared" si="55"/>
        <v>106347.80798960733</v>
      </c>
      <c r="T595" s="123">
        <f t="shared" si="58"/>
        <v>1</v>
      </c>
      <c r="U595" s="123">
        <f t="shared" si="59"/>
        <v>0</v>
      </c>
    </row>
    <row r="596" spans="11:21" x14ac:dyDescent="0.25">
      <c r="K596" s="123" t="s">
        <v>705</v>
      </c>
      <c r="L596" s="126">
        <v>9203.1301732083848</v>
      </c>
      <c r="M596" s="126">
        <v>7.468274785810693</v>
      </c>
      <c r="N596" s="126">
        <v>7927.0813987791198</v>
      </c>
      <c r="O596" s="126">
        <v>6.642317706031851</v>
      </c>
      <c r="P596" s="123">
        <f t="shared" si="56"/>
        <v>1276.048774429265</v>
      </c>
      <c r="Q596" s="123">
        <f t="shared" si="57"/>
        <v>0.82595707977884203</v>
      </c>
      <c r="R596" s="123">
        <f t="shared" si="54"/>
        <v>140162.36554300546</v>
      </c>
      <c r="S596" s="123">
        <f t="shared" si="55"/>
        <v>124919.27272185791</v>
      </c>
      <c r="T596" s="123">
        <f t="shared" si="58"/>
        <v>1</v>
      </c>
      <c r="U596" s="123">
        <f t="shared" si="59"/>
        <v>0</v>
      </c>
    </row>
    <row r="597" spans="11:21" x14ac:dyDescent="0.25">
      <c r="K597" s="123" t="s">
        <v>706</v>
      </c>
      <c r="L597" s="126">
        <v>7317.8094609221334</v>
      </c>
      <c r="M597" s="126">
        <v>6.3957409756054169</v>
      </c>
      <c r="N597" s="126">
        <v>5569.0022142485868</v>
      </c>
      <c r="O597" s="126">
        <v>5.144929907943804</v>
      </c>
      <c r="P597" s="123">
        <f t="shared" si="56"/>
        <v>1748.8072466735466</v>
      </c>
      <c r="Q597" s="123">
        <f t="shared" si="57"/>
        <v>1.2508110676616129</v>
      </c>
      <c r="R597" s="123">
        <f t="shared" si="54"/>
        <v>120597.01005118621</v>
      </c>
      <c r="S597" s="123">
        <f t="shared" si="55"/>
        <v>97329.595944627494</v>
      </c>
      <c r="T597" s="123">
        <f t="shared" si="58"/>
        <v>1</v>
      </c>
      <c r="U597" s="123">
        <f t="shared" si="59"/>
        <v>0</v>
      </c>
    </row>
    <row r="598" spans="11:21" x14ac:dyDescent="0.25">
      <c r="K598" s="123" t="s">
        <v>707</v>
      </c>
      <c r="L598" s="126">
        <v>9518.675642210259</v>
      </c>
      <c r="M598" s="126">
        <v>9.3285455599603448</v>
      </c>
      <c r="N598" s="126">
        <v>4940.6201635544094</v>
      </c>
      <c r="O598" s="126">
        <v>5.28983455422396</v>
      </c>
      <c r="P598" s="123">
        <f t="shared" si="56"/>
        <v>4578.0554786558496</v>
      </c>
      <c r="Q598" s="123">
        <f t="shared" si="57"/>
        <v>4.0387110057363849</v>
      </c>
      <c r="R598" s="123">
        <f t="shared" si="54"/>
        <v>177052.23555699663</v>
      </c>
      <c r="S598" s="123">
        <f t="shared" si="55"/>
        <v>100856.07092092479</v>
      </c>
      <c r="T598" s="123">
        <f t="shared" si="58"/>
        <v>1</v>
      </c>
      <c r="U598" s="123">
        <f t="shared" si="59"/>
        <v>0</v>
      </c>
    </row>
    <row r="599" spans="11:21" x14ac:dyDescent="0.25">
      <c r="K599" s="123" t="s">
        <v>708</v>
      </c>
      <c r="L599" s="126">
        <v>11249.651607514588</v>
      </c>
      <c r="M599" s="126">
        <v>10.109946246776316</v>
      </c>
      <c r="N599" s="126">
        <v>6265.88901605105</v>
      </c>
      <c r="O599" s="126">
        <v>5.6200827587875892</v>
      </c>
      <c r="P599" s="123">
        <f t="shared" si="56"/>
        <v>4983.7625914635382</v>
      </c>
      <c r="Q599" s="123">
        <f t="shared" si="57"/>
        <v>4.4898634879887265</v>
      </c>
      <c r="R599" s="123">
        <f t="shared" si="54"/>
        <v>190949.27332801171</v>
      </c>
      <c r="S599" s="123">
        <f t="shared" si="55"/>
        <v>106135.76615970074</v>
      </c>
      <c r="T599" s="123">
        <f t="shared" si="58"/>
        <v>1</v>
      </c>
      <c r="U599" s="123">
        <f t="shared" si="59"/>
        <v>0</v>
      </c>
    </row>
    <row r="600" spans="11:21" x14ac:dyDescent="0.25">
      <c r="K600" s="123" t="s">
        <v>709</v>
      </c>
      <c r="L600" s="126">
        <v>10286.803006986731</v>
      </c>
      <c r="M600" s="126">
        <v>10.314312302321079</v>
      </c>
      <c r="N600" s="126">
        <v>7662.9122730714216</v>
      </c>
      <c r="O600" s="126">
        <v>8.5243186738507593</v>
      </c>
      <c r="P600" s="123">
        <f t="shared" si="56"/>
        <v>2623.8907339153093</v>
      </c>
      <c r="Q600" s="123">
        <f t="shared" si="57"/>
        <v>1.7899936284703202</v>
      </c>
      <c r="R600" s="123">
        <f t="shared" si="54"/>
        <v>195999.44303943485</v>
      </c>
      <c r="S600" s="123">
        <f t="shared" si="55"/>
        <v>162823.46120394376</v>
      </c>
      <c r="T600" s="123">
        <f t="shared" si="58"/>
        <v>1</v>
      </c>
      <c r="U600" s="123">
        <f t="shared" si="59"/>
        <v>0</v>
      </c>
    </row>
    <row r="601" spans="11:21" x14ac:dyDescent="0.25">
      <c r="K601" s="123" t="s">
        <v>710</v>
      </c>
      <c r="L601" s="126">
        <v>7092.2279634172774</v>
      </c>
      <c r="M601" s="126">
        <v>6.5588634022685035</v>
      </c>
      <c r="N601" s="126">
        <v>5209.5207000180853</v>
      </c>
      <c r="O601" s="126">
        <v>5.2869470158652527</v>
      </c>
      <c r="P601" s="123">
        <f t="shared" si="56"/>
        <v>1882.707263399192</v>
      </c>
      <c r="Q601" s="123">
        <f t="shared" si="57"/>
        <v>1.2719163864032508</v>
      </c>
      <c r="R601" s="123">
        <f t="shared" si="54"/>
        <v>124085.04008195279</v>
      </c>
      <c r="S601" s="123">
        <f t="shared" si="55"/>
        <v>100529.41961728697</v>
      </c>
      <c r="T601" s="123">
        <f t="shared" si="58"/>
        <v>1</v>
      </c>
      <c r="U601" s="123">
        <f t="shared" si="59"/>
        <v>0</v>
      </c>
    </row>
    <row r="602" spans="11:21" x14ac:dyDescent="0.25">
      <c r="K602" s="123" t="s">
        <v>711</v>
      </c>
      <c r="L602" s="126">
        <v>8783.8433387707701</v>
      </c>
      <c r="M602" s="126">
        <v>7.3598415063699383</v>
      </c>
      <c r="N602" s="126">
        <v>8497.81748676385</v>
      </c>
      <c r="O602" s="126">
        <v>7.6953955350087142</v>
      </c>
      <c r="P602" s="123">
        <f t="shared" si="56"/>
        <v>286.0258520069201</v>
      </c>
      <c r="Q602" s="123">
        <f t="shared" si="57"/>
        <v>-0.33555402863877593</v>
      </c>
      <c r="R602" s="123">
        <f t="shared" si="54"/>
        <v>138412.98678862801</v>
      </c>
      <c r="S602" s="123">
        <f t="shared" si="55"/>
        <v>145410.09321341044</v>
      </c>
      <c r="T602" s="123">
        <f t="shared" si="58"/>
        <v>0</v>
      </c>
      <c r="U602" s="123">
        <f t="shared" si="59"/>
        <v>1</v>
      </c>
    </row>
    <row r="603" spans="11:21" x14ac:dyDescent="0.25">
      <c r="K603" s="123" t="s">
        <v>712</v>
      </c>
      <c r="L603" s="126">
        <v>6176.7469623431962</v>
      </c>
      <c r="M603" s="126">
        <v>5.0155587692242039</v>
      </c>
      <c r="N603" s="126">
        <v>7956.370426408449</v>
      </c>
      <c r="O603" s="126">
        <v>7.6378133045717771</v>
      </c>
      <c r="P603" s="123">
        <f t="shared" si="56"/>
        <v>-1779.6234640652528</v>
      </c>
      <c r="Q603" s="123">
        <f t="shared" si="57"/>
        <v>-2.6222545353475732</v>
      </c>
      <c r="R603" s="123">
        <f t="shared" si="54"/>
        <v>94134.428422140874</v>
      </c>
      <c r="S603" s="123">
        <f t="shared" si="55"/>
        <v>144799.89566502708</v>
      </c>
      <c r="T603" s="123">
        <f t="shared" si="58"/>
        <v>0</v>
      </c>
      <c r="U603" s="123">
        <f t="shared" si="59"/>
        <v>1</v>
      </c>
    </row>
    <row r="604" spans="11:21" x14ac:dyDescent="0.25">
      <c r="K604" s="123" t="s">
        <v>713</v>
      </c>
      <c r="L604" s="126">
        <v>8666.5309519502498</v>
      </c>
      <c r="M604" s="126">
        <v>8.1447162390453283</v>
      </c>
      <c r="N604" s="126">
        <v>4929.470369904222</v>
      </c>
      <c r="O604" s="126">
        <v>4.7397217543375376</v>
      </c>
      <c r="P604" s="123">
        <f t="shared" si="56"/>
        <v>3737.0605820460278</v>
      </c>
      <c r="Q604" s="123">
        <f t="shared" si="57"/>
        <v>3.4049944847077906</v>
      </c>
      <c r="R604" s="123">
        <f t="shared" si="54"/>
        <v>154227.79382895632</v>
      </c>
      <c r="S604" s="123">
        <f t="shared" si="55"/>
        <v>89864.964716846531</v>
      </c>
      <c r="T604" s="123">
        <f t="shared" si="58"/>
        <v>1</v>
      </c>
      <c r="U604" s="123">
        <f t="shared" si="59"/>
        <v>0</v>
      </c>
    </row>
    <row r="605" spans="11:21" x14ac:dyDescent="0.25">
      <c r="K605" s="123" t="s">
        <v>714</v>
      </c>
      <c r="L605" s="126">
        <v>7827.5596862786979</v>
      </c>
      <c r="M605" s="126">
        <v>7.7648290237658903</v>
      </c>
      <c r="N605" s="126">
        <v>8095.7576166258559</v>
      </c>
      <c r="O605" s="126">
        <v>9.0734877538461678</v>
      </c>
      <c r="P605" s="123">
        <f t="shared" si="56"/>
        <v>-268.19793034715804</v>
      </c>
      <c r="Q605" s="123">
        <f t="shared" si="57"/>
        <v>-1.3086587300802774</v>
      </c>
      <c r="R605" s="123">
        <f t="shared" si="54"/>
        <v>147469.02078903912</v>
      </c>
      <c r="S605" s="123">
        <f t="shared" si="55"/>
        <v>173373.99746029748</v>
      </c>
      <c r="T605" s="123">
        <f t="shared" si="58"/>
        <v>0</v>
      </c>
      <c r="U605" s="123">
        <f t="shared" si="59"/>
        <v>1</v>
      </c>
    </row>
    <row r="606" spans="11:21" x14ac:dyDescent="0.25">
      <c r="K606" s="123" t="s">
        <v>715</v>
      </c>
      <c r="L606" s="126">
        <v>7015.7894654849015</v>
      </c>
      <c r="M606" s="126">
        <v>6.1708854440018817</v>
      </c>
      <c r="N606" s="126">
        <v>7442.5196457098245</v>
      </c>
      <c r="O606" s="126">
        <v>7.0525512363930432</v>
      </c>
      <c r="P606" s="123">
        <f t="shared" si="56"/>
        <v>-426.73018022492306</v>
      </c>
      <c r="Q606" s="123">
        <f t="shared" si="57"/>
        <v>-0.8816657923911615</v>
      </c>
      <c r="R606" s="123">
        <f t="shared" si="54"/>
        <v>116401.91941455273</v>
      </c>
      <c r="S606" s="123">
        <f t="shared" si="55"/>
        <v>133608.50508215104</v>
      </c>
      <c r="T606" s="123">
        <f t="shared" si="58"/>
        <v>0</v>
      </c>
      <c r="U606" s="123">
        <f t="shared" si="59"/>
        <v>1</v>
      </c>
    </row>
    <row r="607" spans="11:21" x14ac:dyDescent="0.25">
      <c r="K607" s="123" t="s">
        <v>716</v>
      </c>
      <c r="L607" s="126">
        <v>5891.7954137305351</v>
      </c>
      <c r="M607" s="126">
        <v>5.0361333689078656</v>
      </c>
      <c r="N607" s="126">
        <v>6842.6979425613681</v>
      </c>
      <c r="O607" s="126">
        <v>6.0236176649122424</v>
      </c>
      <c r="P607" s="123">
        <f t="shared" si="56"/>
        <v>-950.90252883083303</v>
      </c>
      <c r="Q607" s="123">
        <f t="shared" si="57"/>
        <v>-0.98748429600437682</v>
      </c>
      <c r="R607" s="123">
        <f t="shared" si="54"/>
        <v>94830.871964426769</v>
      </c>
      <c r="S607" s="123">
        <f t="shared" si="55"/>
        <v>113629.65535568348</v>
      </c>
      <c r="T607" s="123">
        <f t="shared" si="58"/>
        <v>0</v>
      </c>
      <c r="U607" s="123">
        <f t="shared" si="59"/>
        <v>1</v>
      </c>
    </row>
    <row r="608" spans="11:21" x14ac:dyDescent="0.25">
      <c r="K608" s="123" t="s">
        <v>717</v>
      </c>
      <c r="L608" s="126">
        <v>5583.615050211467</v>
      </c>
      <c r="M608" s="126">
        <v>5.0006329982806736</v>
      </c>
      <c r="N608" s="126">
        <v>7281.9045539852059</v>
      </c>
      <c r="O608" s="126">
        <v>7.0819045768378883</v>
      </c>
      <c r="P608" s="123">
        <f t="shared" si="56"/>
        <v>-1698.2895037737389</v>
      </c>
      <c r="Q608" s="123">
        <f t="shared" si="57"/>
        <v>-2.0812715785572147</v>
      </c>
      <c r="R608" s="123">
        <f t="shared" si="54"/>
        <v>94429.044915402017</v>
      </c>
      <c r="S608" s="123">
        <f t="shared" si="55"/>
        <v>134356.18698277257</v>
      </c>
      <c r="T608" s="123">
        <f t="shared" si="58"/>
        <v>0</v>
      </c>
      <c r="U608" s="123">
        <f t="shared" si="59"/>
        <v>1</v>
      </c>
    </row>
    <row r="609" spans="11:21" x14ac:dyDescent="0.25">
      <c r="K609" s="123" t="s">
        <v>718</v>
      </c>
      <c r="L609" s="126">
        <v>6755.5501595146789</v>
      </c>
      <c r="M609" s="126">
        <v>6.300333032018731</v>
      </c>
      <c r="N609" s="126">
        <v>8547.2976166711342</v>
      </c>
      <c r="O609" s="126">
        <v>8.548448324280681</v>
      </c>
      <c r="P609" s="123">
        <f t="shared" si="56"/>
        <v>-1791.7474571564553</v>
      </c>
      <c r="Q609" s="123">
        <f t="shared" si="57"/>
        <v>-2.2481152922619501</v>
      </c>
      <c r="R609" s="123">
        <f t="shared" si="54"/>
        <v>119251.11048085995</v>
      </c>
      <c r="S609" s="123">
        <f t="shared" si="55"/>
        <v>162421.66886894248</v>
      </c>
      <c r="T609" s="123">
        <f t="shared" si="58"/>
        <v>0</v>
      </c>
      <c r="U609" s="123">
        <f t="shared" si="59"/>
        <v>1</v>
      </c>
    </row>
    <row r="610" spans="11:21" x14ac:dyDescent="0.25">
      <c r="K610" s="123" t="s">
        <v>719</v>
      </c>
      <c r="L610" s="126">
        <v>9379.0148362201871</v>
      </c>
      <c r="M610" s="126">
        <v>9.3192426176713159</v>
      </c>
      <c r="N610" s="126">
        <v>5987.118921093801</v>
      </c>
      <c r="O610" s="126">
        <v>6.2893801070653339</v>
      </c>
      <c r="P610" s="123">
        <f t="shared" si="56"/>
        <v>3391.8959151263862</v>
      </c>
      <c r="Q610" s="123">
        <f t="shared" si="57"/>
        <v>3.029862510605982</v>
      </c>
      <c r="R610" s="123">
        <f t="shared" si="54"/>
        <v>177005.83751720612</v>
      </c>
      <c r="S610" s="123">
        <f t="shared" si="55"/>
        <v>119800.48322021287</v>
      </c>
      <c r="T610" s="123">
        <f t="shared" si="58"/>
        <v>1</v>
      </c>
      <c r="U610" s="123">
        <f t="shared" si="59"/>
        <v>0</v>
      </c>
    </row>
    <row r="611" spans="11:21" x14ac:dyDescent="0.25">
      <c r="K611" s="123" t="s">
        <v>720</v>
      </c>
      <c r="L611" s="126">
        <v>6623.803483653337</v>
      </c>
      <c r="M611" s="126">
        <v>6.0103566308319962</v>
      </c>
      <c r="N611" s="126">
        <v>5217.6421232848907</v>
      </c>
      <c r="O611" s="126">
        <v>5.0213783897543358</v>
      </c>
      <c r="P611" s="123">
        <f t="shared" si="56"/>
        <v>1406.1613603684464</v>
      </c>
      <c r="Q611" s="123">
        <f t="shared" si="57"/>
        <v>0.98897824107766041</v>
      </c>
      <c r="R611" s="123">
        <f t="shared" si="54"/>
        <v>113583.32913298659</v>
      </c>
      <c r="S611" s="123">
        <f t="shared" si="55"/>
        <v>95209.925671801815</v>
      </c>
      <c r="T611" s="123">
        <f t="shared" si="58"/>
        <v>1</v>
      </c>
      <c r="U611" s="123">
        <f t="shared" si="59"/>
        <v>0</v>
      </c>
    </row>
    <row r="612" spans="11:21" x14ac:dyDescent="0.25">
      <c r="K612" s="123" t="s">
        <v>721</v>
      </c>
      <c r="L612" s="126">
        <v>5795.71710902622</v>
      </c>
      <c r="M612" s="126">
        <v>6.2853361468624707</v>
      </c>
      <c r="N612" s="126">
        <v>4716.2101715932076</v>
      </c>
      <c r="O612" s="126">
        <v>5.6537868512596283</v>
      </c>
      <c r="P612" s="123">
        <f t="shared" si="56"/>
        <v>1079.5069374330124</v>
      </c>
      <c r="Q612" s="123">
        <f t="shared" si="57"/>
        <v>0.63154929560284234</v>
      </c>
      <c r="R612" s="123">
        <f t="shared" si="54"/>
        <v>119911.00582822319</v>
      </c>
      <c r="S612" s="123">
        <f t="shared" si="55"/>
        <v>108359.52685359935</v>
      </c>
      <c r="T612" s="123">
        <f t="shared" si="58"/>
        <v>1</v>
      </c>
      <c r="U612" s="123">
        <f t="shared" si="59"/>
        <v>0</v>
      </c>
    </row>
    <row r="613" spans="11:21" x14ac:dyDescent="0.25">
      <c r="K613" s="123" t="s">
        <v>722</v>
      </c>
      <c r="L613" s="126">
        <v>6460.1401535321229</v>
      </c>
      <c r="M613" s="126">
        <v>6.5370458786831129</v>
      </c>
      <c r="N613" s="126">
        <v>7932.8109439036161</v>
      </c>
      <c r="O613" s="126">
        <v>8.9572362666193914</v>
      </c>
      <c r="P613" s="123">
        <f t="shared" si="56"/>
        <v>-1472.6707903714932</v>
      </c>
      <c r="Q613" s="123">
        <f t="shared" si="57"/>
        <v>-2.4201903879362785</v>
      </c>
      <c r="R613" s="123">
        <f t="shared" si="54"/>
        <v>124280.77742013014</v>
      </c>
      <c r="S613" s="123">
        <f t="shared" si="55"/>
        <v>171211.91438848423</v>
      </c>
      <c r="T613" s="123">
        <f t="shared" si="58"/>
        <v>0</v>
      </c>
      <c r="U613" s="123">
        <f t="shared" si="59"/>
        <v>1</v>
      </c>
    </row>
    <row r="614" spans="11:21" x14ac:dyDescent="0.25">
      <c r="K614" s="123" t="s">
        <v>723</v>
      </c>
      <c r="L614" s="126">
        <v>7176.8664137611559</v>
      </c>
      <c r="M614" s="126">
        <v>7.8732694627896436</v>
      </c>
      <c r="N614" s="126">
        <v>6415.6780227907266</v>
      </c>
      <c r="O614" s="126">
        <v>8.057591708397295</v>
      </c>
      <c r="P614" s="123">
        <f t="shared" si="56"/>
        <v>761.18839097042928</v>
      </c>
      <c r="Q614" s="123">
        <f t="shared" si="57"/>
        <v>-0.18432224560765142</v>
      </c>
      <c r="R614" s="123">
        <f t="shared" si="54"/>
        <v>150288.5228420317</v>
      </c>
      <c r="S614" s="123">
        <f t="shared" si="55"/>
        <v>154736.15614515517</v>
      </c>
      <c r="T614" s="123">
        <f t="shared" si="58"/>
        <v>0</v>
      </c>
      <c r="U614" s="123">
        <f t="shared" si="59"/>
        <v>1</v>
      </c>
    </row>
    <row r="615" spans="11:21" x14ac:dyDescent="0.25">
      <c r="K615" s="123" t="s">
        <v>724</v>
      </c>
      <c r="L615" s="126">
        <v>9444.4639764765961</v>
      </c>
      <c r="M615" s="126">
        <v>7.7991035581090653</v>
      </c>
      <c r="N615" s="126">
        <v>5937.0021273556995</v>
      </c>
      <c r="O615" s="126">
        <v>5.4148678823107375</v>
      </c>
      <c r="P615" s="123">
        <f t="shared" si="56"/>
        <v>3507.4618491208967</v>
      </c>
      <c r="Q615" s="123">
        <f t="shared" si="57"/>
        <v>2.3842356757983278</v>
      </c>
      <c r="R615" s="123">
        <f t="shared" si="54"/>
        <v>146537.60718570469</v>
      </c>
      <c r="S615" s="123">
        <f t="shared" si="55"/>
        <v>102360.35551885905</v>
      </c>
      <c r="T615" s="123">
        <f t="shared" si="58"/>
        <v>1</v>
      </c>
      <c r="U615" s="123">
        <f t="shared" si="59"/>
        <v>0</v>
      </c>
    </row>
    <row r="616" spans="11:21" x14ac:dyDescent="0.25">
      <c r="K616" s="123" t="s">
        <v>725</v>
      </c>
      <c r="L616" s="126">
        <v>10190.362794577088</v>
      </c>
      <c r="M616" s="126">
        <v>9.2341248396262312</v>
      </c>
      <c r="N616" s="126">
        <v>7627.9877009621887</v>
      </c>
      <c r="O616" s="126">
        <v>7.9362197832102899</v>
      </c>
      <c r="P616" s="123">
        <f t="shared" si="56"/>
        <v>2562.375093614899</v>
      </c>
      <c r="Q616" s="123">
        <f t="shared" si="57"/>
        <v>1.2979050564159413</v>
      </c>
      <c r="R616" s="123">
        <f t="shared" si="54"/>
        <v>174492.13399794753</v>
      </c>
      <c r="S616" s="123">
        <f t="shared" si="55"/>
        <v>151096.4079632436</v>
      </c>
      <c r="T616" s="123">
        <f t="shared" si="58"/>
        <v>1</v>
      </c>
      <c r="U616" s="123">
        <f t="shared" si="59"/>
        <v>0</v>
      </c>
    </row>
    <row r="617" spans="11:21" x14ac:dyDescent="0.25">
      <c r="K617" s="123" t="s">
        <v>726</v>
      </c>
      <c r="L617" s="126">
        <v>9781.998933716277</v>
      </c>
      <c r="M617" s="126">
        <v>9.9025149755893906</v>
      </c>
      <c r="N617" s="126">
        <v>7198.2678212795063</v>
      </c>
      <c r="O617" s="126">
        <v>8.1493369940510298</v>
      </c>
      <c r="P617" s="123">
        <f t="shared" si="56"/>
        <v>2583.7311124367707</v>
      </c>
      <c r="Q617" s="123">
        <f t="shared" si="57"/>
        <v>1.7531779815383608</v>
      </c>
      <c r="R617" s="123">
        <f t="shared" si="54"/>
        <v>188268.30057807153</v>
      </c>
      <c r="S617" s="123">
        <f t="shared" si="55"/>
        <v>155788.47205974109</v>
      </c>
      <c r="T617" s="123">
        <f t="shared" si="58"/>
        <v>1</v>
      </c>
      <c r="U617" s="123">
        <f t="shared" si="59"/>
        <v>0</v>
      </c>
    </row>
    <row r="618" spans="11:21" x14ac:dyDescent="0.25">
      <c r="K618" s="123" t="s">
        <v>727</v>
      </c>
      <c r="L618" s="126">
        <v>7435.9556126157077</v>
      </c>
      <c r="M618" s="126">
        <v>7.0307890756369789</v>
      </c>
      <c r="N618" s="126">
        <v>4271.3272290527166</v>
      </c>
      <c r="O618" s="126">
        <v>4.5779840055178083</v>
      </c>
      <c r="P618" s="123">
        <f t="shared" si="56"/>
        <v>3164.6283835629911</v>
      </c>
      <c r="Q618" s="123">
        <f t="shared" si="57"/>
        <v>2.4528050701191706</v>
      </c>
      <c r="R618" s="123">
        <f t="shared" si="54"/>
        <v>133179.82590012386</v>
      </c>
      <c r="S618" s="123">
        <f t="shared" si="55"/>
        <v>87288.352881303435</v>
      </c>
      <c r="T618" s="123">
        <f t="shared" si="58"/>
        <v>1</v>
      </c>
      <c r="U618" s="123">
        <f t="shared" si="59"/>
        <v>0</v>
      </c>
    </row>
    <row r="619" spans="11:21" x14ac:dyDescent="0.25">
      <c r="K619" s="123" t="s">
        <v>728</v>
      </c>
      <c r="L619" s="126">
        <v>6944.9696141131699</v>
      </c>
      <c r="M619" s="126">
        <v>6.394471217288757</v>
      </c>
      <c r="N619" s="126">
        <v>7063.2201363924833</v>
      </c>
      <c r="O619" s="126">
        <v>7.4096015836298506</v>
      </c>
      <c r="P619" s="123">
        <f t="shared" si="56"/>
        <v>-118.25052227931337</v>
      </c>
      <c r="Q619" s="123">
        <f t="shared" si="57"/>
        <v>-1.0151303663410935</v>
      </c>
      <c r="R619" s="123">
        <f t="shared" si="54"/>
        <v>120944.45473166197</v>
      </c>
      <c r="S619" s="123">
        <f t="shared" si="55"/>
        <v>141128.81153620454</v>
      </c>
      <c r="T619" s="123">
        <f t="shared" si="58"/>
        <v>0</v>
      </c>
      <c r="U619" s="123">
        <f t="shared" si="59"/>
        <v>1</v>
      </c>
    </row>
    <row r="620" spans="11:21" x14ac:dyDescent="0.25">
      <c r="K620" s="123" t="s">
        <v>729</v>
      </c>
      <c r="L620" s="126">
        <v>10231.545565060163</v>
      </c>
      <c r="M620" s="126">
        <v>9.2523658501395918</v>
      </c>
      <c r="N620" s="126">
        <v>8090.5955032417687</v>
      </c>
      <c r="O620" s="126">
        <v>7.8229500698645893</v>
      </c>
      <c r="P620" s="123">
        <f t="shared" si="56"/>
        <v>2140.9500618183947</v>
      </c>
      <c r="Q620" s="123">
        <f t="shared" si="57"/>
        <v>1.4294157802750025</v>
      </c>
      <c r="R620" s="123">
        <f t="shared" si="54"/>
        <v>174815.77143773166</v>
      </c>
      <c r="S620" s="123">
        <f t="shared" si="55"/>
        <v>148368.40589405003</v>
      </c>
      <c r="T620" s="123">
        <f t="shared" si="58"/>
        <v>1</v>
      </c>
      <c r="U620" s="123">
        <f t="shared" si="59"/>
        <v>0</v>
      </c>
    </row>
    <row r="621" spans="11:21" x14ac:dyDescent="0.25">
      <c r="K621" s="123" t="s">
        <v>730</v>
      </c>
      <c r="L621" s="126">
        <v>7444.9155742587218</v>
      </c>
      <c r="M621" s="126">
        <v>6.69591324172033</v>
      </c>
      <c r="N621" s="126">
        <v>7359.614400271319</v>
      </c>
      <c r="O621" s="126">
        <v>7.1311681657449366</v>
      </c>
      <c r="P621" s="123">
        <f t="shared" si="56"/>
        <v>85.301173987402763</v>
      </c>
      <c r="Q621" s="123">
        <f t="shared" si="57"/>
        <v>-0.43525492402460664</v>
      </c>
      <c r="R621" s="123">
        <f t="shared" si="54"/>
        <v>126473.34926014789</v>
      </c>
      <c r="S621" s="123">
        <f t="shared" si="55"/>
        <v>135263.74891462742</v>
      </c>
      <c r="T621" s="123">
        <f t="shared" si="58"/>
        <v>0</v>
      </c>
      <c r="U621" s="123">
        <f t="shared" si="59"/>
        <v>1</v>
      </c>
    </row>
    <row r="622" spans="11:21" x14ac:dyDescent="0.25">
      <c r="K622" s="123" t="s">
        <v>731</v>
      </c>
      <c r="L622" s="126">
        <v>9614.1559654883549</v>
      </c>
      <c r="M622" s="126">
        <v>7.7131861841391309</v>
      </c>
      <c r="N622" s="126">
        <v>7839.1942581107987</v>
      </c>
      <c r="O622" s="126">
        <v>6.3997174129998156</v>
      </c>
      <c r="P622" s="123">
        <f t="shared" si="56"/>
        <v>1774.9617073775562</v>
      </c>
      <c r="Q622" s="123">
        <f t="shared" si="57"/>
        <v>1.3134687711393154</v>
      </c>
      <c r="R622" s="123">
        <f t="shared" si="54"/>
        <v>144649.56771729427</v>
      </c>
      <c r="S622" s="123">
        <f t="shared" si="55"/>
        <v>120155.15400188552</v>
      </c>
      <c r="T622" s="123">
        <f t="shared" si="58"/>
        <v>1</v>
      </c>
      <c r="U622" s="123">
        <f t="shared" si="59"/>
        <v>0</v>
      </c>
    </row>
    <row r="623" spans="11:21" x14ac:dyDescent="0.25">
      <c r="K623" s="123" t="s">
        <v>732</v>
      </c>
      <c r="L623" s="126">
        <v>7279.2041431774578</v>
      </c>
      <c r="M623" s="126">
        <v>6.8441130987403298</v>
      </c>
      <c r="N623" s="126">
        <v>8915.7249919830138</v>
      </c>
      <c r="O623" s="126">
        <v>9.3549193089950755</v>
      </c>
      <c r="P623" s="123">
        <f t="shared" si="56"/>
        <v>-1636.5208488055559</v>
      </c>
      <c r="Q623" s="123">
        <f t="shared" si="57"/>
        <v>-2.5108062102547457</v>
      </c>
      <c r="R623" s="123">
        <f t="shared" si="54"/>
        <v>129603.05783162915</v>
      </c>
      <c r="S623" s="123">
        <f t="shared" si="55"/>
        <v>178182.66118791851</v>
      </c>
      <c r="T623" s="123">
        <f t="shared" si="58"/>
        <v>0</v>
      </c>
      <c r="U623" s="123">
        <f t="shared" si="59"/>
        <v>1</v>
      </c>
    </row>
    <row r="624" spans="11:21" x14ac:dyDescent="0.25">
      <c r="K624" s="123" t="s">
        <v>733</v>
      </c>
      <c r="L624" s="126">
        <v>8999.8378410916048</v>
      </c>
      <c r="M624" s="126">
        <v>8.0034626319330666</v>
      </c>
      <c r="N624" s="126">
        <v>9478.879982745786</v>
      </c>
      <c r="O624" s="126">
        <v>10.12456037619021</v>
      </c>
      <c r="P624" s="123">
        <f t="shared" si="56"/>
        <v>-479.04214165418125</v>
      </c>
      <c r="Q624" s="123">
        <f t="shared" si="57"/>
        <v>-2.1210977442571437</v>
      </c>
      <c r="R624" s="123">
        <f t="shared" si="54"/>
        <v>151069.41479756974</v>
      </c>
      <c r="S624" s="123">
        <f t="shared" si="55"/>
        <v>193012.32754105842</v>
      </c>
      <c r="T624" s="123">
        <f t="shared" si="58"/>
        <v>0</v>
      </c>
      <c r="U624" s="123">
        <f t="shared" si="59"/>
        <v>1</v>
      </c>
    </row>
    <row r="625" spans="11:21" x14ac:dyDescent="0.25">
      <c r="K625" s="123" t="s">
        <v>734</v>
      </c>
      <c r="L625" s="126">
        <v>6335.0776713400992</v>
      </c>
      <c r="M625" s="126">
        <v>5.6616748401906776</v>
      </c>
      <c r="N625" s="126">
        <v>9325.1380813131509</v>
      </c>
      <c r="O625" s="126">
        <v>9.0619704250232047</v>
      </c>
      <c r="P625" s="123">
        <f t="shared" si="56"/>
        <v>-2990.0604099730517</v>
      </c>
      <c r="Q625" s="123">
        <f t="shared" si="57"/>
        <v>-3.4002955848325271</v>
      </c>
      <c r="R625" s="123">
        <f t="shared" si="54"/>
        <v>106898.41913247346</v>
      </c>
      <c r="S625" s="123">
        <f t="shared" si="55"/>
        <v>171914.27041915094</v>
      </c>
      <c r="T625" s="123">
        <f t="shared" si="58"/>
        <v>0</v>
      </c>
      <c r="U625" s="123">
        <f t="shared" si="59"/>
        <v>1</v>
      </c>
    </row>
    <row r="626" spans="11:21" x14ac:dyDescent="0.25">
      <c r="K626" s="123" t="s">
        <v>735</v>
      </c>
      <c r="L626" s="126">
        <v>7088.6082433505799</v>
      </c>
      <c r="M626" s="126">
        <v>6.5047969286119702</v>
      </c>
      <c r="N626" s="126">
        <v>7470.7689447953189</v>
      </c>
      <c r="O626" s="126">
        <v>7.5796794951411632</v>
      </c>
      <c r="P626" s="123">
        <f t="shared" si="56"/>
        <v>-382.16070144473906</v>
      </c>
      <c r="Q626" s="123">
        <f t="shared" si="57"/>
        <v>-1.074882566529193</v>
      </c>
      <c r="R626" s="123">
        <f t="shared" si="54"/>
        <v>123007.33032888883</v>
      </c>
      <c r="S626" s="123">
        <f t="shared" si="55"/>
        <v>144122.82095802794</v>
      </c>
      <c r="T626" s="123">
        <f t="shared" si="58"/>
        <v>0</v>
      </c>
      <c r="U626" s="123">
        <f t="shared" si="59"/>
        <v>1</v>
      </c>
    </row>
    <row r="627" spans="11:21" x14ac:dyDescent="0.25">
      <c r="K627" s="123" t="s">
        <v>736</v>
      </c>
      <c r="L627" s="126">
        <v>5621.4700158716278</v>
      </c>
      <c r="M627" s="126">
        <v>5.2975227470254822</v>
      </c>
      <c r="N627" s="126">
        <v>7241.016820730486</v>
      </c>
      <c r="O627" s="126">
        <v>7.7265441206824814</v>
      </c>
      <c r="P627" s="123">
        <f t="shared" si="56"/>
        <v>-1619.5468048588582</v>
      </c>
      <c r="Q627" s="123">
        <f t="shared" si="57"/>
        <v>-2.4290213736569992</v>
      </c>
      <c r="R627" s="123">
        <f t="shared" si="54"/>
        <v>100328.98492463802</v>
      </c>
      <c r="S627" s="123">
        <f t="shared" si="55"/>
        <v>147289.86559291914</v>
      </c>
      <c r="T627" s="123">
        <f t="shared" si="58"/>
        <v>0</v>
      </c>
      <c r="U627" s="123">
        <f t="shared" si="59"/>
        <v>1</v>
      </c>
    </row>
    <row r="628" spans="11:21" x14ac:dyDescent="0.25">
      <c r="K628" s="123" t="s">
        <v>737</v>
      </c>
      <c r="L628" s="126">
        <v>8387.6838680267283</v>
      </c>
      <c r="M628" s="126">
        <v>8.3700545500613117</v>
      </c>
      <c r="N628" s="126">
        <v>4370.214130490227</v>
      </c>
      <c r="O628" s="126">
        <v>4.6463486349525756</v>
      </c>
      <c r="P628" s="123">
        <f t="shared" si="56"/>
        <v>4017.4697375365013</v>
      </c>
      <c r="Q628" s="123">
        <f t="shared" si="57"/>
        <v>3.7237059151087362</v>
      </c>
      <c r="R628" s="123">
        <f t="shared" si="54"/>
        <v>159013.40713319951</v>
      </c>
      <c r="S628" s="123">
        <f t="shared" si="55"/>
        <v>88556.758568561272</v>
      </c>
      <c r="T628" s="123">
        <f t="shared" si="58"/>
        <v>1</v>
      </c>
      <c r="U628" s="123">
        <f t="shared" si="59"/>
        <v>0</v>
      </c>
    </row>
    <row r="629" spans="11:21" x14ac:dyDescent="0.25">
      <c r="K629" s="123" t="s">
        <v>738</v>
      </c>
      <c r="L629" s="126">
        <v>8520.9292761314664</v>
      </c>
      <c r="M629" s="126">
        <v>7.7293590428635852</v>
      </c>
      <c r="N629" s="126">
        <v>6108.650536312146</v>
      </c>
      <c r="O629" s="126">
        <v>6.2461198463734471</v>
      </c>
      <c r="P629" s="123">
        <f t="shared" si="56"/>
        <v>2412.2787398193204</v>
      </c>
      <c r="Q629" s="123">
        <f t="shared" si="57"/>
        <v>1.4832391964901381</v>
      </c>
      <c r="R629" s="123">
        <f t="shared" si="54"/>
        <v>146066.25158114024</v>
      </c>
      <c r="S629" s="123">
        <f t="shared" si="55"/>
        <v>118813.7463911568</v>
      </c>
      <c r="T629" s="123">
        <f t="shared" si="58"/>
        <v>1</v>
      </c>
      <c r="U629" s="123">
        <f t="shared" si="59"/>
        <v>0</v>
      </c>
    </row>
    <row r="630" spans="11:21" x14ac:dyDescent="0.25">
      <c r="K630" s="123" t="s">
        <v>739</v>
      </c>
      <c r="L630" s="126">
        <v>9306.826471133345</v>
      </c>
      <c r="M630" s="126">
        <v>9.0661688532202582</v>
      </c>
      <c r="N630" s="126">
        <v>5593.9871475598138</v>
      </c>
      <c r="O630" s="126">
        <v>6.0934304941402448</v>
      </c>
      <c r="P630" s="123">
        <f t="shared" si="56"/>
        <v>3712.8393235735311</v>
      </c>
      <c r="Q630" s="123">
        <f t="shared" si="57"/>
        <v>2.9727383590800134</v>
      </c>
      <c r="R630" s="123">
        <f t="shared" si="54"/>
        <v>172016.55059327182</v>
      </c>
      <c r="S630" s="123">
        <f t="shared" si="55"/>
        <v>116274.62273524508</v>
      </c>
      <c r="T630" s="123">
        <f t="shared" si="58"/>
        <v>1</v>
      </c>
      <c r="U630" s="123">
        <f t="shared" si="59"/>
        <v>0</v>
      </c>
    </row>
    <row r="631" spans="11:21" x14ac:dyDescent="0.25">
      <c r="K631" s="123" t="s">
        <v>740</v>
      </c>
      <c r="L631" s="126">
        <v>5453.9839065360384</v>
      </c>
      <c r="M631" s="126">
        <v>2.9322726954236611</v>
      </c>
      <c r="N631" s="126">
        <v>5542.9415982142891</v>
      </c>
      <c r="O631" s="126">
        <v>3.8854338526841881</v>
      </c>
      <c r="P631" s="123">
        <f t="shared" si="56"/>
        <v>-88.95769167825074</v>
      </c>
      <c r="Q631" s="123">
        <f t="shared" si="57"/>
        <v>-0.95316115726052697</v>
      </c>
      <c r="R631" s="123">
        <f t="shared" si="54"/>
        <v>53191.470001937188</v>
      </c>
      <c r="S631" s="123">
        <f t="shared" si="55"/>
        <v>72165.735455469461</v>
      </c>
      <c r="T631" s="123">
        <f t="shared" si="58"/>
        <v>0</v>
      </c>
      <c r="U631" s="123">
        <f t="shared" si="59"/>
        <v>1</v>
      </c>
    </row>
    <row r="632" spans="11:21" x14ac:dyDescent="0.25">
      <c r="K632" s="123" t="s">
        <v>741</v>
      </c>
      <c r="L632" s="126">
        <v>7931.3836825240778</v>
      </c>
      <c r="M632" s="126">
        <v>6.8277497633195674</v>
      </c>
      <c r="N632" s="126">
        <v>7237.1539029066316</v>
      </c>
      <c r="O632" s="126">
        <v>7.1314115520081467</v>
      </c>
      <c r="P632" s="123">
        <f t="shared" si="56"/>
        <v>694.22977961744618</v>
      </c>
      <c r="Q632" s="123">
        <f t="shared" si="57"/>
        <v>-0.30366178868857929</v>
      </c>
      <c r="R632" s="123">
        <f t="shared" si="54"/>
        <v>128623.61158386727</v>
      </c>
      <c r="S632" s="123">
        <f t="shared" si="55"/>
        <v>135391.0771372563</v>
      </c>
      <c r="T632" s="123">
        <f t="shared" si="58"/>
        <v>0</v>
      </c>
      <c r="U632" s="123">
        <f t="shared" si="59"/>
        <v>1</v>
      </c>
    </row>
    <row r="633" spans="11:21" x14ac:dyDescent="0.25">
      <c r="K633" s="123" t="s">
        <v>742</v>
      </c>
      <c r="L633" s="126">
        <v>8781.2804350208426</v>
      </c>
      <c r="M633" s="126">
        <v>9.0950332837763632</v>
      </c>
      <c r="N633" s="126">
        <v>8950.7196005543174</v>
      </c>
      <c r="O633" s="126">
        <v>9.8588398215759963</v>
      </c>
      <c r="P633" s="123">
        <f t="shared" si="56"/>
        <v>-169.43916553347481</v>
      </c>
      <c r="Q633" s="123">
        <f t="shared" si="57"/>
        <v>-0.76380653779963303</v>
      </c>
      <c r="R633" s="123">
        <f t="shared" si="54"/>
        <v>173119.38524050644</v>
      </c>
      <c r="S633" s="123">
        <f t="shared" si="55"/>
        <v>188226.07683096561</v>
      </c>
      <c r="T633" s="123">
        <f t="shared" si="58"/>
        <v>0</v>
      </c>
      <c r="U633" s="123">
        <f t="shared" si="59"/>
        <v>1</v>
      </c>
    </row>
    <row r="634" spans="11:21" x14ac:dyDescent="0.25">
      <c r="K634" s="123" t="s">
        <v>743</v>
      </c>
      <c r="L634" s="126">
        <v>6930.7013066621348</v>
      </c>
      <c r="M634" s="126">
        <v>8.2498956597449666</v>
      </c>
      <c r="N634" s="126">
        <v>5919.3440240394038</v>
      </c>
      <c r="O634" s="126">
        <v>7.8916418665299801</v>
      </c>
      <c r="P634" s="123">
        <f t="shared" si="56"/>
        <v>1011.357282622731</v>
      </c>
      <c r="Q634" s="123">
        <f t="shared" si="57"/>
        <v>0.35825379321498652</v>
      </c>
      <c r="R634" s="123">
        <f t="shared" si="54"/>
        <v>158067.21188823719</v>
      </c>
      <c r="S634" s="123">
        <f t="shared" si="55"/>
        <v>151913.49330656021</v>
      </c>
      <c r="T634" s="123">
        <f t="shared" si="58"/>
        <v>1</v>
      </c>
      <c r="U634" s="123">
        <f t="shared" si="59"/>
        <v>0</v>
      </c>
    </row>
    <row r="635" spans="11:21" x14ac:dyDescent="0.25">
      <c r="K635" s="123" t="s">
        <v>744</v>
      </c>
      <c r="L635" s="126">
        <v>9526.8990916329694</v>
      </c>
      <c r="M635" s="126">
        <v>9.941978723008706</v>
      </c>
      <c r="N635" s="126">
        <v>6113.3608634386683</v>
      </c>
      <c r="O635" s="126">
        <v>7.4588230956741111</v>
      </c>
      <c r="P635" s="123">
        <f t="shared" si="56"/>
        <v>3413.5382281943012</v>
      </c>
      <c r="Q635" s="123">
        <f t="shared" si="57"/>
        <v>2.4831556273345949</v>
      </c>
      <c r="R635" s="123">
        <f t="shared" si="54"/>
        <v>189312.67536854115</v>
      </c>
      <c r="S635" s="123">
        <f t="shared" si="55"/>
        <v>143063.10105004357</v>
      </c>
      <c r="T635" s="123">
        <f t="shared" si="58"/>
        <v>1</v>
      </c>
      <c r="U635" s="123">
        <f t="shared" si="59"/>
        <v>0</v>
      </c>
    </row>
    <row r="636" spans="11:21" x14ac:dyDescent="0.25">
      <c r="K636" s="123" t="s">
        <v>745</v>
      </c>
      <c r="L636" s="126">
        <v>8645.1074981009915</v>
      </c>
      <c r="M636" s="126">
        <v>7.7572039421753427</v>
      </c>
      <c r="N636" s="126">
        <v>6682.4311952839153</v>
      </c>
      <c r="O636" s="126">
        <v>6.574097107146736</v>
      </c>
      <c r="P636" s="123">
        <f t="shared" si="56"/>
        <v>1962.6763028170762</v>
      </c>
      <c r="Q636" s="123">
        <f t="shared" si="57"/>
        <v>1.1831068350286067</v>
      </c>
      <c r="R636" s="123">
        <f t="shared" si="54"/>
        <v>146498.97134540588</v>
      </c>
      <c r="S636" s="123">
        <f t="shared" si="55"/>
        <v>124799.51094765079</v>
      </c>
      <c r="T636" s="123">
        <f t="shared" si="58"/>
        <v>1</v>
      </c>
      <c r="U636" s="123">
        <f t="shared" si="59"/>
        <v>0</v>
      </c>
    </row>
    <row r="637" spans="11:21" x14ac:dyDescent="0.25">
      <c r="K637" s="123" t="s">
        <v>746</v>
      </c>
      <c r="L637" s="126">
        <v>7516.9943294806417</v>
      </c>
      <c r="M637" s="126">
        <v>8.5935582945625235</v>
      </c>
      <c r="N637" s="126">
        <v>5065.9379013934904</v>
      </c>
      <c r="O637" s="126">
        <v>6.1383070216174165</v>
      </c>
      <c r="P637" s="123">
        <f t="shared" si="56"/>
        <v>2451.0564280871513</v>
      </c>
      <c r="Q637" s="123">
        <f t="shared" si="57"/>
        <v>2.455251272945107</v>
      </c>
      <c r="R637" s="123">
        <f t="shared" si="54"/>
        <v>164354.17156176985</v>
      </c>
      <c r="S637" s="123">
        <f t="shared" si="55"/>
        <v>117700.20253095483</v>
      </c>
      <c r="T637" s="123">
        <f t="shared" si="58"/>
        <v>1</v>
      </c>
      <c r="U637" s="123">
        <f t="shared" si="59"/>
        <v>0</v>
      </c>
    </row>
    <row r="638" spans="11:21" x14ac:dyDescent="0.25">
      <c r="K638" s="123" t="s">
        <v>747</v>
      </c>
      <c r="L638" s="126">
        <v>6176.9545889190176</v>
      </c>
      <c r="M638" s="126">
        <v>5.9877562652161549</v>
      </c>
      <c r="N638" s="126">
        <v>3865.432593446244</v>
      </c>
      <c r="O638" s="126">
        <v>3.6947797219196317</v>
      </c>
      <c r="P638" s="123">
        <f t="shared" si="56"/>
        <v>2311.5219954727736</v>
      </c>
      <c r="Q638" s="123">
        <f t="shared" si="57"/>
        <v>2.2929765432965232</v>
      </c>
      <c r="R638" s="123">
        <f t="shared" si="54"/>
        <v>113578.17071540408</v>
      </c>
      <c r="S638" s="123">
        <f t="shared" si="55"/>
        <v>70030.1618449464</v>
      </c>
      <c r="T638" s="123">
        <f t="shared" si="58"/>
        <v>1</v>
      </c>
      <c r="U638" s="123">
        <f t="shared" si="59"/>
        <v>0</v>
      </c>
    </row>
    <row r="639" spans="11:21" x14ac:dyDescent="0.25">
      <c r="K639" s="123" t="s">
        <v>748</v>
      </c>
      <c r="L639" s="126">
        <v>7726.5632016333911</v>
      </c>
      <c r="M639" s="126">
        <v>7.0651741170958102</v>
      </c>
      <c r="N639" s="126">
        <v>7105.7900205258156</v>
      </c>
      <c r="O639" s="126">
        <v>7.2786049047223838</v>
      </c>
      <c r="P639" s="123">
        <f t="shared" si="56"/>
        <v>620.77318110757551</v>
      </c>
      <c r="Q639" s="123">
        <f t="shared" si="57"/>
        <v>-0.21343078762657353</v>
      </c>
      <c r="R639" s="123">
        <f t="shared" si="54"/>
        <v>133576.91914028281</v>
      </c>
      <c r="S639" s="123">
        <f t="shared" si="55"/>
        <v>138466.30807392186</v>
      </c>
      <c r="T639" s="123">
        <f t="shared" si="58"/>
        <v>0</v>
      </c>
      <c r="U639" s="123">
        <f t="shared" si="59"/>
        <v>1</v>
      </c>
    </row>
    <row r="640" spans="11:21" x14ac:dyDescent="0.25">
      <c r="K640" s="123" t="s">
        <v>749</v>
      </c>
      <c r="L640" s="126">
        <v>10049.674926884429</v>
      </c>
      <c r="M640" s="126">
        <v>6.0046709756579348</v>
      </c>
      <c r="N640" s="126">
        <v>8971.1602582206451</v>
      </c>
      <c r="O640" s="126">
        <v>6.7679638177877974</v>
      </c>
      <c r="P640" s="123">
        <f t="shared" si="56"/>
        <v>1078.5146686637836</v>
      </c>
      <c r="Q640" s="123">
        <f t="shared" si="57"/>
        <v>-0.76329284212986259</v>
      </c>
      <c r="R640" s="123">
        <f t="shared" si="54"/>
        <v>110043.74458627428</v>
      </c>
      <c r="S640" s="123">
        <f t="shared" si="55"/>
        <v>126388.11609753531</v>
      </c>
      <c r="T640" s="123">
        <f t="shared" si="58"/>
        <v>0</v>
      </c>
      <c r="U640" s="123">
        <f t="shared" si="59"/>
        <v>1</v>
      </c>
    </row>
    <row r="641" spans="11:21" x14ac:dyDescent="0.25">
      <c r="K641" s="123" t="s">
        <v>750</v>
      </c>
      <c r="L641" s="126">
        <v>9038.1596536830239</v>
      </c>
      <c r="M641" s="126">
        <v>8.8456954911707761</v>
      </c>
      <c r="N641" s="126">
        <v>5248.0544154623503</v>
      </c>
      <c r="O641" s="126">
        <v>5.4139628829838262</v>
      </c>
      <c r="P641" s="123">
        <f t="shared" si="56"/>
        <v>3790.1052382206735</v>
      </c>
      <c r="Q641" s="123">
        <f t="shared" si="57"/>
        <v>3.4317326081869499</v>
      </c>
      <c r="R641" s="123">
        <f t="shared" si="54"/>
        <v>167875.75016973249</v>
      </c>
      <c r="S641" s="123">
        <f t="shared" si="55"/>
        <v>103031.20324421418</v>
      </c>
      <c r="T641" s="123">
        <f t="shared" si="58"/>
        <v>1</v>
      </c>
      <c r="U641" s="123">
        <f t="shared" si="59"/>
        <v>0</v>
      </c>
    </row>
    <row r="642" spans="11:21" x14ac:dyDescent="0.25">
      <c r="K642" s="123" t="s">
        <v>751</v>
      </c>
      <c r="L642" s="126">
        <v>6504.7749210243692</v>
      </c>
      <c r="M642" s="126">
        <v>6.5110113482486831</v>
      </c>
      <c r="N642" s="126">
        <v>6235.060873651676</v>
      </c>
      <c r="O642" s="126">
        <v>7.023298939395799</v>
      </c>
      <c r="P642" s="123">
        <f t="shared" si="56"/>
        <v>269.71404737269313</v>
      </c>
      <c r="Q642" s="123">
        <f t="shared" si="57"/>
        <v>-0.51228759114711586</v>
      </c>
      <c r="R642" s="123">
        <f t="shared" si="54"/>
        <v>123715.45204394929</v>
      </c>
      <c r="S642" s="123">
        <f t="shared" si="55"/>
        <v>134230.91791426431</v>
      </c>
      <c r="T642" s="123">
        <f t="shared" si="58"/>
        <v>0</v>
      </c>
      <c r="U642" s="123">
        <f t="shared" si="59"/>
        <v>1</v>
      </c>
    </row>
    <row r="643" spans="11:21" x14ac:dyDescent="0.25">
      <c r="K643" s="123" t="s">
        <v>752</v>
      </c>
      <c r="L643" s="126">
        <v>6602.4032872687021</v>
      </c>
      <c r="M643" s="126">
        <v>6.2242217567974887</v>
      </c>
      <c r="N643" s="126">
        <v>6489.5874176932412</v>
      </c>
      <c r="O643" s="126">
        <v>6.7960466107384896</v>
      </c>
      <c r="P643" s="123">
        <f t="shared" si="56"/>
        <v>112.81586957546097</v>
      </c>
      <c r="Q643" s="123">
        <f t="shared" si="57"/>
        <v>-0.57182485394100091</v>
      </c>
      <c r="R643" s="123">
        <f t="shared" si="54"/>
        <v>117882.03184868107</v>
      </c>
      <c r="S643" s="123">
        <f t="shared" si="55"/>
        <v>129431.34479707656</v>
      </c>
      <c r="T643" s="123">
        <f t="shared" si="58"/>
        <v>0</v>
      </c>
      <c r="U643" s="123">
        <f t="shared" si="59"/>
        <v>1</v>
      </c>
    </row>
    <row r="644" spans="11:21" x14ac:dyDescent="0.25">
      <c r="K644" s="123" t="s">
        <v>753</v>
      </c>
      <c r="L644" s="126">
        <v>8373.1084230773959</v>
      </c>
      <c r="M644" s="126">
        <v>8.7225897123055169</v>
      </c>
      <c r="N644" s="126">
        <v>7572.5037828899176</v>
      </c>
      <c r="O644" s="126">
        <v>7.7332809447297164</v>
      </c>
      <c r="P644" s="123">
        <f t="shared" si="56"/>
        <v>800.60464018747825</v>
      </c>
      <c r="Q644" s="123">
        <f t="shared" si="57"/>
        <v>0.98930876757580055</v>
      </c>
      <c r="R644" s="123">
        <f t="shared" si="54"/>
        <v>166078.68582303295</v>
      </c>
      <c r="S644" s="123">
        <f t="shared" si="55"/>
        <v>147093.11511170439</v>
      </c>
      <c r="T644" s="123">
        <f t="shared" si="58"/>
        <v>1</v>
      </c>
      <c r="U644" s="123">
        <f t="shared" si="59"/>
        <v>0</v>
      </c>
    </row>
    <row r="645" spans="11:21" x14ac:dyDescent="0.25">
      <c r="K645" s="123" t="s">
        <v>754</v>
      </c>
      <c r="L645" s="126">
        <v>10311.35069325899</v>
      </c>
      <c r="M645" s="126">
        <v>11.290193496795027</v>
      </c>
      <c r="N645" s="126">
        <v>6521.2842550061177</v>
      </c>
      <c r="O645" s="126">
        <v>7.7627503444565207</v>
      </c>
      <c r="P645" s="123">
        <f t="shared" si="56"/>
        <v>3790.0664382528721</v>
      </c>
      <c r="Q645" s="123">
        <f t="shared" si="57"/>
        <v>3.5274431523385061</v>
      </c>
      <c r="R645" s="123">
        <f t="shared" si="54"/>
        <v>215492.51924264155</v>
      </c>
      <c r="S645" s="123">
        <f t="shared" si="55"/>
        <v>148733.72263412431</v>
      </c>
      <c r="T645" s="123">
        <f t="shared" si="58"/>
        <v>1</v>
      </c>
      <c r="U645" s="123">
        <f t="shared" si="59"/>
        <v>0</v>
      </c>
    </row>
    <row r="646" spans="11:21" x14ac:dyDescent="0.25">
      <c r="K646" s="123" t="s">
        <v>755</v>
      </c>
      <c r="L646" s="126">
        <v>7228.4812359998523</v>
      </c>
      <c r="M646" s="126">
        <v>6.5174249580352415</v>
      </c>
      <c r="N646" s="126">
        <v>7513.1103035821134</v>
      </c>
      <c r="O646" s="126">
        <v>7.0876633216440466</v>
      </c>
      <c r="P646" s="123">
        <f t="shared" si="56"/>
        <v>-284.62906758226109</v>
      </c>
      <c r="Q646" s="123">
        <f t="shared" si="57"/>
        <v>-0.57023836360880509</v>
      </c>
      <c r="R646" s="123">
        <f t="shared" si="54"/>
        <v>123120.01792470498</v>
      </c>
      <c r="S646" s="123">
        <f t="shared" si="55"/>
        <v>134240.15612929882</v>
      </c>
      <c r="T646" s="123">
        <f t="shared" si="58"/>
        <v>0</v>
      </c>
      <c r="U646" s="123">
        <f t="shared" si="59"/>
        <v>1</v>
      </c>
    </row>
    <row r="647" spans="11:21" x14ac:dyDescent="0.25">
      <c r="K647" s="123" t="s">
        <v>756</v>
      </c>
      <c r="L647" s="126">
        <v>5955.023214592703</v>
      </c>
      <c r="M647" s="126">
        <v>5.7579978415915418</v>
      </c>
      <c r="N647" s="126">
        <v>6499.4172652957122</v>
      </c>
      <c r="O647" s="126">
        <v>7.2405565038550286</v>
      </c>
      <c r="P647" s="123">
        <f t="shared" si="56"/>
        <v>-544.39405070300927</v>
      </c>
      <c r="Q647" s="123">
        <f t="shared" si="57"/>
        <v>-1.4825586622634868</v>
      </c>
      <c r="R647" s="123">
        <f t="shared" si="54"/>
        <v>109204.93361723813</v>
      </c>
      <c r="S647" s="123">
        <f t="shared" si="55"/>
        <v>138311.71281180484</v>
      </c>
      <c r="T647" s="123">
        <f t="shared" si="58"/>
        <v>0</v>
      </c>
      <c r="U647" s="123">
        <f t="shared" si="59"/>
        <v>1</v>
      </c>
    </row>
    <row r="648" spans="11:21" x14ac:dyDescent="0.25">
      <c r="K648" s="123" t="s">
        <v>757</v>
      </c>
      <c r="L648" s="126">
        <v>9969.6529575612312</v>
      </c>
      <c r="M648" s="126">
        <v>9.000476651365144</v>
      </c>
      <c r="N648" s="126">
        <v>5559.9082858207385</v>
      </c>
      <c r="O648" s="126">
        <v>5.1076298138154641</v>
      </c>
      <c r="P648" s="123">
        <f t="shared" si="56"/>
        <v>4409.7446717404928</v>
      </c>
      <c r="Q648" s="123">
        <f t="shared" si="57"/>
        <v>3.8928468375496799</v>
      </c>
      <c r="R648" s="123">
        <f t="shared" si="54"/>
        <v>170039.88006974166</v>
      </c>
      <c r="S648" s="123">
        <f t="shared" si="55"/>
        <v>96592.687990488543</v>
      </c>
      <c r="T648" s="123">
        <f t="shared" si="58"/>
        <v>1</v>
      </c>
      <c r="U648" s="123">
        <f t="shared" si="59"/>
        <v>0</v>
      </c>
    </row>
    <row r="649" spans="11:21" x14ac:dyDescent="0.25">
      <c r="K649" s="123" t="s">
        <v>758</v>
      </c>
      <c r="L649" s="126">
        <v>8851.1420750115685</v>
      </c>
      <c r="M649" s="126">
        <v>8.7975407743670431</v>
      </c>
      <c r="N649" s="126">
        <v>5781.7327494704296</v>
      </c>
      <c r="O649" s="126">
        <v>6.4412886276693202</v>
      </c>
      <c r="P649" s="123">
        <f t="shared" si="56"/>
        <v>3069.409325541139</v>
      </c>
      <c r="Q649" s="123">
        <f t="shared" si="57"/>
        <v>2.3562521466977229</v>
      </c>
      <c r="R649" s="123">
        <f t="shared" si="54"/>
        <v>167099.67341232928</v>
      </c>
      <c r="S649" s="123">
        <f t="shared" si="55"/>
        <v>123044.03980391598</v>
      </c>
      <c r="T649" s="123">
        <f t="shared" si="58"/>
        <v>1</v>
      </c>
      <c r="U649" s="123">
        <f t="shared" si="59"/>
        <v>0</v>
      </c>
    </row>
    <row r="650" spans="11:21" x14ac:dyDescent="0.25">
      <c r="K650" s="123" t="s">
        <v>759</v>
      </c>
      <c r="L650" s="126">
        <v>9037.4697711617537</v>
      </c>
      <c r="M650" s="126">
        <v>8.6667986713226686</v>
      </c>
      <c r="N650" s="126">
        <v>6030.8825718554453</v>
      </c>
      <c r="O650" s="126">
        <v>6.0587287337515177</v>
      </c>
      <c r="P650" s="123">
        <f t="shared" si="56"/>
        <v>3006.5871993063083</v>
      </c>
      <c r="Q650" s="123">
        <f t="shared" si="57"/>
        <v>2.6080699375711509</v>
      </c>
      <c r="R650" s="123">
        <f t="shared" si="54"/>
        <v>164298.5036552916</v>
      </c>
      <c r="S650" s="123">
        <f t="shared" si="55"/>
        <v>115143.69210317491</v>
      </c>
      <c r="T650" s="123">
        <f t="shared" si="58"/>
        <v>1</v>
      </c>
      <c r="U650" s="123">
        <f t="shared" si="59"/>
        <v>0</v>
      </c>
    </row>
    <row r="651" spans="11:21" x14ac:dyDescent="0.25">
      <c r="K651" s="123" t="s">
        <v>760</v>
      </c>
      <c r="L651" s="126">
        <v>11014.574547930757</v>
      </c>
      <c r="M651" s="126">
        <v>11.369709432589044</v>
      </c>
      <c r="N651" s="126">
        <v>6851.4556824810861</v>
      </c>
      <c r="O651" s="126">
        <v>8.1599322577300413</v>
      </c>
      <c r="P651" s="123">
        <f t="shared" si="56"/>
        <v>4163.1188654496709</v>
      </c>
      <c r="Q651" s="123">
        <f t="shared" si="57"/>
        <v>3.2097771748590027</v>
      </c>
      <c r="R651" s="123">
        <f t="shared" si="54"/>
        <v>216379.61410385012</v>
      </c>
      <c r="S651" s="123">
        <f t="shared" si="55"/>
        <v>156347.18947211973</v>
      </c>
      <c r="T651" s="123">
        <f t="shared" si="58"/>
        <v>1</v>
      </c>
      <c r="U651" s="123">
        <f t="shared" si="59"/>
        <v>0</v>
      </c>
    </row>
    <row r="652" spans="11:21" x14ac:dyDescent="0.25">
      <c r="K652" s="123" t="s">
        <v>761</v>
      </c>
      <c r="L652" s="126">
        <v>7849.7325183884132</v>
      </c>
      <c r="M652" s="126">
        <v>7.2601666071637458</v>
      </c>
      <c r="N652" s="126">
        <v>7394.8652467539468</v>
      </c>
      <c r="O652" s="126">
        <v>7.5105428672032328</v>
      </c>
      <c r="P652" s="123">
        <f t="shared" si="56"/>
        <v>454.86727163446631</v>
      </c>
      <c r="Q652" s="123">
        <f t="shared" si="57"/>
        <v>-0.25037626003948699</v>
      </c>
      <c r="R652" s="123">
        <f t="shared" si="54"/>
        <v>137353.5996248865</v>
      </c>
      <c r="S652" s="123">
        <f t="shared" si="55"/>
        <v>142815.99209731072</v>
      </c>
      <c r="T652" s="123">
        <f t="shared" si="58"/>
        <v>0</v>
      </c>
      <c r="U652" s="123">
        <f t="shared" si="59"/>
        <v>1</v>
      </c>
    </row>
    <row r="653" spans="11:21" x14ac:dyDescent="0.25">
      <c r="K653" s="123" t="s">
        <v>762</v>
      </c>
      <c r="L653" s="126">
        <v>8128.9710410588505</v>
      </c>
      <c r="M653" s="126">
        <v>7.1962107535807283</v>
      </c>
      <c r="N653" s="126">
        <v>7836.3621427617245</v>
      </c>
      <c r="O653" s="126">
        <v>7.4333380776262512</v>
      </c>
      <c r="P653" s="123">
        <f t="shared" si="56"/>
        <v>292.60889829712596</v>
      </c>
      <c r="Q653" s="123">
        <f t="shared" si="57"/>
        <v>-0.23712732404552295</v>
      </c>
      <c r="R653" s="123">
        <f t="shared" si="54"/>
        <v>135795.24403055571</v>
      </c>
      <c r="S653" s="123">
        <f t="shared" si="55"/>
        <v>140830.39940976328</v>
      </c>
      <c r="T653" s="123">
        <f t="shared" si="58"/>
        <v>0</v>
      </c>
      <c r="U653" s="123">
        <f t="shared" si="59"/>
        <v>1</v>
      </c>
    </row>
    <row r="654" spans="11:21" x14ac:dyDescent="0.25">
      <c r="K654" s="123" t="s">
        <v>763</v>
      </c>
      <c r="L654" s="126">
        <v>7227.1271291401881</v>
      </c>
      <c r="M654" s="126">
        <v>3.5530261148071984</v>
      </c>
      <c r="N654" s="126">
        <v>7870.9721550954</v>
      </c>
      <c r="O654" s="126">
        <v>5.154245674801424</v>
      </c>
      <c r="P654" s="123">
        <f t="shared" si="56"/>
        <v>-643.8450259552119</v>
      </c>
      <c r="Q654" s="123">
        <f t="shared" si="57"/>
        <v>-1.6012195599942256</v>
      </c>
      <c r="R654" s="123">
        <f t="shared" si="54"/>
        <v>63833.395167003786</v>
      </c>
      <c r="S654" s="123">
        <f t="shared" si="55"/>
        <v>95213.941340933088</v>
      </c>
      <c r="T654" s="123">
        <f t="shared" si="58"/>
        <v>0</v>
      </c>
      <c r="U654" s="123">
        <f t="shared" si="59"/>
        <v>1</v>
      </c>
    </row>
    <row r="655" spans="11:21" x14ac:dyDescent="0.25">
      <c r="K655" s="123" t="s">
        <v>764</v>
      </c>
      <c r="L655" s="126">
        <v>9602.5713255344817</v>
      </c>
      <c r="M655" s="126">
        <v>7.9192186050948372</v>
      </c>
      <c r="N655" s="126">
        <v>7130.0033661502785</v>
      </c>
      <c r="O655" s="126">
        <v>6.3734612043609369</v>
      </c>
      <c r="P655" s="123">
        <f t="shared" si="56"/>
        <v>2472.5679593842033</v>
      </c>
      <c r="Q655" s="123">
        <f t="shared" si="57"/>
        <v>1.5457574007339003</v>
      </c>
      <c r="R655" s="123">
        <f t="shared" si="54"/>
        <v>148781.80077636224</v>
      </c>
      <c r="S655" s="123">
        <f t="shared" si="55"/>
        <v>120339.22072106846</v>
      </c>
      <c r="T655" s="123">
        <f t="shared" si="58"/>
        <v>1</v>
      </c>
      <c r="U655" s="123">
        <f t="shared" si="59"/>
        <v>0</v>
      </c>
    </row>
    <row r="656" spans="11:21" x14ac:dyDescent="0.25">
      <c r="K656" s="123" t="s">
        <v>765</v>
      </c>
      <c r="L656" s="126">
        <v>7804.3943003643035</v>
      </c>
      <c r="M656" s="126">
        <v>7.1649543578311947</v>
      </c>
      <c r="N656" s="126">
        <v>4506.0843130339799</v>
      </c>
      <c r="O656" s="126">
        <v>4.7869716086595773</v>
      </c>
      <c r="P656" s="123">
        <f t="shared" si="56"/>
        <v>3298.3099873303236</v>
      </c>
      <c r="Q656" s="123">
        <f t="shared" si="57"/>
        <v>2.3779827491716174</v>
      </c>
      <c r="R656" s="123">
        <f t="shared" si="54"/>
        <v>135494.69285625959</v>
      </c>
      <c r="S656" s="123">
        <f t="shared" si="55"/>
        <v>91233.347860157563</v>
      </c>
      <c r="T656" s="123">
        <f t="shared" si="58"/>
        <v>1</v>
      </c>
      <c r="U656" s="123">
        <f t="shared" si="59"/>
        <v>0</v>
      </c>
    </row>
    <row r="657" spans="11:21" x14ac:dyDescent="0.25">
      <c r="K657" s="123" t="s">
        <v>766</v>
      </c>
      <c r="L657" s="126">
        <v>8406.4742703736083</v>
      </c>
      <c r="M657" s="126">
        <v>6.9052420410229267</v>
      </c>
      <c r="N657" s="126">
        <v>7815.3859612433071</v>
      </c>
      <c r="O657" s="126">
        <v>7.5398590663617391</v>
      </c>
      <c r="P657" s="123">
        <f t="shared" si="56"/>
        <v>591.08830913030124</v>
      </c>
      <c r="Q657" s="123">
        <f t="shared" si="57"/>
        <v>-0.63461702533881237</v>
      </c>
      <c r="R657" s="123">
        <f t="shared" ref="R657:R720" si="60">M657*willingness_to_pay-L657</f>
        <v>129698.36655008493</v>
      </c>
      <c r="S657" s="123">
        <f t="shared" ref="S657:S720" si="61">O657*willingness_to_pay-N657</f>
        <v>142981.79536599148</v>
      </c>
      <c r="T657" s="123">
        <f t="shared" si="58"/>
        <v>0</v>
      </c>
      <c r="U657" s="123">
        <f t="shared" si="59"/>
        <v>1</v>
      </c>
    </row>
    <row r="658" spans="11:21" x14ac:dyDescent="0.25">
      <c r="K658" s="123" t="s">
        <v>767</v>
      </c>
      <c r="L658" s="126">
        <v>5409.196833080041</v>
      </c>
      <c r="M658" s="126">
        <v>4.9249404816392781</v>
      </c>
      <c r="N658" s="126">
        <v>8218.8452555674667</v>
      </c>
      <c r="O658" s="126">
        <v>8.4795287611167911</v>
      </c>
      <c r="P658" s="123">
        <f t="shared" ref="P658:P721" si="62">L658-N658</f>
        <v>-2809.6484224874257</v>
      </c>
      <c r="Q658" s="123">
        <f t="shared" ref="Q658:Q721" si="63">M658-O658</f>
        <v>-3.554588279477513</v>
      </c>
      <c r="R658" s="123">
        <f t="shared" si="60"/>
        <v>93089.612799705515</v>
      </c>
      <c r="S658" s="123">
        <f t="shared" si="61"/>
        <v>161371.72996676835</v>
      </c>
      <c r="T658" s="123">
        <f t="shared" ref="T658:T721" si="64">IF(L658="", "",IF(R658=MAX(R658:S658),1,0))</f>
        <v>0</v>
      </c>
      <c r="U658" s="123">
        <f t="shared" ref="U658:U721" si="65">IF(N658="", "", IF(S658=MAX(R658:S658),1,0))</f>
        <v>1</v>
      </c>
    </row>
    <row r="659" spans="11:21" x14ac:dyDescent="0.25">
      <c r="K659" s="123" t="s">
        <v>768</v>
      </c>
      <c r="L659" s="126">
        <v>8860.0633752931462</v>
      </c>
      <c r="M659" s="126">
        <v>7.6637900245470902</v>
      </c>
      <c r="N659" s="126">
        <v>6000.5604419080646</v>
      </c>
      <c r="O659" s="126">
        <v>5.8163345784885205</v>
      </c>
      <c r="P659" s="123">
        <f t="shared" si="62"/>
        <v>2859.5029333850816</v>
      </c>
      <c r="Q659" s="123">
        <f t="shared" si="63"/>
        <v>1.8474554460585697</v>
      </c>
      <c r="R659" s="123">
        <f t="shared" si="60"/>
        <v>144415.73711564863</v>
      </c>
      <c r="S659" s="123">
        <f t="shared" si="61"/>
        <v>110326.13112786235</v>
      </c>
      <c r="T659" s="123">
        <f t="shared" si="64"/>
        <v>1</v>
      </c>
      <c r="U659" s="123">
        <f t="shared" si="65"/>
        <v>0</v>
      </c>
    </row>
    <row r="660" spans="11:21" x14ac:dyDescent="0.25">
      <c r="K660" s="123" t="s">
        <v>769</v>
      </c>
      <c r="L660" s="126">
        <v>7181.6312567724162</v>
      </c>
      <c r="M660" s="126">
        <v>7.1526871844484274</v>
      </c>
      <c r="N660" s="126">
        <v>6333.9178968271444</v>
      </c>
      <c r="O660" s="126">
        <v>6.9440278831671138</v>
      </c>
      <c r="P660" s="123">
        <f t="shared" si="62"/>
        <v>847.7133599452718</v>
      </c>
      <c r="Q660" s="123">
        <f t="shared" si="63"/>
        <v>0.2086593012813136</v>
      </c>
      <c r="R660" s="123">
        <f t="shared" si="60"/>
        <v>135872.11243219615</v>
      </c>
      <c r="S660" s="123">
        <f t="shared" si="61"/>
        <v>132546.63976651512</v>
      </c>
      <c r="T660" s="123">
        <f t="shared" si="64"/>
        <v>1</v>
      </c>
      <c r="U660" s="123">
        <f t="shared" si="65"/>
        <v>0</v>
      </c>
    </row>
    <row r="661" spans="11:21" x14ac:dyDescent="0.25">
      <c r="K661" s="123" t="s">
        <v>770</v>
      </c>
      <c r="L661" s="126">
        <v>4631.5273467958286</v>
      </c>
      <c r="M661" s="126">
        <v>3.8843687833579783</v>
      </c>
      <c r="N661" s="126">
        <v>9632.166554463236</v>
      </c>
      <c r="O661" s="126">
        <v>9.0994262468297489</v>
      </c>
      <c r="P661" s="123">
        <f t="shared" si="62"/>
        <v>-5000.6392076674074</v>
      </c>
      <c r="Q661" s="123">
        <f t="shared" si="63"/>
        <v>-5.215057463471771</v>
      </c>
      <c r="R661" s="123">
        <f t="shared" si="60"/>
        <v>73055.84832036373</v>
      </c>
      <c r="S661" s="123">
        <f t="shared" si="61"/>
        <v>172356.35838213173</v>
      </c>
      <c r="T661" s="123">
        <f t="shared" si="64"/>
        <v>0</v>
      </c>
      <c r="U661" s="123">
        <f t="shared" si="65"/>
        <v>1</v>
      </c>
    </row>
    <row r="662" spans="11:21" x14ac:dyDescent="0.25">
      <c r="K662" s="123" t="s">
        <v>771</v>
      </c>
      <c r="L662" s="126">
        <v>7314.1668402760333</v>
      </c>
      <c r="M662" s="126">
        <v>6.5294292363587898</v>
      </c>
      <c r="N662" s="126">
        <v>8241.7107352942676</v>
      </c>
      <c r="O662" s="126">
        <v>8.3623406071672495</v>
      </c>
      <c r="P662" s="123">
        <f t="shared" si="62"/>
        <v>-927.54389501823425</v>
      </c>
      <c r="Q662" s="123">
        <f t="shared" si="63"/>
        <v>-1.8329113708084597</v>
      </c>
      <c r="R662" s="123">
        <f t="shared" si="60"/>
        <v>123274.41788689976</v>
      </c>
      <c r="S662" s="123">
        <f t="shared" si="61"/>
        <v>159005.10140805072</v>
      </c>
      <c r="T662" s="123">
        <f t="shared" si="64"/>
        <v>0</v>
      </c>
      <c r="U662" s="123">
        <f t="shared" si="65"/>
        <v>1</v>
      </c>
    </row>
    <row r="663" spans="11:21" x14ac:dyDescent="0.25">
      <c r="K663" s="123" t="s">
        <v>772</v>
      </c>
      <c r="L663" s="126">
        <v>11026.510733094326</v>
      </c>
      <c r="M663" s="126">
        <v>8.7111769144539153</v>
      </c>
      <c r="N663" s="126">
        <v>10743.727759064997</v>
      </c>
      <c r="O663" s="126">
        <v>9.6352802783107023</v>
      </c>
      <c r="P663" s="123">
        <f t="shared" si="62"/>
        <v>282.78297402932913</v>
      </c>
      <c r="Q663" s="123">
        <f t="shared" si="63"/>
        <v>-0.92410336385678704</v>
      </c>
      <c r="R663" s="123">
        <f t="shared" si="60"/>
        <v>163197.02755598398</v>
      </c>
      <c r="S663" s="123">
        <f t="shared" si="61"/>
        <v>181961.87780714905</v>
      </c>
      <c r="T663" s="123">
        <f t="shared" si="64"/>
        <v>0</v>
      </c>
      <c r="U663" s="123">
        <f t="shared" si="65"/>
        <v>1</v>
      </c>
    </row>
    <row r="664" spans="11:21" x14ac:dyDescent="0.25">
      <c r="K664" s="123" t="s">
        <v>773</v>
      </c>
      <c r="L664" s="126">
        <v>7774.9379106859833</v>
      </c>
      <c r="M664" s="126">
        <v>7.617597087686109</v>
      </c>
      <c r="N664" s="126">
        <v>8579.8987720872665</v>
      </c>
      <c r="O664" s="126">
        <v>8.8897293267625983</v>
      </c>
      <c r="P664" s="123">
        <f t="shared" si="62"/>
        <v>-804.96086140128318</v>
      </c>
      <c r="Q664" s="123">
        <f t="shared" si="63"/>
        <v>-1.2721322390764893</v>
      </c>
      <c r="R664" s="123">
        <f t="shared" si="60"/>
        <v>144577.00384303619</v>
      </c>
      <c r="S664" s="123">
        <f t="shared" si="61"/>
        <v>169214.68776316469</v>
      </c>
      <c r="T664" s="123">
        <f t="shared" si="64"/>
        <v>0</v>
      </c>
      <c r="U664" s="123">
        <f t="shared" si="65"/>
        <v>1</v>
      </c>
    </row>
    <row r="665" spans="11:21" x14ac:dyDescent="0.25">
      <c r="K665" s="123" t="s">
        <v>774</v>
      </c>
      <c r="L665" s="126">
        <v>5895.1834825953165</v>
      </c>
      <c r="M665" s="126">
        <v>5.2890363952405073</v>
      </c>
      <c r="N665" s="126">
        <v>6725.0094904202697</v>
      </c>
      <c r="O665" s="126">
        <v>6.340588966758542</v>
      </c>
      <c r="P665" s="123">
        <f t="shared" si="62"/>
        <v>-829.82600782495319</v>
      </c>
      <c r="Q665" s="123">
        <f t="shared" si="63"/>
        <v>-1.0515525715180347</v>
      </c>
      <c r="R665" s="123">
        <f t="shared" si="60"/>
        <v>99885.544422214836</v>
      </c>
      <c r="S665" s="123">
        <f t="shared" si="61"/>
        <v>120086.76984475057</v>
      </c>
      <c r="T665" s="123">
        <f t="shared" si="64"/>
        <v>0</v>
      </c>
      <c r="U665" s="123">
        <f t="shared" si="65"/>
        <v>1</v>
      </c>
    </row>
    <row r="666" spans="11:21" x14ac:dyDescent="0.25">
      <c r="K666" s="123" t="s">
        <v>775</v>
      </c>
      <c r="L666" s="126">
        <v>6305.3199835307669</v>
      </c>
      <c r="M666" s="126">
        <v>6.3712128387149844</v>
      </c>
      <c r="N666" s="126">
        <v>6016.4858156844457</v>
      </c>
      <c r="O666" s="126">
        <v>6.1790570928453707</v>
      </c>
      <c r="P666" s="123">
        <f t="shared" si="62"/>
        <v>288.83416784632118</v>
      </c>
      <c r="Q666" s="123">
        <f t="shared" si="63"/>
        <v>0.1921557458696137</v>
      </c>
      <c r="R666" s="123">
        <f t="shared" si="60"/>
        <v>121118.93679076893</v>
      </c>
      <c r="S666" s="123">
        <f t="shared" si="61"/>
        <v>117564.65604122297</v>
      </c>
      <c r="T666" s="123">
        <f t="shared" si="64"/>
        <v>1</v>
      </c>
      <c r="U666" s="123">
        <f t="shared" si="65"/>
        <v>0</v>
      </c>
    </row>
    <row r="667" spans="11:21" x14ac:dyDescent="0.25">
      <c r="K667" s="123" t="s">
        <v>776</v>
      </c>
      <c r="L667" s="126">
        <v>8823.2519952116945</v>
      </c>
      <c r="M667" s="126">
        <v>8.5339522316782492</v>
      </c>
      <c r="N667" s="126">
        <v>7144.4065024199381</v>
      </c>
      <c r="O667" s="126">
        <v>7.4693815582001779</v>
      </c>
      <c r="P667" s="123">
        <f t="shared" si="62"/>
        <v>1678.8454927917564</v>
      </c>
      <c r="Q667" s="123">
        <f t="shared" si="63"/>
        <v>1.0645706734780713</v>
      </c>
      <c r="R667" s="123">
        <f t="shared" si="60"/>
        <v>161855.79263835328</v>
      </c>
      <c r="S667" s="123">
        <f t="shared" si="61"/>
        <v>142243.22466158363</v>
      </c>
      <c r="T667" s="123">
        <f t="shared" si="64"/>
        <v>1</v>
      </c>
      <c r="U667" s="123">
        <f t="shared" si="65"/>
        <v>0</v>
      </c>
    </row>
    <row r="668" spans="11:21" x14ac:dyDescent="0.25">
      <c r="K668" s="123" t="s">
        <v>777</v>
      </c>
      <c r="L668" s="126">
        <v>8031.6143466527028</v>
      </c>
      <c r="M668" s="126">
        <v>7.2098125151226968</v>
      </c>
      <c r="N668" s="126">
        <v>9508.8981193881718</v>
      </c>
      <c r="O668" s="126">
        <v>9.4543749959954386</v>
      </c>
      <c r="P668" s="123">
        <f t="shared" si="62"/>
        <v>-1477.283772735469</v>
      </c>
      <c r="Q668" s="123">
        <f t="shared" si="63"/>
        <v>-2.2445624808727418</v>
      </c>
      <c r="R668" s="123">
        <f t="shared" si="60"/>
        <v>136164.63595580123</v>
      </c>
      <c r="S668" s="123">
        <f t="shared" si="61"/>
        <v>179578.60180052058</v>
      </c>
      <c r="T668" s="123">
        <f t="shared" si="64"/>
        <v>0</v>
      </c>
      <c r="U668" s="123">
        <f t="shared" si="65"/>
        <v>1</v>
      </c>
    </row>
    <row r="669" spans="11:21" x14ac:dyDescent="0.25">
      <c r="K669" s="123" t="s">
        <v>778</v>
      </c>
      <c r="L669" s="126">
        <v>6601.8416651093721</v>
      </c>
      <c r="M669" s="126">
        <v>6.4488311306469024</v>
      </c>
      <c r="N669" s="126">
        <v>6175.6368822477825</v>
      </c>
      <c r="O669" s="126">
        <v>6.4658104425779959</v>
      </c>
      <c r="P669" s="123">
        <f t="shared" si="62"/>
        <v>426.20478286158959</v>
      </c>
      <c r="Q669" s="123">
        <f t="shared" si="63"/>
        <v>-1.6979311931093477E-2</v>
      </c>
      <c r="R669" s="123">
        <f t="shared" si="60"/>
        <v>122374.78094782868</v>
      </c>
      <c r="S669" s="123">
        <f t="shared" si="61"/>
        <v>123140.57196931214</v>
      </c>
      <c r="T669" s="123">
        <f t="shared" si="64"/>
        <v>0</v>
      </c>
      <c r="U669" s="123">
        <f t="shared" si="65"/>
        <v>1</v>
      </c>
    </row>
    <row r="670" spans="11:21" x14ac:dyDescent="0.25">
      <c r="K670" s="123" t="s">
        <v>779</v>
      </c>
      <c r="L670" s="126">
        <v>9312.0135588342946</v>
      </c>
      <c r="M670" s="126">
        <v>9.3271451902690128</v>
      </c>
      <c r="N670" s="126">
        <v>7308.6242743165967</v>
      </c>
      <c r="O670" s="126">
        <v>7.5073175703310122</v>
      </c>
      <c r="P670" s="123">
        <f t="shared" si="62"/>
        <v>2003.3892845176979</v>
      </c>
      <c r="Q670" s="123">
        <f t="shared" si="63"/>
        <v>1.8198276199380006</v>
      </c>
      <c r="R670" s="123">
        <f t="shared" si="60"/>
        <v>177230.89024654595</v>
      </c>
      <c r="S670" s="123">
        <f t="shared" si="61"/>
        <v>142837.72713230364</v>
      </c>
      <c r="T670" s="123">
        <f t="shared" si="64"/>
        <v>1</v>
      </c>
      <c r="U670" s="123">
        <f t="shared" si="65"/>
        <v>0</v>
      </c>
    </row>
    <row r="671" spans="11:21" x14ac:dyDescent="0.25">
      <c r="K671" s="123" t="s">
        <v>780</v>
      </c>
      <c r="L671" s="126">
        <v>9515.4406108123112</v>
      </c>
      <c r="M671" s="126">
        <v>9.7129298224495741</v>
      </c>
      <c r="N671" s="126">
        <v>6622.749432050513</v>
      </c>
      <c r="O671" s="126">
        <v>6.8920443717023474</v>
      </c>
      <c r="P671" s="123">
        <f t="shared" si="62"/>
        <v>2892.6911787617983</v>
      </c>
      <c r="Q671" s="123">
        <f t="shared" si="63"/>
        <v>2.8208854507472267</v>
      </c>
      <c r="R671" s="123">
        <f t="shared" si="60"/>
        <v>184743.15583817917</v>
      </c>
      <c r="S671" s="123">
        <f t="shared" si="61"/>
        <v>131218.13800199644</v>
      </c>
      <c r="T671" s="123">
        <f t="shared" si="64"/>
        <v>1</v>
      </c>
      <c r="U671" s="123">
        <f t="shared" si="65"/>
        <v>0</v>
      </c>
    </row>
    <row r="672" spans="11:21" x14ac:dyDescent="0.25">
      <c r="K672" s="123" t="s">
        <v>781</v>
      </c>
      <c r="L672" s="126">
        <v>8729.8012538535513</v>
      </c>
      <c r="M672" s="126">
        <v>7.8183013284495049</v>
      </c>
      <c r="N672" s="126">
        <v>9256.6636083287231</v>
      </c>
      <c r="O672" s="126">
        <v>9.4341429131692109</v>
      </c>
      <c r="P672" s="123">
        <f t="shared" si="62"/>
        <v>-526.86235447517174</v>
      </c>
      <c r="Q672" s="123">
        <f t="shared" si="63"/>
        <v>-1.6158415847197061</v>
      </c>
      <c r="R672" s="123">
        <f t="shared" si="60"/>
        <v>147636.22531513654</v>
      </c>
      <c r="S672" s="123">
        <f t="shared" si="61"/>
        <v>179426.1946550555</v>
      </c>
      <c r="T672" s="123">
        <f t="shared" si="64"/>
        <v>0</v>
      </c>
      <c r="U672" s="123">
        <f t="shared" si="65"/>
        <v>1</v>
      </c>
    </row>
    <row r="673" spans="11:21" x14ac:dyDescent="0.25">
      <c r="K673" s="123" t="s">
        <v>782</v>
      </c>
      <c r="L673" s="126">
        <v>5430.256519300191</v>
      </c>
      <c r="M673" s="126">
        <v>5.3165529989431652</v>
      </c>
      <c r="N673" s="126">
        <v>6725.0901414704522</v>
      </c>
      <c r="O673" s="126">
        <v>7.754615510524145</v>
      </c>
      <c r="P673" s="123">
        <f t="shared" si="62"/>
        <v>-1294.8336221702612</v>
      </c>
      <c r="Q673" s="123">
        <f t="shared" si="63"/>
        <v>-2.4380625115809798</v>
      </c>
      <c r="R673" s="123">
        <f t="shared" si="60"/>
        <v>100900.80345956312</v>
      </c>
      <c r="S673" s="123">
        <f t="shared" si="61"/>
        <v>148367.22006901243</v>
      </c>
      <c r="T673" s="123">
        <f t="shared" si="64"/>
        <v>0</v>
      </c>
      <c r="U673" s="123">
        <f t="shared" si="65"/>
        <v>1</v>
      </c>
    </row>
    <row r="674" spans="11:21" x14ac:dyDescent="0.25">
      <c r="K674" s="123" t="s">
        <v>783</v>
      </c>
      <c r="L674" s="126">
        <v>4690.4729215908455</v>
      </c>
      <c r="M674" s="126">
        <v>4.7901063019829913</v>
      </c>
      <c r="N674" s="126">
        <v>5509.2203356281507</v>
      </c>
      <c r="O674" s="126">
        <v>6.1842933526333121</v>
      </c>
      <c r="P674" s="123">
        <f t="shared" si="62"/>
        <v>-818.74741403730513</v>
      </c>
      <c r="Q674" s="123">
        <f t="shared" si="63"/>
        <v>-1.3941870506503209</v>
      </c>
      <c r="R674" s="123">
        <f t="shared" si="60"/>
        <v>91111.653118068978</v>
      </c>
      <c r="S674" s="123">
        <f t="shared" si="61"/>
        <v>118176.64671703809</v>
      </c>
      <c r="T674" s="123">
        <f t="shared" si="64"/>
        <v>0</v>
      </c>
      <c r="U674" s="123">
        <f t="shared" si="65"/>
        <v>1</v>
      </c>
    </row>
    <row r="675" spans="11:21" x14ac:dyDescent="0.25">
      <c r="K675" s="123" t="s">
        <v>784</v>
      </c>
      <c r="L675" s="126">
        <v>8102.6697571819186</v>
      </c>
      <c r="M675" s="126">
        <v>7.3516093471712924</v>
      </c>
      <c r="N675" s="126">
        <v>7848.1340038393982</v>
      </c>
      <c r="O675" s="126">
        <v>7.8759980628537152</v>
      </c>
      <c r="P675" s="123">
        <f t="shared" si="62"/>
        <v>254.53575334252037</v>
      </c>
      <c r="Q675" s="123">
        <f t="shared" si="63"/>
        <v>-0.52438871568242273</v>
      </c>
      <c r="R675" s="123">
        <f t="shared" si="60"/>
        <v>138929.51718624393</v>
      </c>
      <c r="S675" s="123">
        <f t="shared" si="61"/>
        <v>149671.82725323489</v>
      </c>
      <c r="T675" s="123">
        <f t="shared" si="64"/>
        <v>0</v>
      </c>
      <c r="U675" s="123">
        <f t="shared" si="65"/>
        <v>1</v>
      </c>
    </row>
    <row r="676" spans="11:21" x14ac:dyDescent="0.25">
      <c r="K676" s="123" t="s">
        <v>785</v>
      </c>
      <c r="L676" s="126">
        <v>7597.4367309507206</v>
      </c>
      <c r="M676" s="126">
        <v>6.8001142866631312</v>
      </c>
      <c r="N676" s="126">
        <v>8359.5852222965041</v>
      </c>
      <c r="O676" s="126">
        <v>8.6948842117228953</v>
      </c>
      <c r="P676" s="123">
        <f t="shared" si="62"/>
        <v>-762.14849134578344</v>
      </c>
      <c r="Q676" s="123">
        <f t="shared" si="63"/>
        <v>-1.894769925059764</v>
      </c>
      <c r="R676" s="123">
        <f t="shared" si="60"/>
        <v>128404.84900231191</v>
      </c>
      <c r="S676" s="123">
        <f t="shared" si="61"/>
        <v>165538.0990121614</v>
      </c>
      <c r="T676" s="123">
        <f t="shared" si="64"/>
        <v>0</v>
      </c>
      <c r="U676" s="123">
        <f t="shared" si="65"/>
        <v>1</v>
      </c>
    </row>
    <row r="677" spans="11:21" x14ac:dyDescent="0.25">
      <c r="K677" s="123" t="s">
        <v>786</v>
      </c>
      <c r="L677" s="126">
        <v>7545.2496480218888</v>
      </c>
      <c r="M677" s="126">
        <v>7.0393390520070938</v>
      </c>
      <c r="N677" s="126">
        <v>7328.4810798721173</v>
      </c>
      <c r="O677" s="126">
        <v>6.8725244134817345</v>
      </c>
      <c r="P677" s="123">
        <f t="shared" si="62"/>
        <v>216.76856814977145</v>
      </c>
      <c r="Q677" s="123">
        <f t="shared" si="63"/>
        <v>0.16681463852535927</v>
      </c>
      <c r="R677" s="123">
        <f t="shared" si="60"/>
        <v>133241.53139212</v>
      </c>
      <c r="S677" s="123">
        <f t="shared" si="61"/>
        <v>130122.00718976257</v>
      </c>
      <c r="T677" s="123">
        <f t="shared" si="64"/>
        <v>1</v>
      </c>
      <c r="U677" s="123">
        <f t="shared" si="65"/>
        <v>0</v>
      </c>
    </row>
    <row r="678" spans="11:21" x14ac:dyDescent="0.25">
      <c r="K678" s="123" t="s">
        <v>787</v>
      </c>
      <c r="L678" s="126">
        <v>8497.202988211211</v>
      </c>
      <c r="M678" s="126">
        <v>7.8754277272760396</v>
      </c>
      <c r="N678" s="126">
        <v>5752.8244293942571</v>
      </c>
      <c r="O678" s="126">
        <v>6.1566896100275912</v>
      </c>
      <c r="P678" s="123">
        <f t="shared" si="62"/>
        <v>2744.378558816954</v>
      </c>
      <c r="Q678" s="123">
        <f t="shared" si="63"/>
        <v>1.7187381172484484</v>
      </c>
      <c r="R678" s="123">
        <f t="shared" si="60"/>
        <v>149011.35155730959</v>
      </c>
      <c r="S678" s="123">
        <f t="shared" si="61"/>
        <v>117380.96777115756</v>
      </c>
      <c r="T678" s="123">
        <f t="shared" si="64"/>
        <v>1</v>
      </c>
      <c r="U678" s="123">
        <f t="shared" si="65"/>
        <v>0</v>
      </c>
    </row>
    <row r="679" spans="11:21" x14ac:dyDescent="0.25">
      <c r="K679" s="123" t="s">
        <v>788</v>
      </c>
      <c r="L679" s="126">
        <v>10587.909178470962</v>
      </c>
      <c r="M679" s="126">
        <v>10.645556457228162</v>
      </c>
      <c r="N679" s="126">
        <v>5466.4454367603721</v>
      </c>
      <c r="O679" s="126">
        <v>5.590731203122858</v>
      </c>
      <c r="P679" s="123">
        <f t="shared" si="62"/>
        <v>5121.4637417105896</v>
      </c>
      <c r="Q679" s="123">
        <f t="shared" si="63"/>
        <v>5.054825254105304</v>
      </c>
      <c r="R679" s="123">
        <f t="shared" si="60"/>
        <v>202323.21996609229</v>
      </c>
      <c r="S679" s="123">
        <f t="shared" si="61"/>
        <v>106348.17862569679</v>
      </c>
      <c r="T679" s="123">
        <f t="shared" si="64"/>
        <v>1</v>
      </c>
      <c r="U679" s="123">
        <f t="shared" si="65"/>
        <v>0</v>
      </c>
    </row>
    <row r="680" spans="11:21" x14ac:dyDescent="0.25">
      <c r="K680" s="123" t="s">
        <v>789</v>
      </c>
      <c r="L680" s="126">
        <v>10120.004260081354</v>
      </c>
      <c r="M680" s="126">
        <v>9.029403996031709</v>
      </c>
      <c r="N680" s="126">
        <v>6931.1322410137163</v>
      </c>
      <c r="O680" s="126">
        <v>6.3253750245698646</v>
      </c>
      <c r="P680" s="123">
        <f t="shared" si="62"/>
        <v>3188.8720190676377</v>
      </c>
      <c r="Q680" s="123">
        <f t="shared" si="63"/>
        <v>2.7040289714618444</v>
      </c>
      <c r="R680" s="123">
        <f t="shared" si="60"/>
        <v>170468.07566055283</v>
      </c>
      <c r="S680" s="123">
        <f t="shared" si="61"/>
        <v>119576.36825038357</v>
      </c>
      <c r="T680" s="123">
        <f t="shared" si="64"/>
        <v>1</v>
      </c>
      <c r="U680" s="123">
        <f t="shared" si="65"/>
        <v>0</v>
      </c>
    </row>
    <row r="681" spans="11:21" x14ac:dyDescent="0.25">
      <c r="K681" s="123" t="s">
        <v>790</v>
      </c>
      <c r="L681" s="126">
        <v>5918.4871774831627</v>
      </c>
      <c r="M681" s="126">
        <v>6.1962314314703644</v>
      </c>
      <c r="N681" s="126">
        <v>4308.9335060612611</v>
      </c>
      <c r="O681" s="126">
        <v>5.2278070130861574</v>
      </c>
      <c r="P681" s="123">
        <f t="shared" si="62"/>
        <v>1609.5536714219015</v>
      </c>
      <c r="Q681" s="123">
        <f t="shared" si="63"/>
        <v>0.96842441838420701</v>
      </c>
      <c r="R681" s="123">
        <f t="shared" si="60"/>
        <v>118006.14145192414</v>
      </c>
      <c r="S681" s="123">
        <f t="shared" si="61"/>
        <v>100247.20675566189</v>
      </c>
      <c r="T681" s="123">
        <f t="shared" si="64"/>
        <v>1</v>
      </c>
      <c r="U681" s="123">
        <f t="shared" si="65"/>
        <v>0</v>
      </c>
    </row>
    <row r="682" spans="11:21" x14ac:dyDescent="0.25">
      <c r="K682" s="123" t="s">
        <v>791</v>
      </c>
      <c r="L682" s="126">
        <v>5200.956152247878</v>
      </c>
      <c r="M682" s="126">
        <v>5.0788898421652258</v>
      </c>
      <c r="N682" s="126">
        <v>7015.0784725668645</v>
      </c>
      <c r="O682" s="126">
        <v>7.7761963713880524</v>
      </c>
      <c r="P682" s="123">
        <f t="shared" si="62"/>
        <v>-1814.1223203189866</v>
      </c>
      <c r="Q682" s="123">
        <f t="shared" si="63"/>
        <v>-2.6973065292228267</v>
      </c>
      <c r="R682" s="123">
        <f t="shared" si="60"/>
        <v>96376.840691056641</v>
      </c>
      <c r="S682" s="123">
        <f t="shared" si="61"/>
        <v>148508.84895519417</v>
      </c>
      <c r="T682" s="123">
        <f t="shared" si="64"/>
        <v>0</v>
      </c>
      <c r="U682" s="123">
        <f t="shared" si="65"/>
        <v>1</v>
      </c>
    </row>
    <row r="683" spans="11:21" x14ac:dyDescent="0.25">
      <c r="K683" s="123" t="s">
        <v>792</v>
      </c>
      <c r="L683" s="126">
        <v>8423.0656313286272</v>
      </c>
      <c r="M683" s="126">
        <v>7.5049400056705249</v>
      </c>
      <c r="N683" s="126">
        <v>9015.362608570309</v>
      </c>
      <c r="O683" s="126">
        <v>8.864069340667406</v>
      </c>
      <c r="P683" s="123">
        <f t="shared" si="62"/>
        <v>-592.29697724168182</v>
      </c>
      <c r="Q683" s="123">
        <f t="shared" si="63"/>
        <v>-1.3591293349968812</v>
      </c>
      <c r="R683" s="123">
        <f t="shared" si="60"/>
        <v>141675.73448208187</v>
      </c>
      <c r="S683" s="123">
        <f t="shared" si="61"/>
        <v>168266.02420477782</v>
      </c>
      <c r="T683" s="123">
        <f t="shared" si="64"/>
        <v>0</v>
      </c>
      <c r="U683" s="123">
        <f t="shared" si="65"/>
        <v>1</v>
      </c>
    </row>
    <row r="684" spans="11:21" x14ac:dyDescent="0.25">
      <c r="K684" s="123" t="s">
        <v>793</v>
      </c>
      <c r="L684" s="126">
        <v>7303.0331440789596</v>
      </c>
      <c r="M684" s="126">
        <v>6.1599249429436087</v>
      </c>
      <c r="N684" s="126">
        <v>7510.3921018765886</v>
      </c>
      <c r="O684" s="126">
        <v>6.4734501015609238</v>
      </c>
      <c r="P684" s="123">
        <f t="shared" si="62"/>
        <v>-207.35895779762905</v>
      </c>
      <c r="Q684" s="123">
        <f t="shared" si="63"/>
        <v>-0.31352515861731511</v>
      </c>
      <c r="R684" s="123">
        <f t="shared" si="60"/>
        <v>115895.46571479322</v>
      </c>
      <c r="S684" s="123">
        <f t="shared" si="61"/>
        <v>121958.6099293419</v>
      </c>
      <c r="T684" s="123">
        <f t="shared" si="64"/>
        <v>0</v>
      </c>
      <c r="U684" s="123">
        <f t="shared" si="65"/>
        <v>1</v>
      </c>
    </row>
    <row r="685" spans="11:21" x14ac:dyDescent="0.25">
      <c r="K685" s="123" t="s">
        <v>794</v>
      </c>
      <c r="L685" s="126">
        <v>8027.5952446666106</v>
      </c>
      <c r="M685" s="126">
        <v>7.4375645916121922</v>
      </c>
      <c r="N685" s="126">
        <v>7166.0761488851895</v>
      </c>
      <c r="O685" s="126">
        <v>6.7828887896614791</v>
      </c>
      <c r="P685" s="123">
        <f t="shared" si="62"/>
        <v>861.51909578142113</v>
      </c>
      <c r="Q685" s="123">
        <f t="shared" si="63"/>
        <v>0.65467580195071307</v>
      </c>
      <c r="R685" s="123">
        <f t="shared" si="60"/>
        <v>140723.69658757723</v>
      </c>
      <c r="S685" s="123">
        <f t="shared" si="61"/>
        <v>128491.69964434439</v>
      </c>
      <c r="T685" s="123">
        <f t="shared" si="64"/>
        <v>1</v>
      </c>
      <c r="U685" s="123">
        <f t="shared" si="65"/>
        <v>0</v>
      </c>
    </row>
    <row r="686" spans="11:21" x14ac:dyDescent="0.25">
      <c r="K686" s="123" t="s">
        <v>795</v>
      </c>
      <c r="L686" s="126">
        <v>6120.8659640717406</v>
      </c>
      <c r="M686" s="126">
        <v>5.853345192162843</v>
      </c>
      <c r="N686" s="126">
        <v>7807.3288093880246</v>
      </c>
      <c r="O686" s="126">
        <v>7.9896614995210031</v>
      </c>
      <c r="P686" s="123">
        <f t="shared" si="62"/>
        <v>-1686.4628453162841</v>
      </c>
      <c r="Q686" s="123">
        <f t="shared" si="63"/>
        <v>-2.1363163073581601</v>
      </c>
      <c r="R686" s="123">
        <f t="shared" si="60"/>
        <v>110946.03787918513</v>
      </c>
      <c r="S686" s="123">
        <f t="shared" si="61"/>
        <v>151985.90118103204</v>
      </c>
      <c r="T686" s="123">
        <f t="shared" si="64"/>
        <v>0</v>
      </c>
      <c r="U686" s="123">
        <f t="shared" si="65"/>
        <v>1</v>
      </c>
    </row>
    <row r="687" spans="11:21" x14ac:dyDescent="0.25">
      <c r="K687" s="123" t="s">
        <v>796</v>
      </c>
      <c r="L687" s="126">
        <v>6258.8276615933028</v>
      </c>
      <c r="M687" s="126">
        <v>5.3613357381656721</v>
      </c>
      <c r="N687" s="126">
        <v>8292.2783196432956</v>
      </c>
      <c r="O687" s="126">
        <v>8.1825872189921984</v>
      </c>
      <c r="P687" s="123">
        <f t="shared" si="62"/>
        <v>-2033.4506580499929</v>
      </c>
      <c r="Q687" s="123">
        <f t="shared" si="63"/>
        <v>-2.8212514808265263</v>
      </c>
      <c r="R687" s="123">
        <f t="shared" si="60"/>
        <v>100967.88710172015</v>
      </c>
      <c r="S687" s="123">
        <f t="shared" si="61"/>
        <v>155359.46606020068</v>
      </c>
      <c r="T687" s="123">
        <f t="shared" si="64"/>
        <v>0</v>
      </c>
      <c r="U687" s="123">
        <f t="shared" si="65"/>
        <v>1</v>
      </c>
    </row>
    <row r="688" spans="11:21" x14ac:dyDescent="0.25">
      <c r="K688" s="123" t="s">
        <v>797</v>
      </c>
      <c r="L688" s="126">
        <v>7975.1253421159336</v>
      </c>
      <c r="M688" s="126">
        <v>8.5934583305208374</v>
      </c>
      <c r="N688" s="126">
        <v>5748.9176584011102</v>
      </c>
      <c r="O688" s="126">
        <v>6.4521462702736327</v>
      </c>
      <c r="P688" s="123">
        <f t="shared" si="62"/>
        <v>2226.2076837148234</v>
      </c>
      <c r="Q688" s="123">
        <f t="shared" si="63"/>
        <v>2.1413120602472047</v>
      </c>
      <c r="R688" s="123">
        <f t="shared" si="60"/>
        <v>163894.04126830082</v>
      </c>
      <c r="S688" s="123">
        <f t="shared" si="61"/>
        <v>123294.00774707153</v>
      </c>
      <c r="T688" s="123">
        <f t="shared" si="64"/>
        <v>1</v>
      </c>
      <c r="U688" s="123">
        <f t="shared" si="65"/>
        <v>0</v>
      </c>
    </row>
    <row r="689" spans="11:21" x14ac:dyDescent="0.25">
      <c r="K689" s="123" t="s">
        <v>798</v>
      </c>
      <c r="L689" s="126">
        <v>7800.6425693755591</v>
      </c>
      <c r="M689" s="126">
        <v>7.0636453640266561</v>
      </c>
      <c r="N689" s="126">
        <v>6304.6552606675141</v>
      </c>
      <c r="O689" s="126">
        <v>6.3067142086536929</v>
      </c>
      <c r="P689" s="123">
        <f t="shared" si="62"/>
        <v>1495.987308708045</v>
      </c>
      <c r="Q689" s="123">
        <f t="shared" si="63"/>
        <v>0.75693115537296318</v>
      </c>
      <c r="R689" s="123">
        <f t="shared" si="60"/>
        <v>133472.26471115754</v>
      </c>
      <c r="S689" s="123">
        <f t="shared" si="61"/>
        <v>119829.62891240635</v>
      </c>
      <c r="T689" s="123">
        <f t="shared" si="64"/>
        <v>1</v>
      </c>
      <c r="U689" s="123">
        <f t="shared" si="65"/>
        <v>0</v>
      </c>
    </row>
    <row r="690" spans="11:21" x14ac:dyDescent="0.25">
      <c r="K690" s="123" t="s">
        <v>799</v>
      </c>
      <c r="L690" s="126">
        <v>8625.4875596785441</v>
      </c>
      <c r="M690" s="126">
        <v>8.7349757128226013</v>
      </c>
      <c r="N690" s="126">
        <v>7531.2555911813624</v>
      </c>
      <c r="O690" s="126">
        <v>8.0749825931717645</v>
      </c>
      <c r="P690" s="123">
        <f t="shared" si="62"/>
        <v>1094.2319684971817</v>
      </c>
      <c r="Q690" s="123">
        <f t="shared" si="63"/>
        <v>0.65999311965083685</v>
      </c>
      <c r="R690" s="123">
        <f t="shared" si="60"/>
        <v>166074.02669677348</v>
      </c>
      <c r="S690" s="123">
        <f t="shared" si="61"/>
        <v>153968.39627225391</v>
      </c>
      <c r="T690" s="123">
        <f t="shared" si="64"/>
        <v>1</v>
      </c>
      <c r="U690" s="123">
        <f t="shared" si="65"/>
        <v>0</v>
      </c>
    </row>
    <row r="691" spans="11:21" x14ac:dyDescent="0.25">
      <c r="K691" s="123" t="s">
        <v>800</v>
      </c>
      <c r="L691" s="126">
        <v>9122.9476336771513</v>
      </c>
      <c r="M691" s="126">
        <v>9.6123342189194307</v>
      </c>
      <c r="N691" s="126">
        <v>5241.3085862583603</v>
      </c>
      <c r="O691" s="126">
        <v>5.9151971026604366</v>
      </c>
      <c r="P691" s="123">
        <f t="shared" si="62"/>
        <v>3881.6390474187911</v>
      </c>
      <c r="Q691" s="123">
        <f t="shared" si="63"/>
        <v>3.6971371162589941</v>
      </c>
      <c r="R691" s="123">
        <f t="shared" si="60"/>
        <v>183123.73674471147</v>
      </c>
      <c r="S691" s="123">
        <f t="shared" si="61"/>
        <v>113062.63346695038</v>
      </c>
      <c r="T691" s="123">
        <f t="shared" si="64"/>
        <v>1</v>
      </c>
      <c r="U691" s="123">
        <f t="shared" si="65"/>
        <v>0</v>
      </c>
    </row>
    <row r="692" spans="11:21" x14ac:dyDescent="0.25">
      <c r="K692" s="123" t="s">
        <v>801</v>
      </c>
      <c r="L692" s="126">
        <v>8413.8156366980202</v>
      </c>
      <c r="M692" s="126">
        <v>8.6563979027966234</v>
      </c>
      <c r="N692" s="126">
        <v>6534.6020849290244</v>
      </c>
      <c r="O692" s="126">
        <v>7.7845821916522002</v>
      </c>
      <c r="P692" s="123">
        <f t="shared" si="62"/>
        <v>1879.2135517689958</v>
      </c>
      <c r="Q692" s="123">
        <f t="shared" si="63"/>
        <v>0.87181571114442313</v>
      </c>
      <c r="R692" s="123">
        <f t="shared" si="60"/>
        <v>164714.14241923444</v>
      </c>
      <c r="S692" s="123">
        <f t="shared" si="61"/>
        <v>149157.04174811498</v>
      </c>
      <c r="T692" s="123">
        <f t="shared" si="64"/>
        <v>1</v>
      </c>
      <c r="U692" s="123">
        <f t="shared" si="65"/>
        <v>0</v>
      </c>
    </row>
    <row r="693" spans="11:21" x14ac:dyDescent="0.25">
      <c r="K693" s="123" t="s">
        <v>802</v>
      </c>
      <c r="L693" s="126">
        <v>7597.0561139722959</v>
      </c>
      <c r="M693" s="126">
        <v>7.6473765828378983</v>
      </c>
      <c r="N693" s="126">
        <v>7563.9762769613199</v>
      </c>
      <c r="O693" s="126">
        <v>8.765451757835411</v>
      </c>
      <c r="P693" s="123">
        <f t="shared" si="62"/>
        <v>33.079837010976007</v>
      </c>
      <c r="Q693" s="123">
        <f t="shared" si="63"/>
        <v>-1.1180751749975126</v>
      </c>
      <c r="R693" s="123">
        <f t="shared" si="60"/>
        <v>145350.47554278566</v>
      </c>
      <c r="S693" s="123">
        <f t="shared" si="61"/>
        <v>167745.05887974688</v>
      </c>
      <c r="T693" s="123">
        <f t="shared" si="64"/>
        <v>0</v>
      </c>
      <c r="U693" s="123">
        <f t="shared" si="65"/>
        <v>1</v>
      </c>
    </row>
    <row r="694" spans="11:21" x14ac:dyDescent="0.25">
      <c r="K694" s="123" t="s">
        <v>803</v>
      </c>
      <c r="L694" s="126">
        <v>7391.5631664439043</v>
      </c>
      <c r="M694" s="126">
        <v>7.4246682146640204</v>
      </c>
      <c r="N694" s="126">
        <v>5709.4326906078559</v>
      </c>
      <c r="O694" s="126">
        <v>6.3448304477319821</v>
      </c>
      <c r="P694" s="123">
        <f t="shared" si="62"/>
        <v>1682.1304758360484</v>
      </c>
      <c r="Q694" s="123">
        <f t="shared" si="63"/>
        <v>1.0798377669320383</v>
      </c>
      <c r="R694" s="123">
        <f t="shared" si="60"/>
        <v>141101.80112683651</v>
      </c>
      <c r="S694" s="123">
        <f t="shared" si="61"/>
        <v>121187.17626403179</v>
      </c>
      <c r="T694" s="123">
        <f t="shared" si="64"/>
        <v>1</v>
      </c>
      <c r="U694" s="123">
        <f t="shared" si="65"/>
        <v>0</v>
      </c>
    </row>
    <row r="695" spans="11:21" x14ac:dyDescent="0.25">
      <c r="K695" s="123" t="s">
        <v>804</v>
      </c>
      <c r="L695" s="126">
        <v>5019.6906502625652</v>
      </c>
      <c r="M695" s="126">
        <v>5.150946296600539</v>
      </c>
      <c r="N695" s="126">
        <v>4860.736364830861</v>
      </c>
      <c r="O695" s="126">
        <v>5.4767620390417138</v>
      </c>
      <c r="P695" s="123">
        <f t="shared" si="62"/>
        <v>158.95428543170419</v>
      </c>
      <c r="Q695" s="123">
        <f t="shared" si="63"/>
        <v>-0.32581574244117473</v>
      </c>
      <c r="R695" s="123">
        <f t="shared" si="60"/>
        <v>97999.235281748217</v>
      </c>
      <c r="S695" s="123">
        <f t="shared" si="61"/>
        <v>104674.5044160034</v>
      </c>
      <c r="T695" s="123">
        <f t="shared" si="64"/>
        <v>0</v>
      </c>
      <c r="U695" s="123">
        <f t="shared" si="65"/>
        <v>1</v>
      </c>
    </row>
    <row r="696" spans="11:21" x14ac:dyDescent="0.25">
      <c r="K696" s="123" t="s">
        <v>805</v>
      </c>
      <c r="L696" s="126">
        <v>11181.109454136636</v>
      </c>
      <c r="M696" s="126">
        <v>11.058252679042516</v>
      </c>
      <c r="N696" s="126">
        <v>7056.9312527849406</v>
      </c>
      <c r="O696" s="126">
        <v>7.5456094640029896</v>
      </c>
      <c r="P696" s="123">
        <f t="shared" si="62"/>
        <v>4124.1782013516959</v>
      </c>
      <c r="Q696" s="123">
        <f t="shared" si="63"/>
        <v>3.5126432150395264</v>
      </c>
      <c r="R696" s="123">
        <f t="shared" si="60"/>
        <v>209983.9441267137</v>
      </c>
      <c r="S696" s="123">
        <f t="shared" si="61"/>
        <v>143855.25802727486</v>
      </c>
      <c r="T696" s="123">
        <f t="shared" si="64"/>
        <v>1</v>
      </c>
      <c r="U696" s="123">
        <f t="shared" si="65"/>
        <v>0</v>
      </c>
    </row>
    <row r="697" spans="11:21" x14ac:dyDescent="0.25">
      <c r="K697" s="123" t="s">
        <v>806</v>
      </c>
      <c r="L697" s="126">
        <v>9235.161359166972</v>
      </c>
      <c r="M697" s="126">
        <v>8.2075031231076068</v>
      </c>
      <c r="N697" s="126">
        <v>6288.2847798352277</v>
      </c>
      <c r="O697" s="126">
        <v>6.2733489975358196</v>
      </c>
      <c r="P697" s="123">
        <f t="shared" si="62"/>
        <v>2946.8765793317443</v>
      </c>
      <c r="Q697" s="123">
        <f t="shared" si="63"/>
        <v>1.9341541255717871</v>
      </c>
      <c r="R697" s="123">
        <f t="shared" si="60"/>
        <v>154914.90110298517</v>
      </c>
      <c r="S697" s="123">
        <f t="shared" si="61"/>
        <v>119178.69517088117</v>
      </c>
      <c r="T697" s="123">
        <f t="shared" si="64"/>
        <v>1</v>
      </c>
      <c r="U697" s="123">
        <f t="shared" si="65"/>
        <v>0</v>
      </c>
    </row>
    <row r="698" spans="11:21" x14ac:dyDescent="0.25">
      <c r="K698" s="123" t="s">
        <v>807</v>
      </c>
      <c r="L698" s="126">
        <v>7743.8222247386784</v>
      </c>
      <c r="M698" s="126">
        <v>7.4449803382857551</v>
      </c>
      <c r="N698" s="126">
        <v>6010.3682064390696</v>
      </c>
      <c r="O698" s="126">
        <v>6.3866388024216398</v>
      </c>
      <c r="P698" s="123">
        <f t="shared" si="62"/>
        <v>1733.4540182996088</v>
      </c>
      <c r="Q698" s="123">
        <f t="shared" si="63"/>
        <v>1.0583415358641153</v>
      </c>
      <c r="R698" s="123">
        <f t="shared" si="60"/>
        <v>141155.78454097643</v>
      </c>
      <c r="S698" s="123">
        <f t="shared" si="61"/>
        <v>121722.40784199373</v>
      </c>
      <c r="T698" s="123">
        <f t="shared" si="64"/>
        <v>1</v>
      </c>
      <c r="U698" s="123">
        <f t="shared" si="65"/>
        <v>0</v>
      </c>
    </row>
    <row r="699" spans="11:21" x14ac:dyDescent="0.25">
      <c r="K699" s="123" t="s">
        <v>808</v>
      </c>
      <c r="L699" s="126">
        <v>7483.6607587186127</v>
      </c>
      <c r="M699" s="126">
        <v>7.0898088030006408</v>
      </c>
      <c r="N699" s="126">
        <v>5861.8534192100788</v>
      </c>
      <c r="O699" s="126">
        <v>5.6429132262963986</v>
      </c>
      <c r="P699" s="123">
        <f t="shared" si="62"/>
        <v>1621.8073395085339</v>
      </c>
      <c r="Q699" s="123">
        <f t="shared" si="63"/>
        <v>1.4468955767042422</v>
      </c>
      <c r="R699" s="123">
        <f t="shared" si="60"/>
        <v>134312.51530129419</v>
      </c>
      <c r="S699" s="123">
        <f t="shared" si="61"/>
        <v>106996.41110671789</v>
      </c>
      <c r="T699" s="123">
        <f t="shared" si="64"/>
        <v>1</v>
      </c>
      <c r="U699" s="123">
        <f t="shared" si="65"/>
        <v>0</v>
      </c>
    </row>
    <row r="700" spans="11:21" x14ac:dyDescent="0.25">
      <c r="K700" s="123" t="s">
        <v>809</v>
      </c>
      <c r="L700" s="126">
        <v>4445.4039909002786</v>
      </c>
      <c r="M700" s="126">
        <v>4.1051257050840677</v>
      </c>
      <c r="N700" s="126">
        <v>6343.0607075022444</v>
      </c>
      <c r="O700" s="126">
        <v>6.4687517963441135</v>
      </c>
      <c r="P700" s="123">
        <f t="shared" si="62"/>
        <v>-1897.6567166019659</v>
      </c>
      <c r="Q700" s="123">
        <f t="shared" si="63"/>
        <v>-2.3636260912600457</v>
      </c>
      <c r="R700" s="123">
        <f t="shared" si="60"/>
        <v>77657.110110781083</v>
      </c>
      <c r="S700" s="123">
        <f t="shared" si="61"/>
        <v>123031.97521938002</v>
      </c>
      <c r="T700" s="123">
        <f t="shared" si="64"/>
        <v>0</v>
      </c>
      <c r="U700" s="123">
        <f t="shared" si="65"/>
        <v>1</v>
      </c>
    </row>
    <row r="701" spans="11:21" x14ac:dyDescent="0.25">
      <c r="K701" s="123" t="s">
        <v>810</v>
      </c>
      <c r="L701" s="126">
        <v>6285.6830285847282</v>
      </c>
      <c r="M701" s="126">
        <v>6.1175144893837246</v>
      </c>
      <c r="N701" s="126">
        <v>7713.8978537189869</v>
      </c>
      <c r="O701" s="126">
        <v>8.951908951258341</v>
      </c>
      <c r="P701" s="123">
        <f t="shared" si="62"/>
        <v>-1428.2148251342587</v>
      </c>
      <c r="Q701" s="123">
        <f t="shared" si="63"/>
        <v>-2.8343944618746164</v>
      </c>
      <c r="R701" s="123">
        <f t="shared" si="60"/>
        <v>116064.60675908977</v>
      </c>
      <c r="S701" s="123">
        <f t="shared" si="61"/>
        <v>171324.28117144783</v>
      </c>
      <c r="T701" s="123">
        <f t="shared" si="64"/>
        <v>0</v>
      </c>
      <c r="U701" s="123">
        <f t="shared" si="65"/>
        <v>1</v>
      </c>
    </row>
    <row r="702" spans="11:21" x14ac:dyDescent="0.25">
      <c r="K702" s="123" t="s">
        <v>811</v>
      </c>
      <c r="L702" s="126">
        <v>7485.1450112754264</v>
      </c>
      <c r="M702" s="126">
        <v>7.5673971330645671</v>
      </c>
      <c r="N702" s="126">
        <v>5528.8208810889419</v>
      </c>
      <c r="O702" s="126">
        <v>6.2780864986899161</v>
      </c>
      <c r="P702" s="123">
        <f t="shared" si="62"/>
        <v>1956.3241301864846</v>
      </c>
      <c r="Q702" s="123">
        <f t="shared" si="63"/>
        <v>1.289310634374651</v>
      </c>
      <c r="R702" s="123">
        <f t="shared" si="60"/>
        <v>143862.79765001591</v>
      </c>
      <c r="S702" s="123">
        <f t="shared" si="61"/>
        <v>120032.90909270938</v>
      </c>
      <c r="T702" s="123">
        <f t="shared" si="64"/>
        <v>1</v>
      </c>
      <c r="U702" s="123">
        <f t="shared" si="65"/>
        <v>0</v>
      </c>
    </row>
    <row r="703" spans="11:21" x14ac:dyDescent="0.25">
      <c r="K703" s="123" t="s">
        <v>812</v>
      </c>
      <c r="L703" s="126">
        <v>8981.9373840651715</v>
      </c>
      <c r="M703" s="126">
        <v>9.2219481029998001</v>
      </c>
      <c r="N703" s="126">
        <v>5768.5661943535624</v>
      </c>
      <c r="O703" s="126">
        <v>6.2473480178705891</v>
      </c>
      <c r="P703" s="123">
        <f t="shared" si="62"/>
        <v>3213.3711897116091</v>
      </c>
      <c r="Q703" s="123">
        <f t="shared" si="63"/>
        <v>2.9746000851292109</v>
      </c>
      <c r="R703" s="123">
        <f t="shared" si="60"/>
        <v>175457.02467593082</v>
      </c>
      <c r="S703" s="123">
        <f t="shared" si="61"/>
        <v>119178.39416305821</v>
      </c>
      <c r="T703" s="123">
        <f t="shared" si="64"/>
        <v>1</v>
      </c>
      <c r="U703" s="123">
        <f t="shared" si="65"/>
        <v>0</v>
      </c>
    </row>
    <row r="704" spans="11:21" x14ac:dyDescent="0.25">
      <c r="K704" s="123" t="s">
        <v>813</v>
      </c>
      <c r="L704" s="126">
        <v>8015.1298367240279</v>
      </c>
      <c r="M704" s="126">
        <v>9.0582406765726056</v>
      </c>
      <c r="N704" s="126">
        <v>5968.2209937934804</v>
      </c>
      <c r="O704" s="126">
        <v>7.7078629315744625</v>
      </c>
      <c r="P704" s="123">
        <f t="shared" si="62"/>
        <v>2046.9088429305475</v>
      </c>
      <c r="Q704" s="123">
        <f t="shared" si="63"/>
        <v>1.3503777449981431</v>
      </c>
      <c r="R704" s="123">
        <f t="shared" si="60"/>
        <v>173149.6836947281</v>
      </c>
      <c r="S704" s="123">
        <f t="shared" si="61"/>
        <v>148189.03763769576</v>
      </c>
      <c r="T704" s="123">
        <f t="shared" si="64"/>
        <v>1</v>
      </c>
      <c r="U704" s="123">
        <f t="shared" si="65"/>
        <v>0</v>
      </c>
    </row>
    <row r="705" spans="11:21" x14ac:dyDescent="0.25">
      <c r="K705" s="123" t="s">
        <v>814</v>
      </c>
      <c r="L705" s="126">
        <v>5204.754139050614</v>
      </c>
      <c r="M705" s="126">
        <v>5.0978947369373477</v>
      </c>
      <c r="N705" s="126">
        <v>7163.3311150100881</v>
      </c>
      <c r="O705" s="126">
        <v>8.1713042671585541</v>
      </c>
      <c r="P705" s="123">
        <f t="shared" si="62"/>
        <v>-1958.5769759594741</v>
      </c>
      <c r="Q705" s="123">
        <f t="shared" si="63"/>
        <v>-3.0734095302212063</v>
      </c>
      <c r="R705" s="123">
        <f t="shared" si="60"/>
        <v>96753.140599696344</v>
      </c>
      <c r="S705" s="123">
        <f t="shared" si="61"/>
        <v>156262.75422816101</v>
      </c>
      <c r="T705" s="123">
        <f t="shared" si="64"/>
        <v>0</v>
      </c>
      <c r="U705" s="123">
        <f t="shared" si="65"/>
        <v>1</v>
      </c>
    </row>
    <row r="706" spans="11:21" x14ac:dyDescent="0.25">
      <c r="K706" s="123" t="s">
        <v>815</v>
      </c>
      <c r="L706" s="126">
        <v>7783.1069684414251</v>
      </c>
      <c r="M706" s="126">
        <v>7.3581222528538088</v>
      </c>
      <c r="N706" s="126">
        <v>7582.3056925610035</v>
      </c>
      <c r="O706" s="126">
        <v>7.6032173314597253</v>
      </c>
      <c r="P706" s="123">
        <f t="shared" si="62"/>
        <v>200.8012758804216</v>
      </c>
      <c r="Q706" s="123">
        <f t="shared" si="63"/>
        <v>-0.24509507860591651</v>
      </c>
      <c r="R706" s="123">
        <f t="shared" si="60"/>
        <v>139379.33808863474</v>
      </c>
      <c r="S706" s="123">
        <f t="shared" si="61"/>
        <v>144482.04093663351</v>
      </c>
      <c r="T706" s="123">
        <f t="shared" si="64"/>
        <v>0</v>
      </c>
      <c r="U706" s="123">
        <f t="shared" si="65"/>
        <v>1</v>
      </c>
    </row>
    <row r="707" spans="11:21" x14ac:dyDescent="0.25">
      <c r="K707" s="123" t="s">
        <v>816</v>
      </c>
      <c r="L707" s="126">
        <v>10208.23012720814</v>
      </c>
      <c r="M707" s="126">
        <v>9.0190068967784001</v>
      </c>
      <c r="N707" s="126">
        <v>7337.1670654470217</v>
      </c>
      <c r="O707" s="126">
        <v>7.0004214314155178</v>
      </c>
      <c r="P707" s="123">
        <f t="shared" si="62"/>
        <v>2871.0630617611187</v>
      </c>
      <c r="Q707" s="123">
        <f t="shared" si="63"/>
        <v>2.0185854653628823</v>
      </c>
      <c r="R707" s="123">
        <f t="shared" si="60"/>
        <v>170171.90780835986</v>
      </c>
      <c r="S707" s="123">
        <f t="shared" si="61"/>
        <v>132671.26156286334</v>
      </c>
      <c r="T707" s="123">
        <f t="shared" si="64"/>
        <v>1</v>
      </c>
      <c r="U707" s="123">
        <f t="shared" si="65"/>
        <v>0</v>
      </c>
    </row>
    <row r="708" spans="11:21" x14ac:dyDescent="0.25">
      <c r="K708" s="123" t="s">
        <v>817</v>
      </c>
      <c r="L708" s="126">
        <v>10302.542838681151</v>
      </c>
      <c r="M708" s="126">
        <v>9.5259665461691725</v>
      </c>
      <c r="N708" s="126">
        <v>5818.2288203576481</v>
      </c>
      <c r="O708" s="126">
        <v>5.5189936170289293</v>
      </c>
      <c r="P708" s="123">
        <f t="shared" si="62"/>
        <v>4484.3140183235028</v>
      </c>
      <c r="Q708" s="123">
        <f t="shared" si="63"/>
        <v>4.0069729291402432</v>
      </c>
      <c r="R708" s="123">
        <f t="shared" si="60"/>
        <v>180216.7880847023</v>
      </c>
      <c r="S708" s="123">
        <f t="shared" si="61"/>
        <v>104561.64352022094</v>
      </c>
      <c r="T708" s="123">
        <f t="shared" si="64"/>
        <v>1</v>
      </c>
      <c r="U708" s="123">
        <f t="shared" si="65"/>
        <v>0</v>
      </c>
    </row>
    <row r="709" spans="11:21" x14ac:dyDescent="0.25">
      <c r="K709" s="123" t="s">
        <v>818</v>
      </c>
      <c r="L709" s="126">
        <v>6755.2611871495901</v>
      </c>
      <c r="M709" s="126">
        <v>6.2387862031363195</v>
      </c>
      <c r="N709" s="126">
        <v>5376.6751738304947</v>
      </c>
      <c r="O709" s="126">
        <v>5.2791346986513492</v>
      </c>
      <c r="P709" s="123">
        <f t="shared" si="62"/>
        <v>1378.5860133190954</v>
      </c>
      <c r="Q709" s="123">
        <f t="shared" si="63"/>
        <v>0.95965150448497027</v>
      </c>
      <c r="R709" s="123">
        <f t="shared" si="60"/>
        <v>118020.46287557681</v>
      </c>
      <c r="S709" s="123">
        <f t="shared" si="61"/>
        <v>100206.01879919649</v>
      </c>
      <c r="T709" s="123">
        <f t="shared" si="64"/>
        <v>1</v>
      </c>
      <c r="U709" s="123">
        <f t="shared" si="65"/>
        <v>0</v>
      </c>
    </row>
    <row r="710" spans="11:21" x14ac:dyDescent="0.25">
      <c r="K710" s="123" t="s">
        <v>819</v>
      </c>
      <c r="L710" s="126">
        <v>8536.2566402463544</v>
      </c>
      <c r="M710" s="126">
        <v>7.8136615732840182</v>
      </c>
      <c r="N710" s="126">
        <v>6798.2988354172521</v>
      </c>
      <c r="O710" s="126">
        <v>7.5054631385793096</v>
      </c>
      <c r="P710" s="123">
        <f t="shared" si="62"/>
        <v>1737.9578048291023</v>
      </c>
      <c r="Q710" s="123">
        <f t="shared" si="63"/>
        <v>0.30819843470470865</v>
      </c>
      <c r="R710" s="123">
        <f t="shared" si="60"/>
        <v>147736.97482543401</v>
      </c>
      <c r="S710" s="123">
        <f t="shared" si="61"/>
        <v>143310.96393616893</v>
      </c>
      <c r="T710" s="123">
        <f t="shared" si="64"/>
        <v>1</v>
      </c>
      <c r="U710" s="123">
        <f t="shared" si="65"/>
        <v>0</v>
      </c>
    </row>
    <row r="711" spans="11:21" x14ac:dyDescent="0.25">
      <c r="K711" s="123" t="s">
        <v>820</v>
      </c>
      <c r="L711" s="126">
        <v>8160.040709430079</v>
      </c>
      <c r="M711" s="126">
        <v>7.5642665647738001</v>
      </c>
      <c r="N711" s="126">
        <v>7954.4626461414418</v>
      </c>
      <c r="O711" s="126">
        <v>7.7781563927349691</v>
      </c>
      <c r="P711" s="123">
        <f t="shared" si="62"/>
        <v>205.57806328863717</v>
      </c>
      <c r="Q711" s="123">
        <f t="shared" si="63"/>
        <v>-0.21388982796116895</v>
      </c>
      <c r="R711" s="123">
        <f t="shared" si="60"/>
        <v>143125.29058604591</v>
      </c>
      <c r="S711" s="123">
        <f t="shared" si="61"/>
        <v>147608.66520855794</v>
      </c>
      <c r="T711" s="123">
        <f t="shared" si="64"/>
        <v>0</v>
      </c>
      <c r="U711" s="123">
        <f t="shared" si="65"/>
        <v>1</v>
      </c>
    </row>
    <row r="712" spans="11:21" x14ac:dyDescent="0.25">
      <c r="K712" s="123" t="s">
        <v>821</v>
      </c>
      <c r="L712" s="126">
        <v>8918.39784088136</v>
      </c>
      <c r="M712" s="126">
        <v>8.3388972186802377</v>
      </c>
      <c r="N712" s="126">
        <v>6807.1206611931611</v>
      </c>
      <c r="O712" s="126">
        <v>7.3702644253201051</v>
      </c>
      <c r="P712" s="123">
        <f t="shared" si="62"/>
        <v>2111.2771796881989</v>
      </c>
      <c r="Q712" s="123">
        <f t="shared" si="63"/>
        <v>0.96863279336013264</v>
      </c>
      <c r="R712" s="123">
        <f t="shared" si="60"/>
        <v>157859.54653272338</v>
      </c>
      <c r="S712" s="123">
        <f t="shared" si="61"/>
        <v>140598.16784520895</v>
      </c>
      <c r="T712" s="123">
        <f t="shared" si="64"/>
        <v>1</v>
      </c>
      <c r="U712" s="123">
        <f t="shared" si="65"/>
        <v>0</v>
      </c>
    </row>
    <row r="713" spans="11:21" x14ac:dyDescent="0.25">
      <c r="K713" s="123" t="s">
        <v>822</v>
      </c>
      <c r="L713" s="126">
        <v>6650.8720591126612</v>
      </c>
      <c r="M713" s="126">
        <v>6.4310845859995593</v>
      </c>
      <c r="N713" s="126">
        <v>6727.2405550936701</v>
      </c>
      <c r="O713" s="126">
        <v>7.0481484739278493</v>
      </c>
      <c r="P713" s="123">
        <f t="shared" si="62"/>
        <v>-76.368495981008891</v>
      </c>
      <c r="Q713" s="123">
        <f t="shared" si="63"/>
        <v>-0.61706388792828992</v>
      </c>
      <c r="R713" s="123">
        <f t="shared" si="60"/>
        <v>121970.81966087852</v>
      </c>
      <c r="S713" s="123">
        <f t="shared" si="61"/>
        <v>134235.72892346329</v>
      </c>
      <c r="T713" s="123">
        <f t="shared" si="64"/>
        <v>0</v>
      </c>
      <c r="U713" s="123">
        <f t="shared" si="65"/>
        <v>1</v>
      </c>
    </row>
    <row r="714" spans="11:21" x14ac:dyDescent="0.25">
      <c r="K714" s="123" t="s">
        <v>823</v>
      </c>
      <c r="L714" s="126">
        <v>8767.3588131748329</v>
      </c>
      <c r="M714" s="126">
        <v>7.8149765779178004</v>
      </c>
      <c r="N714" s="126">
        <v>6524.2859820506101</v>
      </c>
      <c r="O714" s="126">
        <v>5.9648748858440355</v>
      </c>
      <c r="P714" s="123">
        <f t="shared" si="62"/>
        <v>2243.0728311242228</v>
      </c>
      <c r="Q714" s="123">
        <f t="shared" si="63"/>
        <v>1.850101692073765</v>
      </c>
      <c r="R714" s="123">
        <f t="shared" si="60"/>
        <v>147532.17274518119</v>
      </c>
      <c r="S714" s="123">
        <f t="shared" si="61"/>
        <v>112773.2117348301</v>
      </c>
      <c r="T714" s="123">
        <f t="shared" si="64"/>
        <v>1</v>
      </c>
      <c r="U714" s="123">
        <f t="shared" si="65"/>
        <v>0</v>
      </c>
    </row>
    <row r="715" spans="11:21" x14ac:dyDescent="0.25">
      <c r="K715" s="123" t="s">
        <v>824</v>
      </c>
      <c r="L715" s="126">
        <v>6691.2187396274703</v>
      </c>
      <c r="M715" s="126">
        <v>5.1282035675334585</v>
      </c>
      <c r="N715" s="126">
        <v>6972.0436720297312</v>
      </c>
      <c r="O715" s="126">
        <v>5.7892244675563322</v>
      </c>
      <c r="P715" s="123">
        <f t="shared" si="62"/>
        <v>-280.82493240226086</v>
      </c>
      <c r="Q715" s="123">
        <f t="shared" si="63"/>
        <v>-0.66102090002287373</v>
      </c>
      <c r="R715" s="123">
        <f t="shared" si="60"/>
        <v>95872.852611041701</v>
      </c>
      <c r="S715" s="123">
        <f t="shared" si="61"/>
        <v>108812.44567909691</v>
      </c>
      <c r="T715" s="123">
        <f t="shared" si="64"/>
        <v>0</v>
      </c>
      <c r="U715" s="123">
        <f t="shared" si="65"/>
        <v>1</v>
      </c>
    </row>
    <row r="716" spans="11:21" x14ac:dyDescent="0.25">
      <c r="K716" s="123" t="s">
        <v>825</v>
      </c>
      <c r="L716" s="126">
        <v>7389.143853374786</v>
      </c>
      <c r="M716" s="126">
        <v>5.7199284111075483</v>
      </c>
      <c r="N716" s="126">
        <v>8505.2803527551205</v>
      </c>
      <c r="O716" s="126">
        <v>6.9407979991201065</v>
      </c>
      <c r="P716" s="123">
        <f t="shared" si="62"/>
        <v>-1116.1364993803345</v>
      </c>
      <c r="Q716" s="123">
        <f t="shared" si="63"/>
        <v>-1.2208695880125582</v>
      </c>
      <c r="R716" s="123">
        <f t="shared" si="60"/>
        <v>107009.42436877618</v>
      </c>
      <c r="S716" s="123">
        <f t="shared" si="61"/>
        <v>130310.67962964701</v>
      </c>
      <c r="T716" s="123">
        <f t="shared" si="64"/>
        <v>0</v>
      </c>
      <c r="U716" s="123">
        <f t="shared" si="65"/>
        <v>1</v>
      </c>
    </row>
    <row r="717" spans="11:21" x14ac:dyDescent="0.25">
      <c r="K717" s="123" t="s">
        <v>826</v>
      </c>
      <c r="L717" s="126">
        <v>10211.153195750918</v>
      </c>
      <c r="M717" s="126">
        <v>9.6861838757690535</v>
      </c>
      <c r="N717" s="126">
        <v>7124.6661837406436</v>
      </c>
      <c r="O717" s="126">
        <v>7.1138191930242467</v>
      </c>
      <c r="P717" s="123">
        <f t="shared" si="62"/>
        <v>3086.4870120102742</v>
      </c>
      <c r="Q717" s="123">
        <f t="shared" si="63"/>
        <v>2.5723646827448068</v>
      </c>
      <c r="R717" s="123">
        <f t="shared" si="60"/>
        <v>183512.52431963015</v>
      </c>
      <c r="S717" s="123">
        <f t="shared" si="61"/>
        <v>135151.71767674427</v>
      </c>
      <c r="T717" s="123">
        <f t="shared" si="64"/>
        <v>1</v>
      </c>
      <c r="U717" s="123">
        <f t="shared" si="65"/>
        <v>0</v>
      </c>
    </row>
    <row r="718" spans="11:21" x14ac:dyDescent="0.25">
      <c r="K718" s="123" t="s">
        <v>827</v>
      </c>
      <c r="L718" s="126">
        <v>8667.1629770283544</v>
      </c>
      <c r="M718" s="126">
        <v>8.7725139623834707</v>
      </c>
      <c r="N718" s="126">
        <v>6660.9563385942602</v>
      </c>
      <c r="O718" s="126">
        <v>6.5059388391358102</v>
      </c>
      <c r="P718" s="123">
        <f t="shared" si="62"/>
        <v>2006.2066384340942</v>
      </c>
      <c r="Q718" s="123">
        <f t="shared" si="63"/>
        <v>2.2665751232476605</v>
      </c>
      <c r="R718" s="123">
        <f t="shared" si="60"/>
        <v>166783.11627064107</v>
      </c>
      <c r="S718" s="123">
        <f t="shared" si="61"/>
        <v>123457.82044412194</v>
      </c>
      <c r="T718" s="123">
        <f t="shared" si="64"/>
        <v>1</v>
      </c>
      <c r="U718" s="123">
        <f t="shared" si="65"/>
        <v>0</v>
      </c>
    </row>
    <row r="719" spans="11:21" x14ac:dyDescent="0.25">
      <c r="K719" s="123" t="s">
        <v>828</v>
      </c>
      <c r="L719" s="126">
        <v>8086.8673192919268</v>
      </c>
      <c r="M719" s="126">
        <v>8.5953431118473205</v>
      </c>
      <c r="N719" s="126">
        <v>7931.2254791741798</v>
      </c>
      <c r="O719" s="126">
        <v>8.7760396791219932</v>
      </c>
      <c r="P719" s="123">
        <f t="shared" si="62"/>
        <v>155.64184011774705</v>
      </c>
      <c r="Q719" s="123">
        <f t="shared" si="63"/>
        <v>-0.18069656727467276</v>
      </c>
      <c r="R719" s="123">
        <f t="shared" si="60"/>
        <v>163819.99491765449</v>
      </c>
      <c r="S719" s="123">
        <f t="shared" si="61"/>
        <v>167589.56810326569</v>
      </c>
      <c r="T719" s="123">
        <f t="shared" si="64"/>
        <v>0</v>
      </c>
      <c r="U719" s="123">
        <f t="shared" si="65"/>
        <v>1</v>
      </c>
    </row>
    <row r="720" spans="11:21" x14ac:dyDescent="0.25">
      <c r="K720" s="123" t="s">
        <v>829</v>
      </c>
      <c r="L720" s="126">
        <v>9962.5446980597808</v>
      </c>
      <c r="M720" s="126">
        <v>9.6241850853227344</v>
      </c>
      <c r="N720" s="126">
        <v>7230.2433474075833</v>
      </c>
      <c r="O720" s="126">
        <v>7.702867573537878</v>
      </c>
      <c r="P720" s="123">
        <f t="shared" si="62"/>
        <v>2732.3013506521975</v>
      </c>
      <c r="Q720" s="123">
        <f t="shared" si="63"/>
        <v>1.9213175117848564</v>
      </c>
      <c r="R720" s="123">
        <f t="shared" si="60"/>
        <v>182521.15700839489</v>
      </c>
      <c r="S720" s="123">
        <f t="shared" si="61"/>
        <v>146827.10812334999</v>
      </c>
      <c r="T720" s="123">
        <f t="shared" si="64"/>
        <v>1</v>
      </c>
      <c r="U720" s="123">
        <f t="shared" si="65"/>
        <v>0</v>
      </c>
    </row>
    <row r="721" spans="11:21" x14ac:dyDescent="0.25">
      <c r="K721" s="123" t="s">
        <v>830</v>
      </c>
      <c r="L721" s="126">
        <v>5622.4818590902778</v>
      </c>
      <c r="M721" s="126">
        <v>4.3551834161780558</v>
      </c>
      <c r="N721" s="126">
        <v>4615.6752119906459</v>
      </c>
      <c r="O721" s="126">
        <v>4.0275087006060906</v>
      </c>
      <c r="P721" s="123">
        <f t="shared" si="62"/>
        <v>1006.8066470996318</v>
      </c>
      <c r="Q721" s="123">
        <f t="shared" si="63"/>
        <v>0.32767471557196526</v>
      </c>
      <c r="R721" s="123">
        <f t="shared" ref="R721:R784" si="66">M721*willingness_to_pay-L721</f>
        <v>81481.18646447084</v>
      </c>
      <c r="S721" s="123">
        <f t="shared" ref="S721:S784" si="67">O721*willingness_to_pay-N721</f>
        <v>75934.498800131172</v>
      </c>
      <c r="T721" s="123">
        <f t="shared" si="64"/>
        <v>1</v>
      </c>
      <c r="U721" s="123">
        <f t="shared" si="65"/>
        <v>0</v>
      </c>
    </row>
    <row r="722" spans="11:21" x14ac:dyDescent="0.25">
      <c r="K722" s="123" t="s">
        <v>831</v>
      </c>
      <c r="L722" s="126">
        <v>7405.9489243103999</v>
      </c>
      <c r="M722" s="126">
        <v>7.2712786582014219</v>
      </c>
      <c r="N722" s="126">
        <v>7734.6810731315936</v>
      </c>
      <c r="O722" s="126">
        <v>8.4423410374611496</v>
      </c>
      <c r="P722" s="123">
        <f t="shared" ref="P722:P785" si="68">L722-N722</f>
        <v>-328.73214882119373</v>
      </c>
      <c r="Q722" s="123">
        <f t="shared" ref="Q722:Q785" si="69">M722-O722</f>
        <v>-1.1710623792597277</v>
      </c>
      <c r="R722" s="123">
        <f t="shared" si="66"/>
        <v>138019.62423971805</v>
      </c>
      <c r="S722" s="123">
        <f t="shared" si="67"/>
        <v>161112.13967609141</v>
      </c>
      <c r="T722" s="123">
        <f t="shared" ref="T722:T785" si="70">IF(L722="", "",IF(R722=MAX(R722:S722),1,0))</f>
        <v>0</v>
      </c>
      <c r="U722" s="123">
        <f t="shared" ref="U722:U785" si="71">IF(N722="", "", IF(S722=MAX(R722:S722),1,0))</f>
        <v>1</v>
      </c>
    </row>
    <row r="723" spans="11:21" x14ac:dyDescent="0.25">
      <c r="K723" s="123" t="s">
        <v>832</v>
      </c>
      <c r="L723" s="126">
        <v>4024.7997704741674</v>
      </c>
      <c r="M723" s="126">
        <v>4.4343482429535168</v>
      </c>
      <c r="N723" s="126">
        <v>6201.9430754101495</v>
      </c>
      <c r="O723" s="126">
        <v>7.9042060289184253</v>
      </c>
      <c r="P723" s="123">
        <f t="shared" si="68"/>
        <v>-2177.1433049359821</v>
      </c>
      <c r="Q723" s="123">
        <f t="shared" si="69"/>
        <v>-3.4698577859649085</v>
      </c>
      <c r="R723" s="123">
        <f t="shared" si="66"/>
        <v>84662.165088596157</v>
      </c>
      <c r="S723" s="123">
        <f t="shared" si="67"/>
        <v>151882.17750295837</v>
      </c>
      <c r="T723" s="123">
        <f t="shared" si="70"/>
        <v>0</v>
      </c>
      <c r="U723" s="123">
        <f t="shared" si="71"/>
        <v>1</v>
      </c>
    </row>
    <row r="724" spans="11:21" x14ac:dyDescent="0.25">
      <c r="K724" s="123" t="s">
        <v>833</v>
      </c>
      <c r="L724" s="126">
        <v>9794.4719282103815</v>
      </c>
      <c r="M724" s="126">
        <v>10.07706810673243</v>
      </c>
      <c r="N724" s="126">
        <v>7373.5855144579245</v>
      </c>
      <c r="O724" s="126">
        <v>8.5436213998762351</v>
      </c>
      <c r="P724" s="123">
        <f t="shared" si="68"/>
        <v>2420.886413752457</v>
      </c>
      <c r="Q724" s="123">
        <f t="shared" si="69"/>
        <v>1.5334467068561946</v>
      </c>
      <c r="R724" s="123">
        <f t="shared" si="66"/>
        <v>191746.89020643823</v>
      </c>
      <c r="S724" s="123">
        <f t="shared" si="67"/>
        <v>163498.84248306678</v>
      </c>
      <c r="T724" s="123">
        <f t="shared" si="70"/>
        <v>1</v>
      </c>
      <c r="U724" s="123">
        <f t="shared" si="71"/>
        <v>0</v>
      </c>
    </row>
    <row r="725" spans="11:21" x14ac:dyDescent="0.25">
      <c r="K725" s="123" t="s">
        <v>834</v>
      </c>
      <c r="L725" s="126">
        <v>7237.4738723107585</v>
      </c>
      <c r="M725" s="126">
        <v>7.155426078167249</v>
      </c>
      <c r="N725" s="126">
        <v>6672.1077675113729</v>
      </c>
      <c r="O725" s="126">
        <v>6.9809598255658409</v>
      </c>
      <c r="P725" s="123">
        <f t="shared" si="68"/>
        <v>565.36610479938554</v>
      </c>
      <c r="Q725" s="123">
        <f t="shared" si="69"/>
        <v>0.17446625260140802</v>
      </c>
      <c r="R725" s="123">
        <f t="shared" si="66"/>
        <v>135871.04769103421</v>
      </c>
      <c r="S725" s="123">
        <f t="shared" si="67"/>
        <v>132947.08874380545</v>
      </c>
      <c r="T725" s="123">
        <f t="shared" si="70"/>
        <v>1</v>
      </c>
      <c r="U725" s="123">
        <f t="shared" si="71"/>
        <v>0</v>
      </c>
    </row>
    <row r="726" spans="11:21" x14ac:dyDescent="0.25">
      <c r="K726" s="123" t="s">
        <v>835</v>
      </c>
      <c r="L726" s="126">
        <v>9559.2033961767629</v>
      </c>
      <c r="M726" s="126">
        <v>9.166114833096362</v>
      </c>
      <c r="N726" s="126">
        <v>6022.2536463830093</v>
      </c>
      <c r="O726" s="126">
        <v>6.5012151641479345</v>
      </c>
      <c r="P726" s="123">
        <f t="shared" si="68"/>
        <v>3536.9497497937537</v>
      </c>
      <c r="Q726" s="123">
        <f t="shared" si="69"/>
        <v>2.6648996689484274</v>
      </c>
      <c r="R726" s="123">
        <f t="shared" si="66"/>
        <v>173763.09326575047</v>
      </c>
      <c r="S726" s="123">
        <f t="shared" si="67"/>
        <v>124002.04963657568</v>
      </c>
      <c r="T726" s="123">
        <f t="shared" si="70"/>
        <v>1</v>
      </c>
      <c r="U726" s="123">
        <f t="shared" si="71"/>
        <v>0</v>
      </c>
    </row>
    <row r="727" spans="11:21" x14ac:dyDescent="0.25">
      <c r="K727" s="123" t="s">
        <v>836</v>
      </c>
      <c r="L727" s="126">
        <v>6665.2875312412825</v>
      </c>
      <c r="M727" s="126">
        <v>5.630443508250969</v>
      </c>
      <c r="N727" s="126">
        <v>7029.4027182994041</v>
      </c>
      <c r="O727" s="126">
        <v>6.391325990232728</v>
      </c>
      <c r="P727" s="123">
        <f t="shared" si="68"/>
        <v>-364.11518705812159</v>
      </c>
      <c r="Q727" s="123">
        <f t="shared" si="69"/>
        <v>-0.76088248198175901</v>
      </c>
      <c r="R727" s="123">
        <f t="shared" si="66"/>
        <v>105943.5826337781</v>
      </c>
      <c r="S727" s="123">
        <f t="shared" si="67"/>
        <v>120797.11708635515</v>
      </c>
      <c r="T727" s="123">
        <f t="shared" si="70"/>
        <v>0</v>
      </c>
      <c r="U727" s="123">
        <f t="shared" si="71"/>
        <v>1</v>
      </c>
    </row>
    <row r="728" spans="11:21" x14ac:dyDescent="0.25">
      <c r="K728" s="123" t="s">
        <v>837</v>
      </c>
      <c r="L728" s="126">
        <v>7785.2801578482176</v>
      </c>
      <c r="M728" s="126">
        <v>6.3758267874143595</v>
      </c>
      <c r="N728" s="126">
        <v>6250.5965011787239</v>
      </c>
      <c r="O728" s="126">
        <v>5.4596241412461239</v>
      </c>
      <c r="P728" s="123">
        <f t="shared" si="68"/>
        <v>1534.6836566694938</v>
      </c>
      <c r="Q728" s="123">
        <f t="shared" si="69"/>
        <v>0.91620264616823555</v>
      </c>
      <c r="R728" s="123">
        <f t="shared" si="66"/>
        <v>119731.25559043897</v>
      </c>
      <c r="S728" s="123">
        <f t="shared" si="67"/>
        <v>102941.88632374376</v>
      </c>
      <c r="T728" s="123">
        <f t="shared" si="70"/>
        <v>1</v>
      </c>
      <c r="U728" s="123">
        <f t="shared" si="71"/>
        <v>0</v>
      </c>
    </row>
    <row r="729" spans="11:21" x14ac:dyDescent="0.25">
      <c r="K729" s="123" t="s">
        <v>838</v>
      </c>
      <c r="L729" s="126">
        <v>9682.3258098453825</v>
      </c>
      <c r="M729" s="126">
        <v>8.5734278020327217</v>
      </c>
      <c r="N729" s="126">
        <v>5762.2958627028665</v>
      </c>
      <c r="O729" s="126">
        <v>5.5903493945147327</v>
      </c>
      <c r="P729" s="123">
        <f t="shared" si="68"/>
        <v>3920.029947142516</v>
      </c>
      <c r="Q729" s="123">
        <f t="shared" si="69"/>
        <v>2.983078407517989</v>
      </c>
      <c r="R729" s="123">
        <f t="shared" si="66"/>
        <v>161786.23023080904</v>
      </c>
      <c r="S729" s="123">
        <f t="shared" si="67"/>
        <v>106044.69202759178</v>
      </c>
      <c r="T729" s="123">
        <f t="shared" si="70"/>
        <v>1</v>
      </c>
      <c r="U729" s="123">
        <f t="shared" si="71"/>
        <v>0</v>
      </c>
    </row>
    <row r="730" spans="11:21" x14ac:dyDescent="0.25">
      <c r="K730" s="123" t="s">
        <v>839</v>
      </c>
      <c r="L730" s="126">
        <v>7413.2058192939312</v>
      </c>
      <c r="M730" s="126">
        <v>5.5369377757847698</v>
      </c>
      <c r="N730" s="126">
        <v>7277.9559210410534</v>
      </c>
      <c r="O730" s="126">
        <v>5.8843699484338199</v>
      </c>
      <c r="P730" s="123">
        <f t="shared" si="68"/>
        <v>135.24989825287776</v>
      </c>
      <c r="Q730" s="123">
        <f t="shared" si="69"/>
        <v>-0.34743217264905013</v>
      </c>
      <c r="R730" s="123">
        <f t="shared" si="66"/>
        <v>103325.54969640146</v>
      </c>
      <c r="S730" s="123">
        <f t="shared" si="67"/>
        <v>110409.44304763534</v>
      </c>
      <c r="T730" s="123">
        <f t="shared" si="70"/>
        <v>0</v>
      </c>
      <c r="U730" s="123">
        <f t="shared" si="71"/>
        <v>1</v>
      </c>
    </row>
    <row r="731" spans="11:21" x14ac:dyDescent="0.25">
      <c r="K731" s="123" t="s">
        <v>840</v>
      </c>
      <c r="L731" s="126">
        <v>7940.9157009983956</v>
      </c>
      <c r="M731" s="126">
        <v>7.7021525303237626</v>
      </c>
      <c r="N731" s="126">
        <v>7340.9557697895198</v>
      </c>
      <c r="O731" s="126">
        <v>8.3513184708988053</v>
      </c>
      <c r="P731" s="123">
        <f t="shared" si="68"/>
        <v>599.95993120887579</v>
      </c>
      <c r="Q731" s="123">
        <f t="shared" si="69"/>
        <v>-0.64916594057504273</v>
      </c>
      <c r="R731" s="123">
        <f t="shared" si="66"/>
        <v>146102.13490547685</v>
      </c>
      <c r="S731" s="123">
        <f t="shared" si="67"/>
        <v>159685.41364818657</v>
      </c>
      <c r="T731" s="123">
        <f t="shared" si="70"/>
        <v>0</v>
      </c>
      <c r="U731" s="123">
        <f t="shared" si="71"/>
        <v>1</v>
      </c>
    </row>
    <row r="732" spans="11:21" x14ac:dyDescent="0.25">
      <c r="K732" s="123" t="s">
        <v>841</v>
      </c>
      <c r="L732" s="126">
        <v>6180.2532153871771</v>
      </c>
      <c r="M732" s="126">
        <v>6.3119765478435719</v>
      </c>
      <c r="N732" s="126">
        <v>6162.6512141179601</v>
      </c>
      <c r="O732" s="126">
        <v>6.4606735299742883</v>
      </c>
      <c r="P732" s="123">
        <f t="shared" si="68"/>
        <v>17.602001269216998</v>
      </c>
      <c r="Q732" s="123">
        <f t="shared" si="69"/>
        <v>-0.14869698213071647</v>
      </c>
      <c r="R732" s="123">
        <f t="shared" si="66"/>
        <v>120059.27774148427</v>
      </c>
      <c r="S732" s="123">
        <f t="shared" si="67"/>
        <v>123050.81938536781</v>
      </c>
      <c r="T732" s="123">
        <f t="shared" si="70"/>
        <v>0</v>
      </c>
      <c r="U732" s="123">
        <f t="shared" si="71"/>
        <v>1</v>
      </c>
    </row>
    <row r="733" spans="11:21" x14ac:dyDescent="0.25">
      <c r="K733" s="123" t="s">
        <v>842</v>
      </c>
      <c r="L733" s="126">
        <v>8229.9381249748803</v>
      </c>
      <c r="M733" s="126">
        <v>7.8590716192079242</v>
      </c>
      <c r="N733" s="126">
        <v>6528.6514432601489</v>
      </c>
      <c r="O733" s="126">
        <v>6.9315661493614513</v>
      </c>
      <c r="P733" s="123">
        <f t="shared" si="68"/>
        <v>1701.2866817147315</v>
      </c>
      <c r="Q733" s="123">
        <f t="shared" si="69"/>
        <v>0.92750546984647286</v>
      </c>
      <c r="R733" s="123">
        <f t="shared" si="66"/>
        <v>148951.49425918362</v>
      </c>
      <c r="S733" s="123">
        <f t="shared" si="67"/>
        <v>132102.6715439689</v>
      </c>
      <c r="T733" s="123">
        <f t="shared" si="70"/>
        <v>1</v>
      </c>
      <c r="U733" s="123">
        <f t="shared" si="71"/>
        <v>0</v>
      </c>
    </row>
    <row r="734" spans="11:21" x14ac:dyDescent="0.25">
      <c r="K734" s="123" t="s">
        <v>843</v>
      </c>
      <c r="L734" s="126">
        <v>6543.7012571521864</v>
      </c>
      <c r="M734" s="126">
        <v>4.1477096552063601</v>
      </c>
      <c r="N734" s="126">
        <v>5726.8460595954075</v>
      </c>
      <c r="O734" s="126">
        <v>4.5336872109047732</v>
      </c>
      <c r="P734" s="123">
        <f t="shared" si="68"/>
        <v>816.85519755677888</v>
      </c>
      <c r="Q734" s="123">
        <f t="shared" si="69"/>
        <v>-0.38597755569841308</v>
      </c>
      <c r="R734" s="123">
        <f t="shared" si="66"/>
        <v>76410.491846975012</v>
      </c>
      <c r="S734" s="123">
        <f t="shared" si="67"/>
        <v>84946.898158500058</v>
      </c>
      <c r="T734" s="123">
        <f t="shared" si="70"/>
        <v>0</v>
      </c>
      <c r="U734" s="123">
        <f t="shared" si="71"/>
        <v>1</v>
      </c>
    </row>
    <row r="735" spans="11:21" x14ac:dyDescent="0.25">
      <c r="K735" s="123" t="s">
        <v>844</v>
      </c>
      <c r="L735" s="126">
        <v>10040.988988904783</v>
      </c>
      <c r="M735" s="126">
        <v>10.235240543443712</v>
      </c>
      <c r="N735" s="126">
        <v>5712.3310134915318</v>
      </c>
      <c r="O735" s="126">
        <v>6.6218422061327393</v>
      </c>
      <c r="P735" s="123">
        <f t="shared" si="68"/>
        <v>4328.6579754132508</v>
      </c>
      <c r="Q735" s="123">
        <f t="shared" si="69"/>
        <v>3.613398337310973</v>
      </c>
      <c r="R735" s="123">
        <f t="shared" si="66"/>
        <v>194663.82187996947</v>
      </c>
      <c r="S735" s="123">
        <f t="shared" si="67"/>
        <v>126724.51310916325</v>
      </c>
      <c r="T735" s="123">
        <f t="shared" si="70"/>
        <v>1</v>
      </c>
      <c r="U735" s="123">
        <f t="shared" si="71"/>
        <v>0</v>
      </c>
    </row>
    <row r="736" spans="11:21" x14ac:dyDescent="0.25">
      <c r="K736" s="123" t="s">
        <v>845</v>
      </c>
      <c r="L736" s="126">
        <v>6806.6125559336933</v>
      </c>
      <c r="M736" s="126">
        <v>6.1995670404974392</v>
      </c>
      <c r="N736" s="126">
        <v>9715.3505963416774</v>
      </c>
      <c r="O736" s="126">
        <v>9.3439797453501487</v>
      </c>
      <c r="P736" s="123">
        <f t="shared" si="68"/>
        <v>-2908.738040407984</v>
      </c>
      <c r="Q736" s="123">
        <f t="shared" si="69"/>
        <v>-3.1444127048527095</v>
      </c>
      <c r="R736" s="123">
        <f t="shared" si="66"/>
        <v>117184.72825401509</v>
      </c>
      <c r="S736" s="123">
        <f t="shared" si="67"/>
        <v>177164.24431066131</v>
      </c>
      <c r="T736" s="123">
        <f t="shared" si="70"/>
        <v>0</v>
      </c>
      <c r="U736" s="123">
        <f t="shared" si="71"/>
        <v>1</v>
      </c>
    </row>
    <row r="737" spans="11:21" x14ac:dyDescent="0.25">
      <c r="K737" s="123" t="s">
        <v>846</v>
      </c>
      <c r="L737" s="126">
        <v>11220.71633449669</v>
      </c>
      <c r="M737" s="126">
        <v>11.167216679045929</v>
      </c>
      <c r="N737" s="126">
        <v>7111.1842127637692</v>
      </c>
      <c r="O737" s="126">
        <v>7.4765263488809888</v>
      </c>
      <c r="P737" s="123">
        <f t="shared" si="68"/>
        <v>4109.532121732921</v>
      </c>
      <c r="Q737" s="123">
        <f t="shared" si="69"/>
        <v>3.6906903301649399</v>
      </c>
      <c r="R737" s="123">
        <f t="shared" si="66"/>
        <v>212123.6172464219</v>
      </c>
      <c r="S737" s="123">
        <f t="shared" si="67"/>
        <v>142419.342764856</v>
      </c>
      <c r="T737" s="123">
        <f t="shared" si="70"/>
        <v>1</v>
      </c>
      <c r="U737" s="123">
        <f t="shared" si="71"/>
        <v>0</v>
      </c>
    </row>
    <row r="738" spans="11:21" x14ac:dyDescent="0.25">
      <c r="K738" s="123" t="s">
        <v>847</v>
      </c>
      <c r="L738" s="126">
        <v>6045.7898119711863</v>
      </c>
      <c r="M738" s="126">
        <v>5.5083454854637663</v>
      </c>
      <c r="N738" s="126">
        <v>5198.9449061553341</v>
      </c>
      <c r="O738" s="126">
        <v>5.3685330908204136</v>
      </c>
      <c r="P738" s="123">
        <f t="shared" si="68"/>
        <v>846.84490581585214</v>
      </c>
      <c r="Q738" s="123">
        <f t="shared" si="69"/>
        <v>0.13981239464335271</v>
      </c>
      <c r="R738" s="123">
        <f t="shared" si="66"/>
        <v>104121.11989730413</v>
      </c>
      <c r="S738" s="123">
        <f t="shared" si="67"/>
        <v>102171.71691025294</v>
      </c>
      <c r="T738" s="123">
        <f t="shared" si="70"/>
        <v>1</v>
      </c>
      <c r="U738" s="123">
        <f t="shared" si="71"/>
        <v>0</v>
      </c>
    </row>
    <row r="739" spans="11:21" x14ac:dyDescent="0.25">
      <c r="K739" s="123" t="s">
        <v>848</v>
      </c>
      <c r="L739" s="126">
        <v>6312.1518114359033</v>
      </c>
      <c r="M739" s="126">
        <v>5.7907984991945067</v>
      </c>
      <c r="N739" s="126">
        <v>6757.9503341071868</v>
      </c>
      <c r="O739" s="126">
        <v>6.6820287826470857</v>
      </c>
      <c r="P739" s="123">
        <f t="shared" si="68"/>
        <v>-445.79852267128354</v>
      </c>
      <c r="Q739" s="123">
        <f t="shared" si="69"/>
        <v>-0.89123028345257893</v>
      </c>
      <c r="R739" s="123">
        <f t="shared" si="66"/>
        <v>109503.81817245422</v>
      </c>
      <c r="S739" s="123">
        <f t="shared" si="67"/>
        <v>126882.62531883453</v>
      </c>
      <c r="T739" s="123">
        <f t="shared" si="70"/>
        <v>0</v>
      </c>
      <c r="U739" s="123">
        <f t="shared" si="71"/>
        <v>1</v>
      </c>
    </row>
    <row r="740" spans="11:21" x14ac:dyDescent="0.25">
      <c r="K740" s="123" t="s">
        <v>849</v>
      </c>
      <c r="L740" s="126">
        <v>7513.2884791237448</v>
      </c>
      <c r="M740" s="126">
        <v>6.3891515289310412</v>
      </c>
      <c r="N740" s="126">
        <v>5799.5962697134455</v>
      </c>
      <c r="O740" s="126">
        <v>6.0449092426566571</v>
      </c>
      <c r="P740" s="123">
        <f t="shared" si="68"/>
        <v>1713.6922094102993</v>
      </c>
      <c r="Q740" s="123">
        <f t="shared" si="69"/>
        <v>0.34424228627438413</v>
      </c>
      <c r="R740" s="123">
        <f t="shared" si="66"/>
        <v>120269.74209949707</v>
      </c>
      <c r="S740" s="123">
        <f t="shared" si="67"/>
        <v>115098.58858341968</v>
      </c>
      <c r="T740" s="123">
        <f t="shared" si="70"/>
        <v>1</v>
      </c>
      <c r="U740" s="123">
        <f t="shared" si="71"/>
        <v>0</v>
      </c>
    </row>
    <row r="741" spans="11:21" x14ac:dyDescent="0.25">
      <c r="K741" s="123" t="s">
        <v>850</v>
      </c>
      <c r="L741" s="126">
        <v>5115.1543500014604</v>
      </c>
      <c r="M741" s="126">
        <v>4.6897680714383103</v>
      </c>
      <c r="N741" s="126">
        <v>6207.7351477921284</v>
      </c>
      <c r="O741" s="126">
        <v>6.3564751547467058</v>
      </c>
      <c r="P741" s="123">
        <f t="shared" si="68"/>
        <v>-1092.5807977906679</v>
      </c>
      <c r="Q741" s="123">
        <f t="shared" si="69"/>
        <v>-1.6667070833083955</v>
      </c>
      <c r="R741" s="123">
        <f t="shared" si="66"/>
        <v>88680.207078764739</v>
      </c>
      <c r="S741" s="123">
        <f t="shared" si="67"/>
        <v>120921.76794714198</v>
      </c>
      <c r="T741" s="123">
        <f t="shared" si="70"/>
        <v>0</v>
      </c>
      <c r="U741" s="123">
        <f t="shared" si="71"/>
        <v>1</v>
      </c>
    </row>
    <row r="742" spans="11:21" x14ac:dyDescent="0.25">
      <c r="K742" s="123" t="s">
        <v>851</v>
      </c>
      <c r="L742" s="126">
        <v>6235.98824848814</v>
      </c>
      <c r="M742" s="126">
        <v>4.8401204263534057</v>
      </c>
      <c r="N742" s="126">
        <v>7497.9689505947345</v>
      </c>
      <c r="O742" s="126">
        <v>6.2298276085255573</v>
      </c>
      <c r="P742" s="123">
        <f t="shared" si="68"/>
        <v>-1261.9807021065944</v>
      </c>
      <c r="Q742" s="123">
        <f t="shared" si="69"/>
        <v>-1.3897071821721516</v>
      </c>
      <c r="R742" s="123">
        <f t="shared" si="66"/>
        <v>90566.420278579972</v>
      </c>
      <c r="S742" s="123">
        <f t="shared" si="67"/>
        <v>117098.58321991641</v>
      </c>
      <c r="T742" s="123">
        <f t="shared" si="70"/>
        <v>0</v>
      </c>
      <c r="U742" s="123">
        <f t="shared" si="71"/>
        <v>1</v>
      </c>
    </row>
    <row r="743" spans="11:21" x14ac:dyDescent="0.25">
      <c r="K743" s="123" t="s">
        <v>852</v>
      </c>
      <c r="L743" s="126">
        <v>8611.1813179633755</v>
      </c>
      <c r="M743" s="126">
        <v>6.6878697055541272</v>
      </c>
      <c r="N743" s="126">
        <v>9139.8150382169879</v>
      </c>
      <c r="O743" s="126">
        <v>7.4800394758134665</v>
      </c>
      <c r="P743" s="123">
        <f t="shared" si="68"/>
        <v>-528.63372025361241</v>
      </c>
      <c r="Q743" s="123">
        <f t="shared" si="69"/>
        <v>-0.79216977025933932</v>
      </c>
      <c r="R743" s="123">
        <f t="shared" si="66"/>
        <v>125146.21279311916</v>
      </c>
      <c r="S743" s="123">
        <f t="shared" si="67"/>
        <v>140460.97447805232</v>
      </c>
      <c r="T743" s="123">
        <f t="shared" si="70"/>
        <v>0</v>
      </c>
      <c r="U743" s="123">
        <f t="shared" si="71"/>
        <v>1</v>
      </c>
    </row>
    <row r="744" spans="11:21" x14ac:dyDescent="0.25">
      <c r="K744" s="123" t="s">
        <v>853</v>
      </c>
      <c r="L744" s="126">
        <v>6067.1606190645862</v>
      </c>
      <c r="M744" s="126">
        <v>5.4839295472820835</v>
      </c>
      <c r="N744" s="126">
        <v>6018.4033763517382</v>
      </c>
      <c r="O744" s="126">
        <v>6.2705706753803394</v>
      </c>
      <c r="P744" s="123">
        <f t="shared" si="68"/>
        <v>48.757242712847983</v>
      </c>
      <c r="Q744" s="123">
        <f t="shared" si="69"/>
        <v>-0.78664112809825593</v>
      </c>
      <c r="R744" s="123">
        <f t="shared" si="66"/>
        <v>103611.43032657709</v>
      </c>
      <c r="S744" s="123">
        <f t="shared" si="67"/>
        <v>119393.01013125505</v>
      </c>
      <c r="T744" s="123">
        <f t="shared" si="70"/>
        <v>0</v>
      </c>
      <c r="U744" s="123">
        <f t="shared" si="71"/>
        <v>1</v>
      </c>
    </row>
    <row r="745" spans="11:21" x14ac:dyDescent="0.25">
      <c r="K745" s="123" t="s">
        <v>854</v>
      </c>
      <c r="L745" s="126">
        <v>9053.1495291341453</v>
      </c>
      <c r="M745" s="126">
        <v>4.5392428160602023</v>
      </c>
      <c r="N745" s="126">
        <v>7350.4208005631463</v>
      </c>
      <c r="O745" s="126">
        <v>4.6722277582299636</v>
      </c>
      <c r="P745" s="123">
        <f t="shared" si="68"/>
        <v>1702.728728570999</v>
      </c>
      <c r="Q745" s="123">
        <f t="shared" si="69"/>
        <v>-0.13298494216976131</v>
      </c>
      <c r="R745" s="123">
        <f t="shared" si="66"/>
        <v>81731.706792069905</v>
      </c>
      <c r="S745" s="123">
        <f t="shared" si="67"/>
        <v>86094.134364036116</v>
      </c>
      <c r="T745" s="123">
        <f t="shared" si="70"/>
        <v>0</v>
      </c>
      <c r="U745" s="123">
        <f t="shared" si="71"/>
        <v>1</v>
      </c>
    </row>
    <row r="746" spans="11:21" x14ac:dyDescent="0.25">
      <c r="K746" s="123" t="s">
        <v>855</v>
      </c>
      <c r="L746" s="126">
        <v>5776.3702811802377</v>
      </c>
      <c r="M746" s="126">
        <v>5.893722640003074</v>
      </c>
      <c r="N746" s="126">
        <v>5846.8592993657285</v>
      </c>
      <c r="O746" s="126">
        <v>6.7856218175129861</v>
      </c>
      <c r="P746" s="123">
        <f t="shared" si="68"/>
        <v>-70.48901818549075</v>
      </c>
      <c r="Q746" s="123">
        <f t="shared" si="69"/>
        <v>-0.8918991775099121</v>
      </c>
      <c r="R746" s="123">
        <f t="shared" si="66"/>
        <v>112098.08251888125</v>
      </c>
      <c r="S746" s="123">
        <f t="shared" si="67"/>
        <v>129865.577050894</v>
      </c>
      <c r="T746" s="123">
        <f t="shared" si="70"/>
        <v>0</v>
      </c>
      <c r="U746" s="123">
        <f t="shared" si="71"/>
        <v>1</v>
      </c>
    </row>
    <row r="747" spans="11:21" x14ac:dyDescent="0.25">
      <c r="K747" s="123" t="s">
        <v>856</v>
      </c>
      <c r="L747" s="126">
        <v>8351.4377114568561</v>
      </c>
      <c r="M747" s="126">
        <v>7.9262237802658237</v>
      </c>
      <c r="N747" s="126">
        <v>7130.3859066748773</v>
      </c>
      <c r="O747" s="126">
        <v>6.8496430381863043</v>
      </c>
      <c r="P747" s="123">
        <f t="shared" si="68"/>
        <v>1221.0518047819787</v>
      </c>
      <c r="Q747" s="123">
        <f t="shared" si="69"/>
        <v>1.0765807420795195</v>
      </c>
      <c r="R747" s="123">
        <f t="shared" si="66"/>
        <v>150173.03789385964</v>
      </c>
      <c r="S747" s="123">
        <f t="shared" si="67"/>
        <v>129862.47485705122</v>
      </c>
      <c r="T747" s="123">
        <f t="shared" si="70"/>
        <v>1</v>
      </c>
      <c r="U747" s="123">
        <f t="shared" si="71"/>
        <v>0</v>
      </c>
    </row>
    <row r="748" spans="11:21" x14ac:dyDescent="0.25">
      <c r="K748" s="123" t="s">
        <v>857</v>
      </c>
      <c r="L748" s="126">
        <v>11039.443430488698</v>
      </c>
      <c r="M748" s="126">
        <v>10.637217947749765</v>
      </c>
      <c r="N748" s="126">
        <v>7139.1143667058004</v>
      </c>
      <c r="O748" s="126">
        <v>6.7617385990128547</v>
      </c>
      <c r="P748" s="123">
        <f t="shared" si="68"/>
        <v>3900.3290637828977</v>
      </c>
      <c r="Q748" s="123">
        <f t="shared" si="69"/>
        <v>3.8754793487369099</v>
      </c>
      <c r="R748" s="123">
        <f t="shared" si="66"/>
        <v>201704.91552450659</v>
      </c>
      <c r="S748" s="123">
        <f t="shared" si="67"/>
        <v>128095.65761355129</v>
      </c>
      <c r="T748" s="123">
        <f t="shared" si="70"/>
        <v>1</v>
      </c>
      <c r="U748" s="123">
        <f t="shared" si="71"/>
        <v>0</v>
      </c>
    </row>
    <row r="749" spans="11:21" x14ac:dyDescent="0.25">
      <c r="K749" s="123" t="s">
        <v>858</v>
      </c>
      <c r="L749" s="126">
        <v>8324.5554111709898</v>
      </c>
      <c r="M749" s="126">
        <v>7.8879871423352856</v>
      </c>
      <c r="N749" s="126">
        <v>6022.5483444548527</v>
      </c>
      <c r="O749" s="126">
        <v>6.7807928568787341</v>
      </c>
      <c r="P749" s="123">
        <f t="shared" si="68"/>
        <v>2302.0070667161372</v>
      </c>
      <c r="Q749" s="123">
        <f t="shared" si="69"/>
        <v>1.1071942854565515</v>
      </c>
      <c r="R749" s="123">
        <f t="shared" si="66"/>
        <v>149435.18743553472</v>
      </c>
      <c r="S749" s="123">
        <f t="shared" si="67"/>
        <v>129593.30879311981</v>
      </c>
      <c r="T749" s="123">
        <f t="shared" si="70"/>
        <v>1</v>
      </c>
      <c r="U749" s="123">
        <f t="shared" si="71"/>
        <v>0</v>
      </c>
    </row>
    <row r="750" spans="11:21" x14ac:dyDescent="0.25">
      <c r="K750" s="123" t="s">
        <v>859</v>
      </c>
      <c r="L750" s="126">
        <v>11479.441283234757</v>
      </c>
      <c r="M750" s="126">
        <v>12.73384275588902</v>
      </c>
      <c r="N750" s="126">
        <v>5009.3378975660162</v>
      </c>
      <c r="O750" s="126">
        <v>6.0210043124434307</v>
      </c>
      <c r="P750" s="123">
        <f t="shared" si="68"/>
        <v>6470.1033856687409</v>
      </c>
      <c r="Q750" s="123">
        <f t="shared" si="69"/>
        <v>6.7128384434455892</v>
      </c>
      <c r="R750" s="123">
        <f t="shared" si="66"/>
        <v>243197.41383454564</v>
      </c>
      <c r="S750" s="123">
        <f t="shared" si="67"/>
        <v>115410.74835130259</v>
      </c>
      <c r="T750" s="123">
        <f t="shared" si="70"/>
        <v>1</v>
      </c>
      <c r="U750" s="123">
        <f t="shared" si="71"/>
        <v>0</v>
      </c>
    </row>
    <row r="751" spans="11:21" x14ac:dyDescent="0.25">
      <c r="K751" s="123" t="s">
        <v>860</v>
      </c>
      <c r="L751" s="126">
        <v>11068.791825216937</v>
      </c>
      <c r="M751" s="126">
        <v>11.69443316316795</v>
      </c>
      <c r="N751" s="126">
        <v>6797.6506762545296</v>
      </c>
      <c r="O751" s="126">
        <v>8.0351271440388263</v>
      </c>
      <c r="P751" s="123">
        <f t="shared" si="68"/>
        <v>4271.141148962407</v>
      </c>
      <c r="Q751" s="123">
        <f t="shared" si="69"/>
        <v>3.659306019129124</v>
      </c>
      <c r="R751" s="123">
        <f t="shared" si="66"/>
        <v>222819.87143814209</v>
      </c>
      <c r="S751" s="123">
        <f t="shared" si="67"/>
        <v>153904.89220452198</v>
      </c>
      <c r="T751" s="123">
        <f t="shared" si="70"/>
        <v>1</v>
      </c>
      <c r="U751" s="123">
        <f t="shared" si="71"/>
        <v>0</v>
      </c>
    </row>
    <row r="752" spans="11:21" x14ac:dyDescent="0.25">
      <c r="K752" s="123" t="s">
        <v>861</v>
      </c>
      <c r="L752" s="126">
        <v>7922.6940742892275</v>
      </c>
      <c r="M752" s="126">
        <v>7.5446857545957542</v>
      </c>
      <c r="N752" s="126">
        <v>5950.9212374241151</v>
      </c>
      <c r="O752" s="126">
        <v>5.9775091898006059</v>
      </c>
      <c r="P752" s="123">
        <f t="shared" si="68"/>
        <v>1971.7728368651124</v>
      </c>
      <c r="Q752" s="123">
        <f t="shared" si="69"/>
        <v>1.5671765647951483</v>
      </c>
      <c r="R752" s="123">
        <f t="shared" si="66"/>
        <v>142971.02101762584</v>
      </c>
      <c r="S752" s="123">
        <f t="shared" si="67"/>
        <v>113599.262558588</v>
      </c>
      <c r="T752" s="123">
        <f t="shared" si="70"/>
        <v>1</v>
      </c>
      <c r="U752" s="123">
        <f t="shared" si="71"/>
        <v>0</v>
      </c>
    </row>
    <row r="753" spans="11:21" x14ac:dyDescent="0.25">
      <c r="K753" s="123" t="s">
        <v>862</v>
      </c>
      <c r="L753" s="126">
        <v>9318.8739839385089</v>
      </c>
      <c r="M753" s="126">
        <v>8.7059471671424973</v>
      </c>
      <c r="N753" s="126">
        <v>5920.4310642987502</v>
      </c>
      <c r="O753" s="126">
        <v>5.4154118951259003</v>
      </c>
      <c r="P753" s="123">
        <f t="shared" si="68"/>
        <v>3398.4429196397587</v>
      </c>
      <c r="Q753" s="123">
        <f t="shared" si="69"/>
        <v>3.290535272016597</v>
      </c>
      <c r="R753" s="123">
        <f t="shared" si="66"/>
        <v>164800.06935891142</v>
      </c>
      <c r="S753" s="123">
        <f t="shared" si="67"/>
        <v>102387.80683821926</v>
      </c>
      <c r="T753" s="123">
        <f t="shared" si="70"/>
        <v>1</v>
      </c>
      <c r="U753" s="123">
        <f t="shared" si="71"/>
        <v>0</v>
      </c>
    </row>
    <row r="754" spans="11:21" x14ac:dyDescent="0.25">
      <c r="K754" s="123" t="s">
        <v>863</v>
      </c>
      <c r="L754" s="126">
        <v>11216.431061665209</v>
      </c>
      <c r="M754" s="126">
        <v>10.174366307927286</v>
      </c>
      <c r="N754" s="126">
        <v>7233.2135762344651</v>
      </c>
      <c r="O754" s="126">
        <v>6.9445996505057321</v>
      </c>
      <c r="P754" s="123">
        <f t="shared" si="68"/>
        <v>3983.2174854307441</v>
      </c>
      <c r="Q754" s="123">
        <f t="shared" si="69"/>
        <v>3.2297666574215542</v>
      </c>
      <c r="R754" s="123">
        <f t="shared" si="66"/>
        <v>192270.89509688053</v>
      </c>
      <c r="S754" s="123">
        <f t="shared" si="67"/>
        <v>131658.77943388018</v>
      </c>
      <c r="T754" s="123">
        <f t="shared" si="70"/>
        <v>1</v>
      </c>
      <c r="U754" s="123">
        <f t="shared" si="71"/>
        <v>0</v>
      </c>
    </row>
    <row r="755" spans="11:21" x14ac:dyDescent="0.25">
      <c r="K755" s="123" t="s">
        <v>864</v>
      </c>
      <c r="L755" s="126">
        <v>8529.32849614718</v>
      </c>
      <c r="M755" s="126">
        <v>7.3362299194932916</v>
      </c>
      <c r="N755" s="126">
        <v>5246.3473071433818</v>
      </c>
      <c r="O755" s="126">
        <v>4.7715639780126491</v>
      </c>
      <c r="P755" s="123">
        <f t="shared" si="68"/>
        <v>3282.9811890037981</v>
      </c>
      <c r="Q755" s="123">
        <f t="shared" si="69"/>
        <v>2.5646659414806425</v>
      </c>
      <c r="R755" s="123">
        <f t="shared" si="66"/>
        <v>138195.26989371865</v>
      </c>
      <c r="S755" s="123">
        <f t="shared" si="67"/>
        <v>90184.932253109597</v>
      </c>
      <c r="T755" s="123">
        <f t="shared" si="70"/>
        <v>1</v>
      </c>
      <c r="U755" s="123">
        <f t="shared" si="71"/>
        <v>0</v>
      </c>
    </row>
    <row r="756" spans="11:21" x14ac:dyDescent="0.25">
      <c r="K756" s="123" t="s">
        <v>865</v>
      </c>
      <c r="L756" s="126">
        <v>5948.088516417075</v>
      </c>
      <c r="M756" s="126">
        <v>5.4068241387797018</v>
      </c>
      <c r="N756" s="126">
        <v>5907.6569346522774</v>
      </c>
      <c r="O756" s="126">
        <v>5.7486172498927148</v>
      </c>
      <c r="P756" s="123">
        <f t="shared" si="68"/>
        <v>40.431581764797556</v>
      </c>
      <c r="Q756" s="123">
        <f t="shared" si="69"/>
        <v>-0.34179311111301303</v>
      </c>
      <c r="R756" s="123">
        <f t="shared" si="66"/>
        <v>102188.39425917696</v>
      </c>
      <c r="S756" s="123">
        <f t="shared" si="67"/>
        <v>109064.68806320202</v>
      </c>
      <c r="T756" s="123">
        <f t="shared" si="70"/>
        <v>0</v>
      </c>
      <c r="U756" s="123">
        <f t="shared" si="71"/>
        <v>1</v>
      </c>
    </row>
    <row r="757" spans="11:21" x14ac:dyDescent="0.25">
      <c r="K757" s="123" t="s">
        <v>866</v>
      </c>
      <c r="L757" s="126">
        <v>7065.5005838439556</v>
      </c>
      <c r="M757" s="126">
        <v>6.145318999604843</v>
      </c>
      <c r="N757" s="126">
        <v>7241.5382960983634</v>
      </c>
      <c r="O757" s="126">
        <v>6.8809489088142888</v>
      </c>
      <c r="P757" s="123">
        <f t="shared" si="68"/>
        <v>-176.03771225440778</v>
      </c>
      <c r="Q757" s="123">
        <f t="shared" si="69"/>
        <v>-0.73562990920944582</v>
      </c>
      <c r="R757" s="123">
        <f t="shared" si="66"/>
        <v>115840.87940825291</v>
      </c>
      <c r="S757" s="123">
        <f t="shared" si="67"/>
        <v>130377.4398801874</v>
      </c>
      <c r="T757" s="123">
        <f t="shared" si="70"/>
        <v>0</v>
      </c>
      <c r="U757" s="123">
        <f t="shared" si="71"/>
        <v>1</v>
      </c>
    </row>
    <row r="758" spans="11:21" x14ac:dyDescent="0.25">
      <c r="K758" s="123" t="s">
        <v>867</v>
      </c>
      <c r="L758" s="126">
        <v>9414.2335386433551</v>
      </c>
      <c r="M758" s="126">
        <v>8.9599085393604252</v>
      </c>
      <c r="N758" s="126">
        <v>6941.3122740050467</v>
      </c>
      <c r="O758" s="126">
        <v>7.047232949131458</v>
      </c>
      <c r="P758" s="123">
        <f t="shared" si="68"/>
        <v>2472.9212646383085</v>
      </c>
      <c r="Q758" s="123">
        <f t="shared" si="69"/>
        <v>1.9126755902289672</v>
      </c>
      <c r="R758" s="123">
        <f t="shared" si="66"/>
        <v>169783.93724856514</v>
      </c>
      <c r="S758" s="123">
        <f t="shared" si="67"/>
        <v>134003.3467086241</v>
      </c>
      <c r="T758" s="123">
        <f t="shared" si="70"/>
        <v>1</v>
      </c>
      <c r="U758" s="123">
        <f t="shared" si="71"/>
        <v>0</v>
      </c>
    </row>
    <row r="759" spans="11:21" x14ac:dyDescent="0.25">
      <c r="K759" s="123" t="s">
        <v>868</v>
      </c>
      <c r="L759" s="126">
        <v>7915.8708476704096</v>
      </c>
      <c r="M759" s="126">
        <v>7.6889708894864048</v>
      </c>
      <c r="N759" s="126">
        <v>7030.0940510738174</v>
      </c>
      <c r="O759" s="126">
        <v>6.944186512084217</v>
      </c>
      <c r="P759" s="123">
        <f t="shared" si="68"/>
        <v>885.77679659659225</v>
      </c>
      <c r="Q759" s="123">
        <f t="shared" si="69"/>
        <v>0.74478437740218784</v>
      </c>
      <c r="R759" s="123">
        <f t="shared" si="66"/>
        <v>145863.54694205767</v>
      </c>
      <c r="S759" s="123">
        <f t="shared" si="67"/>
        <v>131853.6361906105</v>
      </c>
      <c r="T759" s="123">
        <f t="shared" si="70"/>
        <v>1</v>
      </c>
      <c r="U759" s="123">
        <f t="shared" si="71"/>
        <v>0</v>
      </c>
    </row>
    <row r="760" spans="11:21" x14ac:dyDescent="0.25">
      <c r="K760" s="123" t="s">
        <v>869</v>
      </c>
      <c r="L760" s="126">
        <v>5234.8751282823523</v>
      </c>
      <c r="M760" s="126">
        <v>5.1807604858634084</v>
      </c>
      <c r="N760" s="126">
        <v>5398.9230196021026</v>
      </c>
      <c r="O760" s="126">
        <v>6.1258524021508363</v>
      </c>
      <c r="P760" s="123">
        <f t="shared" si="68"/>
        <v>-164.04789131975031</v>
      </c>
      <c r="Q760" s="123">
        <f t="shared" si="69"/>
        <v>-0.94509191628742784</v>
      </c>
      <c r="R760" s="123">
        <f t="shared" si="66"/>
        <v>98380.334588985817</v>
      </c>
      <c r="S760" s="123">
        <f t="shared" si="67"/>
        <v>117118.12502341461</v>
      </c>
      <c r="T760" s="123">
        <f t="shared" si="70"/>
        <v>0</v>
      </c>
      <c r="U760" s="123">
        <f t="shared" si="71"/>
        <v>1</v>
      </c>
    </row>
    <row r="761" spans="11:21" x14ac:dyDescent="0.25">
      <c r="K761" s="123" t="s">
        <v>870</v>
      </c>
      <c r="L761" s="126">
        <v>9626.0916657911694</v>
      </c>
      <c r="M761" s="126">
        <v>10.869726837843391</v>
      </c>
      <c r="N761" s="126">
        <v>5927.5630404291851</v>
      </c>
      <c r="O761" s="126">
        <v>7.6968943193872894</v>
      </c>
      <c r="P761" s="123">
        <f t="shared" si="68"/>
        <v>3698.5286253619843</v>
      </c>
      <c r="Q761" s="123">
        <f t="shared" si="69"/>
        <v>3.1728325184561017</v>
      </c>
      <c r="R761" s="123">
        <f t="shared" si="66"/>
        <v>207768.44509107666</v>
      </c>
      <c r="S761" s="123">
        <f t="shared" si="67"/>
        <v>148010.32334731662</v>
      </c>
      <c r="T761" s="123">
        <f t="shared" si="70"/>
        <v>1</v>
      </c>
      <c r="U761" s="123">
        <f t="shared" si="71"/>
        <v>0</v>
      </c>
    </row>
    <row r="762" spans="11:21" x14ac:dyDescent="0.25">
      <c r="K762" s="123" t="s">
        <v>871</v>
      </c>
      <c r="L762" s="126">
        <v>8520.7466502825519</v>
      </c>
      <c r="M762" s="126">
        <v>7.1007373723991867</v>
      </c>
      <c r="N762" s="126">
        <v>5206.42933329266</v>
      </c>
      <c r="O762" s="126">
        <v>4.348548508545516</v>
      </c>
      <c r="P762" s="123">
        <f t="shared" si="68"/>
        <v>3314.3173169898919</v>
      </c>
      <c r="Q762" s="123">
        <f t="shared" si="69"/>
        <v>2.7521888638536707</v>
      </c>
      <c r="R762" s="123">
        <f t="shared" si="66"/>
        <v>133494.00079770118</v>
      </c>
      <c r="S762" s="123">
        <f t="shared" si="67"/>
        <v>81764.540837617664</v>
      </c>
      <c r="T762" s="123">
        <f t="shared" si="70"/>
        <v>1</v>
      </c>
      <c r="U762" s="123">
        <f t="shared" si="71"/>
        <v>0</v>
      </c>
    </row>
    <row r="763" spans="11:21" x14ac:dyDescent="0.25">
      <c r="K763" s="123" t="s">
        <v>872</v>
      </c>
      <c r="L763" s="126">
        <v>7877.1838774432745</v>
      </c>
      <c r="M763" s="126">
        <v>6.4578207960838467</v>
      </c>
      <c r="N763" s="126">
        <v>5540.853588903502</v>
      </c>
      <c r="O763" s="126">
        <v>4.9402839084919465</v>
      </c>
      <c r="P763" s="123">
        <f t="shared" si="68"/>
        <v>2336.3302885397725</v>
      </c>
      <c r="Q763" s="123">
        <f t="shared" si="69"/>
        <v>1.5175368875919002</v>
      </c>
      <c r="R763" s="123">
        <f t="shared" si="66"/>
        <v>121279.23204423366</v>
      </c>
      <c r="S763" s="123">
        <f t="shared" si="67"/>
        <v>93264.824580935427</v>
      </c>
      <c r="T763" s="123">
        <f t="shared" si="70"/>
        <v>1</v>
      </c>
      <c r="U763" s="123">
        <f t="shared" si="71"/>
        <v>0</v>
      </c>
    </row>
    <row r="764" spans="11:21" x14ac:dyDescent="0.25">
      <c r="K764" s="123" t="s">
        <v>873</v>
      </c>
      <c r="L764" s="126">
        <v>5367.0048129453544</v>
      </c>
      <c r="M764" s="126">
        <v>4.9929396380565008</v>
      </c>
      <c r="N764" s="126">
        <v>6226.2274810049148</v>
      </c>
      <c r="O764" s="126">
        <v>6.9428728924803575</v>
      </c>
      <c r="P764" s="123">
        <f t="shared" si="68"/>
        <v>-859.22266805956042</v>
      </c>
      <c r="Q764" s="123">
        <f t="shared" si="69"/>
        <v>-1.9499332544238568</v>
      </c>
      <c r="R764" s="123">
        <f t="shared" si="66"/>
        <v>94491.787948184661</v>
      </c>
      <c r="S764" s="123">
        <f t="shared" si="67"/>
        <v>132631.23036860224</v>
      </c>
      <c r="T764" s="123">
        <f t="shared" si="70"/>
        <v>0</v>
      </c>
      <c r="U764" s="123">
        <f t="shared" si="71"/>
        <v>1</v>
      </c>
    </row>
    <row r="765" spans="11:21" x14ac:dyDescent="0.25">
      <c r="K765" s="123" t="s">
        <v>874</v>
      </c>
      <c r="L765" s="126">
        <v>6078.9278893868277</v>
      </c>
      <c r="M765" s="126">
        <v>5.4097566262444232</v>
      </c>
      <c r="N765" s="126">
        <v>6528.0502475633602</v>
      </c>
      <c r="O765" s="126">
        <v>5.8652730598671434</v>
      </c>
      <c r="P765" s="123">
        <f t="shared" si="68"/>
        <v>-449.12235817653254</v>
      </c>
      <c r="Q765" s="123">
        <f t="shared" si="69"/>
        <v>-0.45551643362272021</v>
      </c>
      <c r="R765" s="123">
        <f t="shared" si="66"/>
        <v>102116.20463550164</v>
      </c>
      <c r="S765" s="123">
        <f t="shared" si="67"/>
        <v>110777.41094977951</v>
      </c>
      <c r="T765" s="123">
        <f t="shared" si="70"/>
        <v>0</v>
      </c>
      <c r="U765" s="123">
        <f t="shared" si="71"/>
        <v>1</v>
      </c>
    </row>
    <row r="766" spans="11:21" x14ac:dyDescent="0.25">
      <c r="K766" s="123" t="s">
        <v>875</v>
      </c>
      <c r="L766" s="126">
        <v>7645.6737279050831</v>
      </c>
      <c r="M766" s="126">
        <v>7.7761697202204783</v>
      </c>
      <c r="N766" s="126">
        <v>6771.1485227001767</v>
      </c>
      <c r="O766" s="126">
        <v>7.1461936989382568</v>
      </c>
      <c r="P766" s="123">
        <f t="shared" si="68"/>
        <v>874.52520520490634</v>
      </c>
      <c r="Q766" s="123">
        <f t="shared" si="69"/>
        <v>0.62997602128222141</v>
      </c>
      <c r="R766" s="123">
        <f t="shared" si="66"/>
        <v>147877.72067650448</v>
      </c>
      <c r="S766" s="123">
        <f t="shared" si="67"/>
        <v>136152.72545606495</v>
      </c>
      <c r="T766" s="123">
        <f t="shared" si="70"/>
        <v>1</v>
      </c>
      <c r="U766" s="123">
        <f t="shared" si="71"/>
        <v>0</v>
      </c>
    </row>
    <row r="767" spans="11:21" x14ac:dyDescent="0.25">
      <c r="K767" s="123" t="s">
        <v>876</v>
      </c>
      <c r="L767" s="126">
        <v>6978.0339498912372</v>
      </c>
      <c r="M767" s="126">
        <v>6.518692993185673</v>
      </c>
      <c r="N767" s="126">
        <v>7292.2712204781219</v>
      </c>
      <c r="O767" s="126">
        <v>7.372639764228091</v>
      </c>
      <c r="P767" s="123">
        <f t="shared" si="68"/>
        <v>-314.23727058688473</v>
      </c>
      <c r="Q767" s="123">
        <f t="shared" si="69"/>
        <v>-0.85394677104241801</v>
      </c>
      <c r="R767" s="123">
        <f t="shared" si="66"/>
        <v>123395.82591382222</v>
      </c>
      <c r="S767" s="123">
        <f t="shared" si="67"/>
        <v>140160.5240640837</v>
      </c>
      <c r="T767" s="123">
        <f t="shared" si="70"/>
        <v>0</v>
      </c>
      <c r="U767" s="123">
        <f t="shared" si="71"/>
        <v>1</v>
      </c>
    </row>
    <row r="768" spans="11:21" x14ac:dyDescent="0.25">
      <c r="K768" s="123" t="s">
        <v>877</v>
      </c>
      <c r="L768" s="126">
        <v>7678.5435643961</v>
      </c>
      <c r="M768" s="126">
        <v>6.3675158733703991</v>
      </c>
      <c r="N768" s="126">
        <v>8220.9246535639122</v>
      </c>
      <c r="O768" s="126">
        <v>7.372377579061415</v>
      </c>
      <c r="P768" s="123">
        <f t="shared" si="68"/>
        <v>-542.38108916781221</v>
      </c>
      <c r="Q768" s="123">
        <f t="shared" si="69"/>
        <v>-1.0048617056910158</v>
      </c>
      <c r="R768" s="123">
        <f t="shared" si="66"/>
        <v>119671.77390301188</v>
      </c>
      <c r="S768" s="123">
        <f t="shared" si="67"/>
        <v>139226.62692766439</v>
      </c>
      <c r="T768" s="123">
        <f t="shared" si="70"/>
        <v>0</v>
      </c>
      <c r="U768" s="123">
        <f t="shared" si="71"/>
        <v>1</v>
      </c>
    </row>
    <row r="769" spans="11:21" x14ac:dyDescent="0.25">
      <c r="K769" s="123" t="s">
        <v>878</v>
      </c>
      <c r="L769" s="126">
        <v>5683.4144218730034</v>
      </c>
      <c r="M769" s="126">
        <v>5.5402712020711888</v>
      </c>
      <c r="N769" s="126">
        <v>6768.6379338386687</v>
      </c>
      <c r="O769" s="126">
        <v>7.7334962619589032</v>
      </c>
      <c r="P769" s="123">
        <f t="shared" si="68"/>
        <v>-1085.2235119656652</v>
      </c>
      <c r="Q769" s="123">
        <f t="shared" si="69"/>
        <v>-2.1932250598877143</v>
      </c>
      <c r="R769" s="123">
        <f t="shared" si="66"/>
        <v>105122.00961955076</v>
      </c>
      <c r="S769" s="123">
        <f t="shared" si="67"/>
        <v>147901.28730533939</v>
      </c>
      <c r="T769" s="123">
        <f t="shared" si="70"/>
        <v>0</v>
      </c>
      <c r="U769" s="123">
        <f t="shared" si="71"/>
        <v>1</v>
      </c>
    </row>
    <row r="770" spans="11:21" x14ac:dyDescent="0.25">
      <c r="K770" s="123" t="s">
        <v>879</v>
      </c>
      <c r="L770" s="126">
        <v>5508.2147334950241</v>
      </c>
      <c r="M770" s="126">
        <v>4.8101922775898975</v>
      </c>
      <c r="N770" s="126">
        <v>7034.6346113248383</v>
      </c>
      <c r="O770" s="126">
        <v>6.7310105191628518</v>
      </c>
      <c r="P770" s="123">
        <f t="shared" si="68"/>
        <v>-1526.4198778298141</v>
      </c>
      <c r="Q770" s="123">
        <f t="shared" si="69"/>
        <v>-1.9208182415729542</v>
      </c>
      <c r="R770" s="123">
        <f t="shared" si="66"/>
        <v>90695.630818302918</v>
      </c>
      <c r="S770" s="123">
        <f t="shared" si="67"/>
        <v>127585.5757719322</v>
      </c>
      <c r="T770" s="123">
        <f t="shared" si="70"/>
        <v>0</v>
      </c>
      <c r="U770" s="123">
        <f t="shared" si="71"/>
        <v>1</v>
      </c>
    </row>
    <row r="771" spans="11:21" x14ac:dyDescent="0.25">
      <c r="K771" s="123" t="s">
        <v>880</v>
      </c>
      <c r="L771" s="126">
        <v>11111.987865575615</v>
      </c>
      <c r="M771" s="126">
        <v>9.5716283971601719</v>
      </c>
      <c r="N771" s="126">
        <v>7648.6169063793259</v>
      </c>
      <c r="O771" s="126">
        <v>7.7087139190763017</v>
      </c>
      <c r="P771" s="123">
        <f t="shared" si="68"/>
        <v>3463.3709591962888</v>
      </c>
      <c r="Q771" s="123">
        <f t="shared" si="69"/>
        <v>1.8629144780838702</v>
      </c>
      <c r="R771" s="123">
        <f t="shared" si="66"/>
        <v>180320.58007762782</v>
      </c>
      <c r="S771" s="123">
        <f t="shared" si="67"/>
        <v>146525.66147514671</v>
      </c>
      <c r="T771" s="123">
        <f t="shared" si="70"/>
        <v>1</v>
      </c>
      <c r="U771" s="123">
        <f t="shared" si="71"/>
        <v>0</v>
      </c>
    </row>
    <row r="772" spans="11:21" x14ac:dyDescent="0.25">
      <c r="K772" s="123" t="s">
        <v>881</v>
      </c>
      <c r="L772" s="126">
        <v>5111.775369811543</v>
      </c>
      <c r="M772" s="126">
        <v>4.6373865987473089</v>
      </c>
      <c r="N772" s="126">
        <v>7746.3478444628317</v>
      </c>
      <c r="O772" s="126">
        <v>7.5691279370494948</v>
      </c>
      <c r="P772" s="123">
        <f t="shared" si="68"/>
        <v>-2634.5724746512888</v>
      </c>
      <c r="Q772" s="123">
        <f t="shared" si="69"/>
        <v>-2.931741338302186</v>
      </c>
      <c r="R772" s="123">
        <f t="shared" si="66"/>
        <v>87635.956605134634</v>
      </c>
      <c r="S772" s="123">
        <f t="shared" si="67"/>
        <v>143636.21089652705</v>
      </c>
      <c r="T772" s="123">
        <f t="shared" si="70"/>
        <v>0</v>
      </c>
      <c r="U772" s="123">
        <f t="shared" si="71"/>
        <v>1</v>
      </c>
    </row>
    <row r="773" spans="11:21" x14ac:dyDescent="0.25">
      <c r="K773" s="123" t="s">
        <v>882</v>
      </c>
      <c r="L773" s="126">
        <v>9144.5688646735161</v>
      </c>
      <c r="M773" s="126">
        <v>7.8421968733510932</v>
      </c>
      <c r="N773" s="126">
        <v>6465.9342642254342</v>
      </c>
      <c r="O773" s="126">
        <v>5.3647392614960845</v>
      </c>
      <c r="P773" s="123">
        <f t="shared" si="68"/>
        <v>2678.634600448082</v>
      </c>
      <c r="Q773" s="123">
        <f t="shared" si="69"/>
        <v>2.4774576118550087</v>
      </c>
      <c r="R773" s="123">
        <f t="shared" si="66"/>
        <v>147699.36860234835</v>
      </c>
      <c r="S773" s="123">
        <f t="shared" si="67"/>
        <v>100828.85096569626</v>
      </c>
      <c r="T773" s="123">
        <f t="shared" si="70"/>
        <v>1</v>
      </c>
      <c r="U773" s="123">
        <f t="shared" si="71"/>
        <v>0</v>
      </c>
    </row>
    <row r="774" spans="11:21" x14ac:dyDescent="0.25">
      <c r="K774" s="123" t="s">
        <v>883</v>
      </c>
      <c r="L774" s="126">
        <v>9083.8502922814077</v>
      </c>
      <c r="M774" s="126">
        <v>8.5414669104672161</v>
      </c>
      <c r="N774" s="126">
        <v>5941.9413225024</v>
      </c>
      <c r="O774" s="126">
        <v>6.4627639366116973</v>
      </c>
      <c r="P774" s="123">
        <f t="shared" si="68"/>
        <v>3141.9089697790077</v>
      </c>
      <c r="Q774" s="123">
        <f t="shared" si="69"/>
        <v>2.0787029738555187</v>
      </c>
      <c r="R774" s="123">
        <f t="shared" si="66"/>
        <v>161745.48791706288</v>
      </c>
      <c r="S774" s="123">
        <f t="shared" si="67"/>
        <v>123313.33740973154</v>
      </c>
      <c r="T774" s="123">
        <f t="shared" si="70"/>
        <v>1</v>
      </c>
      <c r="U774" s="123">
        <f t="shared" si="71"/>
        <v>0</v>
      </c>
    </row>
    <row r="775" spans="11:21" x14ac:dyDescent="0.25">
      <c r="K775" s="123" t="s">
        <v>884</v>
      </c>
      <c r="L775" s="126">
        <v>9188.9745172548519</v>
      </c>
      <c r="M775" s="126">
        <v>8.4995535717334576</v>
      </c>
      <c r="N775" s="126">
        <v>9892.9810410655937</v>
      </c>
      <c r="O775" s="126">
        <v>10.134400062673231</v>
      </c>
      <c r="P775" s="123">
        <f t="shared" si="68"/>
        <v>-704.00652381074178</v>
      </c>
      <c r="Q775" s="123">
        <f t="shared" si="69"/>
        <v>-1.6348464909397737</v>
      </c>
      <c r="R775" s="123">
        <f t="shared" si="66"/>
        <v>160802.09691741428</v>
      </c>
      <c r="S775" s="123">
        <f t="shared" si="67"/>
        <v>192795.02021239905</v>
      </c>
      <c r="T775" s="123">
        <f t="shared" si="70"/>
        <v>0</v>
      </c>
      <c r="U775" s="123">
        <f t="shared" si="71"/>
        <v>1</v>
      </c>
    </row>
    <row r="776" spans="11:21" x14ac:dyDescent="0.25">
      <c r="K776" s="123" t="s">
        <v>885</v>
      </c>
      <c r="L776" s="126">
        <v>7745.8492587365054</v>
      </c>
      <c r="M776" s="126">
        <v>7.0014104186255883</v>
      </c>
      <c r="N776" s="126">
        <v>5578.8715715818053</v>
      </c>
      <c r="O776" s="126">
        <v>5.4100246399781913</v>
      </c>
      <c r="P776" s="123">
        <f t="shared" si="68"/>
        <v>2166.9776871547001</v>
      </c>
      <c r="Q776" s="123">
        <f t="shared" si="69"/>
        <v>1.5913857786473971</v>
      </c>
      <c r="R776" s="123">
        <f t="shared" si="66"/>
        <v>132282.35911377525</v>
      </c>
      <c r="S776" s="123">
        <f t="shared" si="67"/>
        <v>102621.62122798202</v>
      </c>
      <c r="T776" s="123">
        <f t="shared" si="70"/>
        <v>1</v>
      </c>
      <c r="U776" s="123">
        <f t="shared" si="71"/>
        <v>0</v>
      </c>
    </row>
    <row r="777" spans="11:21" x14ac:dyDescent="0.25">
      <c r="K777" s="123" t="s">
        <v>886</v>
      </c>
      <c r="L777" s="126">
        <v>7786.3070337177578</v>
      </c>
      <c r="M777" s="126">
        <v>7.0459063324947655</v>
      </c>
      <c r="N777" s="126">
        <v>5988.7272908715158</v>
      </c>
      <c r="O777" s="126">
        <v>6.0024964902426357</v>
      </c>
      <c r="P777" s="123">
        <f t="shared" si="68"/>
        <v>1797.579742846242</v>
      </c>
      <c r="Q777" s="123">
        <f t="shared" si="69"/>
        <v>1.0434098422521298</v>
      </c>
      <c r="R777" s="123">
        <f t="shared" si="66"/>
        <v>133131.81961617756</v>
      </c>
      <c r="S777" s="123">
        <f t="shared" si="67"/>
        <v>114061.2025139812</v>
      </c>
      <c r="T777" s="123">
        <f t="shared" si="70"/>
        <v>1</v>
      </c>
      <c r="U777" s="123">
        <f t="shared" si="71"/>
        <v>0</v>
      </c>
    </row>
    <row r="778" spans="11:21" x14ac:dyDescent="0.25">
      <c r="K778" s="123" t="s">
        <v>887</v>
      </c>
      <c r="L778" s="126">
        <v>5547.8789508599712</v>
      </c>
      <c r="M778" s="126">
        <v>4.7796708199050357</v>
      </c>
      <c r="N778" s="126">
        <v>7477.6027721407527</v>
      </c>
      <c r="O778" s="126">
        <v>7.1516283271496972</v>
      </c>
      <c r="P778" s="123">
        <f t="shared" si="68"/>
        <v>-1929.7238212807815</v>
      </c>
      <c r="Q778" s="123">
        <f t="shared" si="69"/>
        <v>-2.3719575072446615</v>
      </c>
      <c r="R778" s="123">
        <f t="shared" si="66"/>
        <v>90045.537447240742</v>
      </c>
      <c r="S778" s="123">
        <f t="shared" si="67"/>
        <v>135554.96377085318</v>
      </c>
      <c r="T778" s="123">
        <f t="shared" si="70"/>
        <v>0</v>
      </c>
      <c r="U778" s="123">
        <f t="shared" si="71"/>
        <v>1</v>
      </c>
    </row>
    <row r="779" spans="11:21" x14ac:dyDescent="0.25">
      <c r="K779" s="123" t="s">
        <v>888</v>
      </c>
      <c r="L779" s="126">
        <v>7905.2888111990296</v>
      </c>
      <c r="M779" s="126">
        <v>8.4515233828508318</v>
      </c>
      <c r="N779" s="126">
        <v>5993.6010129355336</v>
      </c>
      <c r="O779" s="126">
        <v>7.753899199862909</v>
      </c>
      <c r="P779" s="123">
        <f t="shared" si="68"/>
        <v>1911.687798263496</v>
      </c>
      <c r="Q779" s="123">
        <f t="shared" si="69"/>
        <v>0.69762418298792284</v>
      </c>
      <c r="R779" s="123">
        <f t="shared" si="66"/>
        <v>161125.17884581763</v>
      </c>
      <c r="S779" s="123">
        <f t="shared" si="67"/>
        <v>149084.38298432264</v>
      </c>
      <c r="T779" s="123">
        <f t="shared" si="70"/>
        <v>1</v>
      </c>
      <c r="U779" s="123">
        <f t="shared" si="71"/>
        <v>0</v>
      </c>
    </row>
    <row r="780" spans="11:21" x14ac:dyDescent="0.25">
      <c r="K780" s="123" t="s">
        <v>889</v>
      </c>
      <c r="L780" s="126">
        <v>10020.679487492813</v>
      </c>
      <c r="M780" s="126">
        <v>9.716925610084326</v>
      </c>
      <c r="N780" s="126">
        <v>7162.3665091650046</v>
      </c>
      <c r="O780" s="126">
        <v>6.9816626854210879</v>
      </c>
      <c r="P780" s="123">
        <f t="shared" si="68"/>
        <v>2858.3129783278082</v>
      </c>
      <c r="Q780" s="123">
        <f t="shared" si="69"/>
        <v>2.7352629246632381</v>
      </c>
      <c r="R780" s="123">
        <f t="shared" si="66"/>
        <v>184317.8327141937</v>
      </c>
      <c r="S780" s="123">
        <f t="shared" si="67"/>
        <v>132470.88719925674</v>
      </c>
      <c r="T780" s="123">
        <f t="shared" si="70"/>
        <v>1</v>
      </c>
      <c r="U780" s="123">
        <f t="shared" si="71"/>
        <v>0</v>
      </c>
    </row>
    <row r="781" spans="11:21" x14ac:dyDescent="0.25">
      <c r="K781" s="123" t="s">
        <v>890</v>
      </c>
      <c r="L781" s="126">
        <v>7255.6601184732644</v>
      </c>
      <c r="M781" s="126">
        <v>6.0022366671788845</v>
      </c>
      <c r="N781" s="126">
        <v>5961.3005369320344</v>
      </c>
      <c r="O781" s="126">
        <v>5.6065651574666271</v>
      </c>
      <c r="P781" s="123">
        <f t="shared" si="68"/>
        <v>1294.35958154123</v>
      </c>
      <c r="Q781" s="123">
        <f t="shared" si="69"/>
        <v>0.3956715097122574</v>
      </c>
      <c r="R781" s="123">
        <f t="shared" si="66"/>
        <v>112789.07322510442</v>
      </c>
      <c r="S781" s="123">
        <f t="shared" si="67"/>
        <v>106170.00261240051</v>
      </c>
      <c r="T781" s="123">
        <f t="shared" si="70"/>
        <v>1</v>
      </c>
      <c r="U781" s="123">
        <f t="shared" si="71"/>
        <v>0</v>
      </c>
    </row>
    <row r="782" spans="11:21" x14ac:dyDescent="0.25">
      <c r="K782" s="123" t="s">
        <v>891</v>
      </c>
      <c r="L782" s="126">
        <v>8290.0629607376068</v>
      </c>
      <c r="M782" s="126">
        <v>8.4285226583685251</v>
      </c>
      <c r="N782" s="126">
        <v>5689.0086773762441</v>
      </c>
      <c r="O782" s="126">
        <v>6.5155064319767799</v>
      </c>
      <c r="P782" s="123">
        <f t="shared" si="68"/>
        <v>2601.0542833613626</v>
      </c>
      <c r="Q782" s="123">
        <f t="shared" si="69"/>
        <v>1.9130162263917452</v>
      </c>
      <c r="R782" s="123">
        <f t="shared" si="66"/>
        <v>160280.39020663287</v>
      </c>
      <c r="S782" s="123">
        <f t="shared" si="67"/>
        <v>124621.11996215936</v>
      </c>
      <c r="T782" s="123">
        <f t="shared" si="70"/>
        <v>1</v>
      </c>
      <c r="U782" s="123">
        <f t="shared" si="71"/>
        <v>0</v>
      </c>
    </row>
    <row r="783" spans="11:21" x14ac:dyDescent="0.25">
      <c r="K783" s="123" t="s">
        <v>892</v>
      </c>
      <c r="L783" s="126">
        <v>6133.149401837969</v>
      </c>
      <c r="M783" s="126">
        <v>6.3895488456884442</v>
      </c>
      <c r="N783" s="126">
        <v>7055.863657712518</v>
      </c>
      <c r="O783" s="126">
        <v>8.4117284127852336</v>
      </c>
      <c r="P783" s="123">
        <f t="shared" si="68"/>
        <v>-922.71425587454905</v>
      </c>
      <c r="Q783" s="123">
        <f t="shared" si="69"/>
        <v>-2.0221795670967895</v>
      </c>
      <c r="R783" s="123">
        <f t="shared" si="66"/>
        <v>121657.82751193091</v>
      </c>
      <c r="S783" s="123">
        <f t="shared" si="67"/>
        <v>161178.70459799215</v>
      </c>
      <c r="T783" s="123">
        <f t="shared" si="70"/>
        <v>0</v>
      </c>
      <c r="U783" s="123">
        <f t="shared" si="71"/>
        <v>1</v>
      </c>
    </row>
    <row r="784" spans="11:21" x14ac:dyDescent="0.25">
      <c r="K784" s="123" t="s">
        <v>893</v>
      </c>
      <c r="L784" s="126">
        <v>7798.9919263694264</v>
      </c>
      <c r="M784" s="126">
        <v>7.691629710533312</v>
      </c>
      <c r="N784" s="126">
        <v>7246.1822004680989</v>
      </c>
      <c r="O784" s="126">
        <v>8.095447212100586</v>
      </c>
      <c r="P784" s="123">
        <f t="shared" si="68"/>
        <v>552.80972590132751</v>
      </c>
      <c r="Q784" s="123">
        <f t="shared" si="69"/>
        <v>-0.40381750156727403</v>
      </c>
      <c r="R784" s="123">
        <f t="shared" si="66"/>
        <v>146033.60228429679</v>
      </c>
      <c r="S784" s="123">
        <f t="shared" si="67"/>
        <v>154662.76204154364</v>
      </c>
      <c r="T784" s="123">
        <f t="shared" si="70"/>
        <v>0</v>
      </c>
      <c r="U784" s="123">
        <f t="shared" si="71"/>
        <v>1</v>
      </c>
    </row>
    <row r="785" spans="11:21" x14ac:dyDescent="0.25">
      <c r="K785" s="123" t="s">
        <v>894</v>
      </c>
      <c r="L785" s="126">
        <v>4188.0991331655259</v>
      </c>
      <c r="M785" s="126">
        <v>4.1186242169309164</v>
      </c>
      <c r="N785" s="126">
        <v>6225.2526813984196</v>
      </c>
      <c r="O785" s="126">
        <v>6.6808594306549347</v>
      </c>
      <c r="P785" s="123">
        <f t="shared" si="68"/>
        <v>-2037.1535482328936</v>
      </c>
      <c r="Q785" s="123">
        <f t="shared" si="69"/>
        <v>-2.5622352137240183</v>
      </c>
      <c r="R785" s="123">
        <f t="shared" ref="R785:R848" si="72">M785*willingness_to_pay-L785</f>
        <v>78184.385205452811</v>
      </c>
      <c r="S785" s="123">
        <f t="shared" ref="S785:S848" si="73">O785*willingness_to_pay-N785</f>
        <v>127391.93593170028</v>
      </c>
      <c r="T785" s="123">
        <f t="shared" si="70"/>
        <v>0</v>
      </c>
      <c r="U785" s="123">
        <f t="shared" si="71"/>
        <v>1</v>
      </c>
    </row>
    <row r="786" spans="11:21" x14ac:dyDescent="0.25">
      <c r="K786" s="123" t="s">
        <v>895</v>
      </c>
      <c r="L786" s="126">
        <v>10700.627267483627</v>
      </c>
      <c r="M786" s="126">
        <v>10.188456489778467</v>
      </c>
      <c r="N786" s="126">
        <v>5594.1022931428961</v>
      </c>
      <c r="O786" s="126">
        <v>5.6819686962495561</v>
      </c>
      <c r="P786" s="123">
        <f t="shared" ref="P786:P849" si="74">L786-N786</f>
        <v>5106.5249743407312</v>
      </c>
      <c r="Q786" s="123">
        <f t="shared" ref="Q786:Q849" si="75">M786-O786</f>
        <v>4.5064877935289109</v>
      </c>
      <c r="R786" s="123">
        <f t="shared" si="72"/>
        <v>193068.50252808572</v>
      </c>
      <c r="S786" s="123">
        <f t="shared" si="73"/>
        <v>108045.27163184821</v>
      </c>
      <c r="T786" s="123">
        <f t="shared" ref="T786:T849" si="76">IF(L786="", "",IF(R786=MAX(R786:S786),1,0))</f>
        <v>1</v>
      </c>
      <c r="U786" s="123">
        <f t="shared" ref="U786:U849" si="77">IF(N786="", "", IF(S786=MAX(R786:S786),1,0))</f>
        <v>0</v>
      </c>
    </row>
    <row r="787" spans="11:21" x14ac:dyDescent="0.25">
      <c r="K787" s="123" t="s">
        <v>896</v>
      </c>
      <c r="L787" s="126">
        <v>7062.4773169609807</v>
      </c>
      <c r="M787" s="126">
        <v>7.0609571092439243</v>
      </c>
      <c r="N787" s="126">
        <v>5755.4383426997856</v>
      </c>
      <c r="O787" s="126">
        <v>6.5419604076200013</v>
      </c>
      <c r="P787" s="123">
        <f t="shared" si="74"/>
        <v>1307.0389742611951</v>
      </c>
      <c r="Q787" s="123">
        <f t="shared" si="75"/>
        <v>0.51899670162392297</v>
      </c>
      <c r="R787" s="123">
        <f t="shared" si="72"/>
        <v>134156.66486791751</v>
      </c>
      <c r="S787" s="123">
        <f t="shared" si="73"/>
        <v>125083.76980970024</v>
      </c>
      <c r="T787" s="123">
        <f t="shared" si="76"/>
        <v>1</v>
      </c>
      <c r="U787" s="123">
        <f t="shared" si="77"/>
        <v>0</v>
      </c>
    </row>
    <row r="788" spans="11:21" x14ac:dyDescent="0.25">
      <c r="K788" s="123" t="s">
        <v>897</v>
      </c>
      <c r="L788" s="126">
        <v>8862.7662733306242</v>
      </c>
      <c r="M788" s="126">
        <v>8.0196138456948027</v>
      </c>
      <c r="N788" s="126">
        <v>6909.236744179364</v>
      </c>
      <c r="O788" s="126">
        <v>6.5767860784880945</v>
      </c>
      <c r="P788" s="123">
        <f t="shared" si="74"/>
        <v>1953.5295291512602</v>
      </c>
      <c r="Q788" s="123">
        <f t="shared" si="75"/>
        <v>1.4428277672067082</v>
      </c>
      <c r="R788" s="123">
        <f t="shared" si="72"/>
        <v>151529.51064056542</v>
      </c>
      <c r="S788" s="123">
        <f t="shared" si="73"/>
        <v>124626.48482558253</v>
      </c>
      <c r="T788" s="123">
        <f t="shared" si="76"/>
        <v>1</v>
      </c>
      <c r="U788" s="123">
        <f t="shared" si="77"/>
        <v>0</v>
      </c>
    </row>
    <row r="789" spans="11:21" x14ac:dyDescent="0.25">
      <c r="K789" s="123" t="s">
        <v>898</v>
      </c>
      <c r="L789" s="126">
        <v>9749.7542432582632</v>
      </c>
      <c r="M789" s="126">
        <v>9.8714436559729855</v>
      </c>
      <c r="N789" s="126">
        <v>7297.6701483434945</v>
      </c>
      <c r="O789" s="126">
        <v>7.7748409850863069</v>
      </c>
      <c r="P789" s="123">
        <f t="shared" si="74"/>
        <v>2452.0840949147687</v>
      </c>
      <c r="Q789" s="123">
        <f t="shared" si="75"/>
        <v>2.0966026708866785</v>
      </c>
      <c r="R789" s="123">
        <f t="shared" si="72"/>
        <v>187679.11887620145</v>
      </c>
      <c r="S789" s="123">
        <f t="shared" si="73"/>
        <v>148199.14955338265</v>
      </c>
      <c r="T789" s="123">
        <f t="shared" si="76"/>
        <v>1</v>
      </c>
      <c r="U789" s="123">
        <f t="shared" si="77"/>
        <v>0</v>
      </c>
    </row>
    <row r="790" spans="11:21" x14ac:dyDescent="0.25">
      <c r="K790" s="123" t="s">
        <v>899</v>
      </c>
      <c r="L790" s="126">
        <v>8104.0046486048159</v>
      </c>
      <c r="M790" s="126">
        <v>7.2664530046142479</v>
      </c>
      <c r="N790" s="126">
        <v>7342.3859668791056</v>
      </c>
      <c r="O790" s="126">
        <v>6.6645233004857714</v>
      </c>
      <c r="P790" s="123">
        <f t="shared" si="74"/>
        <v>761.6186817257103</v>
      </c>
      <c r="Q790" s="123">
        <f t="shared" si="75"/>
        <v>0.60192970412847657</v>
      </c>
      <c r="R790" s="123">
        <f t="shared" si="72"/>
        <v>137225.05544368015</v>
      </c>
      <c r="S790" s="123">
        <f t="shared" si="73"/>
        <v>125948.08004283631</v>
      </c>
      <c r="T790" s="123">
        <f t="shared" si="76"/>
        <v>1</v>
      </c>
      <c r="U790" s="123">
        <f t="shared" si="77"/>
        <v>0</v>
      </c>
    </row>
    <row r="791" spans="11:21" x14ac:dyDescent="0.25">
      <c r="K791" s="123" t="s">
        <v>900</v>
      </c>
      <c r="L791" s="126">
        <v>6000.8180013640595</v>
      </c>
      <c r="M791" s="126">
        <v>5.5836821786590667</v>
      </c>
      <c r="N791" s="126">
        <v>6271.9494238640355</v>
      </c>
      <c r="O791" s="126">
        <v>6.1719168419659862</v>
      </c>
      <c r="P791" s="123">
        <f t="shared" si="74"/>
        <v>-271.131422499976</v>
      </c>
      <c r="Q791" s="123">
        <f t="shared" si="75"/>
        <v>-0.58823466330691954</v>
      </c>
      <c r="R791" s="123">
        <f t="shared" si="72"/>
        <v>105672.82557181729</v>
      </c>
      <c r="S791" s="123">
        <f t="shared" si="73"/>
        <v>117166.3874154557</v>
      </c>
      <c r="T791" s="123">
        <f t="shared" si="76"/>
        <v>0</v>
      </c>
      <c r="U791" s="123">
        <f t="shared" si="77"/>
        <v>1</v>
      </c>
    </row>
    <row r="792" spans="11:21" x14ac:dyDescent="0.25">
      <c r="K792" s="123" t="s">
        <v>901</v>
      </c>
      <c r="L792" s="126">
        <v>9426.225086340397</v>
      </c>
      <c r="M792" s="126">
        <v>8.7501823120221545</v>
      </c>
      <c r="N792" s="126">
        <v>8980.167780678752</v>
      </c>
      <c r="O792" s="126">
        <v>8.7464344407595558</v>
      </c>
      <c r="P792" s="123">
        <f t="shared" si="74"/>
        <v>446.05730566164493</v>
      </c>
      <c r="Q792" s="123">
        <f t="shared" si="75"/>
        <v>3.7478712625986788E-3</v>
      </c>
      <c r="R792" s="123">
        <f t="shared" si="72"/>
        <v>165577.42115410269</v>
      </c>
      <c r="S792" s="123">
        <f t="shared" si="73"/>
        <v>165948.52103451238</v>
      </c>
      <c r="T792" s="123">
        <f t="shared" si="76"/>
        <v>0</v>
      </c>
      <c r="U792" s="123">
        <f t="shared" si="77"/>
        <v>1</v>
      </c>
    </row>
    <row r="793" spans="11:21" x14ac:dyDescent="0.25">
      <c r="K793" s="123" t="s">
        <v>902</v>
      </c>
      <c r="L793" s="126">
        <v>4982.370857803262</v>
      </c>
      <c r="M793" s="126">
        <v>4.8997807773460602</v>
      </c>
      <c r="N793" s="126">
        <v>6647.6787089402515</v>
      </c>
      <c r="O793" s="126">
        <v>7.4199300008656515</v>
      </c>
      <c r="P793" s="123">
        <f t="shared" si="74"/>
        <v>-1665.3078511369895</v>
      </c>
      <c r="Q793" s="123">
        <f t="shared" si="75"/>
        <v>-2.5201492235195913</v>
      </c>
      <c r="R793" s="123">
        <f t="shared" si="72"/>
        <v>93013.244689117942</v>
      </c>
      <c r="S793" s="123">
        <f t="shared" si="73"/>
        <v>141750.92130837278</v>
      </c>
      <c r="T793" s="123">
        <f t="shared" si="76"/>
        <v>0</v>
      </c>
      <c r="U793" s="123">
        <f t="shared" si="77"/>
        <v>1</v>
      </c>
    </row>
    <row r="794" spans="11:21" x14ac:dyDescent="0.25">
      <c r="K794" s="123" t="s">
        <v>903</v>
      </c>
      <c r="L794" s="126">
        <v>7533.0168447473807</v>
      </c>
      <c r="M794" s="126">
        <v>7.4154234921310227</v>
      </c>
      <c r="N794" s="126">
        <v>7039.6170488663138</v>
      </c>
      <c r="O794" s="126">
        <v>7.8202091001702048</v>
      </c>
      <c r="P794" s="123">
        <f t="shared" si="74"/>
        <v>493.39979588106689</v>
      </c>
      <c r="Q794" s="123">
        <f t="shared" si="75"/>
        <v>-0.40478560803918207</v>
      </c>
      <c r="R794" s="123">
        <f t="shared" si="72"/>
        <v>140775.45299787307</v>
      </c>
      <c r="S794" s="123">
        <f t="shared" si="73"/>
        <v>149364.56495453778</v>
      </c>
      <c r="T794" s="123">
        <f t="shared" si="76"/>
        <v>0</v>
      </c>
      <c r="U794" s="123">
        <f t="shared" si="77"/>
        <v>1</v>
      </c>
    </row>
    <row r="795" spans="11:21" x14ac:dyDescent="0.25">
      <c r="K795" s="123" t="s">
        <v>904</v>
      </c>
      <c r="L795" s="126">
        <v>6355.0042865177456</v>
      </c>
      <c r="M795" s="126">
        <v>6.4489089259374959</v>
      </c>
      <c r="N795" s="126">
        <v>5201.2097978308257</v>
      </c>
      <c r="O795" s="126">
        <v>5.3299073581040375</v>
      </c>
      <c r="P795" s="123">
        <f t="shared" si="74"/>
        <v>1153.79448868692</v>
      </c>
      <c r="Q795" s="123">
        <f t="shared" si="75"/>
        <v>1.1190015678334584</v>
      </c>
      <c r="R795" s="123">
        <f t="shared" si="72"/>
        <v>122623.17423223218</v>
      </c>
      <c r="S795" s="123">
        <f t="shared" si="73"/>
        <v>101396.93736424991</v>
      </c>
      <c r="T795" s="123">
        <f t="shared" si="76"/>
        <v>1</v>
      </c>
      <c r="U795" s="123">
        <f t="shared" si="77"/>
        <v>0</v>
      </c>
    </row>
    <row r="796" spans="11:21" x14ac:dyDescent="0.25">
      <c r="K796" s="123" t="s">
        <v>905</v>
      </c>
      <c r="L796" s="126">
        <v>6412.5293612130909</v>
      </c>
      <c r="M796" s="126">
        <v>5.2324430992595952</v>
      </c>
      <c r="N796" s="126">
        <v>6056.7525275358921</v>
      </c>
      <c r="O796" s="126">
        <v>5.1288711075635192</v>
      </c>
      <c r="P796" s="123">
        <f t="shared" si="74"/>
        <v>355.77683367719874</v>
      </c>
      <c r="Q796" s="123">
        <f t="shared" si="75"/>
        <v>0.103571991696076</v>
      </c>
      <c r="R796" s="123">
        <f t="shared" si="72"/>
        <v>98236.332623978815</v>
      </c>
      <c r="S796" s="123">
        <f t="shared" si="73"/>
        <v>96520.669623734488</v>
      </c>
      <c r="T796" s="123">
        <f t="shared" si="76"/>
        <v>1</v>
      </c>
      <c r="U796" s="123">
        <f t="shared" si="77"/>
        <v>0</v>
      </c>
    </row>
    <row r="797" spans="11:21" x14ac:dyDescent="0.25">
      <c r="K797" s="123" t="s">
        <v>906</v>
      </c>
      <c r="L797" s="126">
        <v>7785.4644649004731</v>
      </c>
      <c r="M797" s="126">
        <v>6.9258497741399614</v>
      </c>
      <c r="N797" s="126">
        <v>5556.6812146497759</v>
      </c>
      <c r="O797" s="126">
        <v>5.6562628577403551</v>
      </c>
      <c r="P797" s="123">
        <f t="shared" si="74"/>
        <v>2228.7832502506972</v>
      </c>
      <c r="Q797" s="123">
        <f t="shared" si="75"/>
        <v>1.2695869163996063</v>
      </c>
      <c r="R797" s="123">
        <f t="shared" si="72"/>
        <v>130731.53101789874</v>
      </c>
      <c r="S797" s="123">
        <f t="shared" si="73"/>
        <v>107568.57594015732</v>
      </c>
      <c r="T797" s="123">
        <f t="shared" si="76"/>
        <v>1</v>
      </c>
      <c r="U797" s="123">
        <f t="shared" si="77"/>
        <v>0</v>
      </c>
    </row>
    <row r="798" spans="11:21" x14ac:dyDescent="0.25">
      <c r="K798" s="123" t="s">
        <v>907</v>
      </c>
      <c r="L798" s="126">
        <v>4108.4430445734633</v>
      </c>
      <c r="M798" s="126">
        <v>3.6241508595994434</v>
      </c>
      <c r="N798" s="126">
        <v>6977.1332550655625</v>
      </c>
      <c r="O798" s="126">
        <v>6.9286720179081716</v>
      </c>
      <c r="P798" s="123">
        <f t="shared" si="74"/>
        <v>-2868.6902104920991</v>
      </c>
      <c r="Q798" s="123">
        <f t="shared" si="75"/>
        <v>-3.3045211583087282</v>
      </c>
      <c r="R798" s="123">
        <f t="shared" si="72"/>
        <v>68374.574147415406</v>
      </c>
      <c r="S798" s="123">
        <f t="shared" si="73"/>
        <v>131596.30710309788</v>
      </c>
      <c r="T798" s="123">
        <f t="shared" si="76"/>
        <v>0</v>
      </c>
      <c r="U798" s="123">
        <f t="shared" si="77"/>
        <v>1</v>
      </c>
    </row>
    <row r="799" spans="11:21" x14ac:dyDescent="0.25">
      <c r="K799" s="123" t="s">
        <v>908</v>
      </c>
      <c r="L799" s="126">
        <v>10339.187819610233</v>
      </c>
      <c r="M799" s="126">
        <v>10.14573509444862</v>
      </c>
      <c r="N799" s="126">
        <v>6770.1556875014476</v>
      </c>
      <c r="O799" s="126">
        <v>7.3674585950611817</v>
      </c>
      <c r="P799" s="123">
        <f t="shared" si="74"/>
        <v>3569.0321321087858</v>
      </c>
      <c r="Q799" s="123">
        <f t="shared" si="75"/>
        <v>2.778276499387438</v>
      </c>
      <c r="R799" s="123">
        <f t="shared" si="72"/>
        <v>192575.51406936217</v>
      </c>
      <c r="S799" s="123">
        <f t="shared" si="73"/>
        <v>140579.01621372218</v>
      </c>
      <c r="T799" s="123">
        <f t="shared" si="76"/>
        <v>1</v>
      </c>
      <c r="U799" s="123">
        <f t="shared" si="77"/>
        <v>0</v>
      </c>
    </row>
    <row r="800" spans="11:21" x14ac:dyDescent="0.25">
      <c r="K800" s="123" t="s">
        <v>909</v>
      </c>
      <c r="L800" s="126">
        <v>7655.7125672069387</v>
      </c>
      <c r="M800" s="126">
        <v>6.0865598071492535</v>
      </c>
      <c r="N800" s="126">
        <v>8335.8844233746095</v>
      </c>
      <c r="O800" s="126">
        <v>6.9096903142487687</v>
      </c>
      <c r="P800" s="123">
        <f t="shared" si="74"/>
        <v>-680.17185616767074</v>
      </c>
      <c r="Q800" s="123">
        <f t="shared" si="75"/>
        <v>-0.82313050709951519</v>
      </c>
      <c r="R800" s="123">
        <f t="shared" si="72"/>
        <v>114075.48357577813</v>
      </c>
      <c r="S800" s="123">
        <f t="shared" si="73"/>
        <v>129857.92186160077</v>
      </c>
      <c r="T800" s="123">
        <f t="shared" si="76"/>
        <v>0</v>
      </c>
      <c r="U800" s="123">
        <f t="shared" si="77"/>
        <v>1</v>
      </c>
    </row>
    <row r="801" spans="11:21" x14ac:dyDescent="0.25">
      <c r="K801" s="123" t="s">
        <v>910</v>
      </c>
      <c r="L801" s="126">
        <v>7616.2649333990594</v>
      </c>
      <c r="M801" s="126">
        <v>6.815219215855385</v>
      </c>
      <c r="N801" s="126">
        <v>9284.7324259291654</v>
      </c>
      <c r="O801" s="126">
        <v>9.1969016879126819</v>
      </c>
      <c r="P801" s="123">
        <f t="shared" si="74"/>
        <v>-1668.467492530106</v>
      </c>
      <c r="Q801" s="123">
        <f t="shared" si="75"/>
        <v>-2.3816824720572969</v>
      </c>
      <c r="R801" s="123">
        <f t="shared" si="72"/>
        <v>128688.11938370865</v>
      </c>
      <c r="S801" s="123">
        <f t="shared" si="73"/>
        <v>174653.30133232448</v>
      </c>
      <c r="T801" s="123">
        <f t="shared" si="76"/>
        <v>0</v>
      </c>
      <c r="U801" s="123">
        <f t="shared" si="77"/>
        <v>1</v>
      </c>
    </row>
    <row r="802" spans="11:21" x14ac:dyDescent="0.25">
      <c r="K802" s="123" t="s">
        <v>911</v>
      </c>
      <c r="L802" s="126">
        <v>10722.649121431443</v>
      </c>
      <c r="M802" s="126">
        <v>9.0484059898809921</v>
      </c>
      <c r="N802" s="126">
        <v>7190.9708506991501</v>
      </c>
      <c r="O802" s="126">
        <v>6.6084028559019892</v>
      </c>
      <c r="P802" s="123">
        <f t="shared" si="74"/>
        <v>3531.6782707322927</v>
      </c>
      <c r="Q802" s="123">
        <f t="shared" si="75"/>
        <v>2.4400031339790029</v>
      </c>
      <c r="R802" s="123">
        <f t="shared" si="72"/>
        <v>170245.47067618842</v>
      </c>
      <c r="S802" s="123">
        <f t="shared" si="73"/>
        <v>124977.08626734064</v>
      </c>
      <c r="T802" s="123">
        <f t="shared" si="76"/>
        <v>1</v>
      </c>
      <c r="U802" s="123">
        <f t="shared" si="77"/>
        <v>0</v>
      </c>
    </row>
    <row r="803" spans="11:21" x14ac:dyDescent="0.25">
      <c r="K803" s="123" t="s">
        <v>912</v>
      </c>
      <c r="L803" s="126">
        <v>5689.91778851242</v>
      </c>
      <c r="M803" s="126">
        <v>5.6997897094882708</v>
      </c>
      <c r="N803" s="126">
        <v>6445.7048240708909</v>
      </c>
      <c r="O803" s="126">
        <v>6.9154400109336516</v>
      </c>
      <c r="P803" s="123">
        <f t="shared" si="74"/>
        <v>-755.78703555847096</v>
      </c>
      <c r="Q803" s="123">
        <f t="shared" si="75"/>
        <v>-1.2156503014453808</v>
      </c>
      <c r="R803" s="123">
        <f t="shared" si="72"/>
        <v>108305.87640125299</v>
      </c>
      <c r="S803" s="123">
        <f t="shared" si="73"/>
        <v>131863.09539460216</v>
      </c>
      <c r="T803" s="123">
        <f t="shared" si="76"/>
        <v>0</v>
      </c>
      <c r="U803" s="123">
        <f t="shared" si="77"/>
        <v>1</v>
      </c>
    </row>
    <row r="804" spans="11:21" x14ac:dyDescent="0.25">
      <c r="K804" s="123" t="s">
        <v>913</v>
      </c>
      <c r="L804" s="126">
        <v>7532.828215710877</v>
      </c>
      <c r="M804" s="126">
        <v>7.0092605131999122</v>
      </c>
      <c r="N804" s="126">
        <v>6167.6079480699391</v>
      </c>
      <c r="O804" s="126">
        <v>6.6125377121265068</v>
      </c>
      <c r="P804" s="123">
        <f t="shared" si="74"/>
        <v>1365.2202676409379</v>
      </c>
      <c r="Q804" s="123">
        <f t="shared" si="75"/>
        <v>0.39672280107340541</v>
      </c>
      <c r="R804" s="123">
        <f t="shared" si="72"/>
        <v>132652.38204828737</v>
      </c>
      <c r="S804" s="123">
        <f t="shared" si="73"/>
        <v>126083.14629446018</v>
      </c>
      <c r="T804" s="123">
        <f t="shared" si="76"/>
        <v>1</v>
      </c>
      <c r="U804" s="123">
        <f t="shared" si="77"/>
        <v>0</v>
      </c>
    </row>
    <row r="805" spans="11:21" x14ac:dyDescent="0.25">
      <c r="K805" s="123" t="s">
        <v>914</v>
      </c>
      <c r="L805" s="126">
        <v>6905.8622932836424</v>
      </c>
      <c r="M805" s="126">
        <v>6.3881348241291391</v>
      </c>
      <c r="N805" s="126">
        <v>8481.5992282107363</v>
      </c>
      <c r="O805" s="126">
        <v>8.8679590505766335</v>
      </c>
      <c r="P805" s="123">
        <f t="shared" si="74"/>
        <v>-1575.7369349270939</v>
      </c>
      <c r="Q805" s="123">
        <f t="shared" si="75"/>
        <v>-2.4798242264474943</v>
      </c>
      <c r="R805" s="123">
        <f t="shared" si="72"/>
        <v>120856.83418929914</v>
      </c>
      <c r="S805" s="123">
        <f t="shared" si="73"/>
        <v>168877.58178332192</v>
      </c>
      <c r="T805" s="123">
        <f t="shared" si="76"/>
        <v>0</v>
      </c>
      <c r="U805" s="123">
        <f t="shared" si="77"/>
        <v>1</v>
      </c>
    </row>
    <row r="806" spans="11:21" x14ac:dyDescent="0.25">
      <c r="K806" s="123" t="s">
        <v>915</v>
      </c>
      <c r="L806" s="126">
        <v>6696.3826719676317</v>
      </c>
      <c r="M806" s="126">
        <v>6.5581623819177555</v>
      </c>
      <c r="N806" s="126">
        <v>8604.367570283177</v>
      </c>
      <c r="O806" s="126">
        <v>9.5935208248463795</v>
      </c>
      <c r="P806" s="123">
        <f t="shared" si="74"/>
        <v>-1907.9848983155453</v>
      </c>
      <c r="Q806" s="123">
        <f t="shared" si="75"/>
        <v>-3.035358442928624</v>
      </c>
      <c r="R806" s="123">
        <f t="shared" si="72"/>
        <v>124466.86496638747</v>
      </c>
      <c r="S806" s="123">
        <f t="shared" si="73"/>
        <v>183266.04892664441</v>
      </c>
      <c r="T806" s="123">
        <f t="shared" si="76"/>
        <v>0</v>
      </c>
      <c r="U806" s="123">
        <f t="shared" si="77"/>
        <v>1</v>
      </c>
    </row>
    <row r="807" spans="11:21" x14ac:dyDescent="0.25">
      <c r="K807" s="123" t="s">
        <v>916</v>
      </c>
      <c r="L807" s="126">
        <v>7575.1838234376955</v>
      </c>
      <c r="M807" s="126">
        <v>6.8747712359688142</v>
      </c>
      <c r="N807" s="126">
        <v>9572.175373158916</v>
      </c>
      <c r="O807" s="126">
        <v>9.4790885302454146</v>
      </c>
      <c r="P807" s="123">
        <f t="shared" si="74"/>
        <v>-1996.9915497212205</v>
      </c>
      <c r="Q807" s="123">
        <f t="shared" si="75"/>
        <v>-2.6043172942766004</v>
      </c>
      <c r="R807" s="123">
        <f t="shared" si="72"/>
        <v>129920.24089593859</v>
      </c>
      <c r="S807" s="123">
        <f t="shared" si="73"/>
        <v>180009.59523174938</v>
      </c>
      <c r="T807" s="123">
        <f t="shared" si="76"/>
        <v>0</v>
      </c>
      <c r="U807" s="123">
        <f t="shared" si="77"/>
        <v>1</v>
      </c>
    </row>
    <row r="808" spans="11:21" x14ac:dyDescent="0.25">
      <c r="K808" s="123" t="s">
        <v>917</v>
      </c>
      <c r="L808" s="126">
        <v>8362.2201714249459</v>
      </c>
      <c r="M808" s="126">
        <v>7.2214494888805483</v>
      </c>
      <c r="N808" s="126">
        <v>8543.3235269566921</v>
      </c>
      <c r="O808" s="126">
        <v>7.6871377884272416</v>
      </c>
      <c r="P808" s="123">
        <f t="shared" si="74"/>
        <v>-181.10335553174627</v>
      </c>
      <c r="Q808" s="123">
        <f t="shared" si="75"/>
        <v>-0.46568829954669333</v>
      </c>
      <c r="R808" s="123">
        <f t="shared" si="72"/>
        <v>136066.76960618602</v>
      </c>
      <c r="S808" s="123">
        <f t="shared" si="73"/>
        <v>145199.43224158813</v>
      </c>
      <c r="T808" s="123">
        <f t="shared" si="76"/>
        <v>0</v>
      </c>
      <c r="U808" s="123">
        <f t="shared" si="77"/>
        <v>1</v>
      </c>
    </row>
    <row r="809" spans="11:21" x14ac:dyDescent="0.25">
      <c r="K809" s="123" t="s">
        <v>918</v>
      </c>
      <c r="L809" s="126">
        <v>10272.92564141356</v>
      </c>
      <c r="M809" s="126">
        <v>8.5180748064979657</v>
      </c>
      <c r="N809" s="126">
        <v>8441.2397005933781</v>
      </c>
      <c r="O809" s="126">
        <v>7.4764849185792466</v>
      </c>
      <c r="P809" s="123">
        <f t="shared" si="74"/>
        <v>1831.6859408201817</v>
      </c>
      <c r="Q809" s="123">
        <f t="shared" si="75"/>
        <v>1.0415898879187191</v>
      </c>
      <c r="R809" s="123">
        <f t="shared" si="72"/>
        <v>160088.57048854575</v>
      </c>
      <c r="S809" s="123">
        <f t="shared" si="73"/>
        <v>141088.45867099156</v>
      </c>
      <c r="T809" s="123">
        <f t="shared" si="76"/>
        <v>1</v>
      </c>
      <c r="U809" s="123">
        <f t="shared" si="77"/>
        <v>0</v>
      </c>
    </row>
    <row r="810" spans="11:21" x14ac:dyDescent="0.25">
      <c r="K810" s="123" t="s">
        <v>919</v>
      </c>
      <c r="L810" s="126">
        <v>8738.2925353601076</v>
      </c>
      <c r="M810" s="126">
        <v>8.5134551870392112</v>
      </c>
      <c r="N810" s="126">
        <v>7145.5814140708362</v>
      </c>
      <c r="O810" s="126">
        <v>7.5401220033692962</v>
      </c>
      <c r="P810" s="123">
        <f t="shared" si="74"/>
        <v>1592.7111212892714</v>
      </c>
      <c r="Q810" s="123">
        <f t="shared" si="75"/>
        <v>0.97333318366991506</v>
      </c>
      <c r="R810" s="123">
        <f t="shared" si="72"/>
        <v>161530.81120542411</v>
      </c>
      <c r="S810" s="123">
        <f t="shared" si="73"/>
        <v>143656.85865331511</v>
      </c>
      <c r="T810" s="123">
        <f t="shared" si="76"/>
        <v>1</v>
      </c>
      <c r="U810" s="123">
        <f t="shared" si="77"/>
        <v>0</v>
      </c>
    </row>
    <row r="811" spans="11:21" x14ac:dyDescent="0.25">
      <c r="K811" s="123" t="s">
        <v>920</v>
      </c>
      <c r="L811" s="126">
        <v>6139.6608173924305</v>
      </c>
      <c r="M811" s="126">
        <v>5.6179403820933569</v>
      </c>
      <c r="N811" s="126">
        <v>6971.932484002401</v>
      </c>
      <c r="O811" s="126">
        <v>6.9204100549804739</v>
      </c>
      <c r="P811" s="123">
        <f t="shared" si="74"/>
        <v>-832.27166660997045</v>
      </c>
      <c r="Q811" s="123">
        <f t="shared" si="75"/>
        <v>-1.302469672887117</v>
      </c>
      <c r="R811" s="123">
        <f t="shared" si="72"/>
        <v>106219.14682447471</v>
      </c>
      <c r="S811" s="123">
        <f t="shared" si="73"/>
        <v>131436.26861560708</v>
      </c>
      <c r="T811" s="123">
        <f t="shared" si="76"/>
        <v>0</v>
      </c>
      <c r="U811" s="123">
        <f t="shared" si="77"/>
        <v>1</v>
      </c>
    </row>
    <row r="812" spans="11:21" x14ac:dyDescent="0.25">
      <c r="K812" s="123" t="s">
        <v>921</v>
      </c>
      <c r="L812" s="126">
        <v>5785.4823066016324</v>
      </c>
      <c r="M812" s="126">
        <v>5.8249075238993395</v>
      </c>
      <c r="N812" s="126">
        <v>4789.2801453382517</v>
      </c>
      <c r="O812" s="126">
        <v>5.330212734015066</v>
      </c>
      <c r="P812" s="123">
        <f t="shared" si="74"/>
        <v>996.20216126338073</v>
      </c>
      <c r="Q812" s="123">
        <f t="shared" si="75"/>
        <v>0.49469478988427351</v>
      </c>
      <c r="R812" s="123">
        <f t="shared" si="72"/>
        <v>110712.66817138516</v>
      </c>
      <c r="S812" s="123">
        <f t="shared" si="73"/>
        <v>101814.97453496307</v>
      </c>
      <c r="T812" s="123">
        <f t="shared" si="76"/>
        <v>1</v>
      </c>
      <c r="U812" s="123">
        <f t="shared" si="77"/>
        <v>0</v>
      </c>
    </row>
    <row r="813" spans="11:21" x14ac:dyDescent="0.25">
      <c r="K813" s="123" t="s">
        <v>922</v>
      </c>
      <c r="L813" s="126">
        <v>13164.405310168888</v>
      </c>
      <c r="M813" s="126">
        <v>12.334636254844316</v>
      </c>
      <c r="N813" s="126">
        <v>7423.3608619614752</v>
      </c>
      <c r="O813" s="126">
        <v>6.7462806315532102</v>
      </c>
      <c r="P813" s="123">
        <f t="shared" si="74"/>
        <v>5741.0444482074126</v>
      </c>
      <c r="Q813" s="123">
        <f t="shared" si="75"/>
        <v>5.5883556232911058</v>
      </c>
      <c r="R813" s="123">
        <f t="shared" si="72"/>
        <v>233528.31978671742</v>
      </c>
      <c r="S813" s="123">
        <f t="shared" si="73"/>
        <v>127502.25176910273</v>
      </c>
      <c r="T813" s="123">
        <f t="shared" si="76"/>
        <v>1</v>
      </c>
      <c r="U813" s="123">
        <f t="shared" si="77"/>
        <v>0</v>
      </c>
    </row>
    <row r="814" spans="11:21" x14ac:dyDescent="0.25">
      <c r="K814" s="123" t="s">
        <v>923</v>
      </c>
      <c r="L814" s="126">
        <v>9217.8493265925354</v>
      </c>
      <c r="M814" s="126">
        <v>7.8061068806202236</v>
      </c>
      <c r="N814" s="126">
        <v>7595.6214813401766</v>
      </c>
      <c r="O814" s="126">
        <v>6.9544003595400889</v>
      </c>
      <c r="P814" s="123">
        <f t="shared" si="74"/>
        <v>1622.2278452523587</v>
      </c>
      <c r="Q814" s="123">
        <f t="shared" si="75"/>
        <v>0.85170652108013467</v>
      </c>
      <c r="R814" s="123">
        <f t="shared" si="72"/>
        <v>146904.28828581196</v>
      </c>
      <c r="S814" s="123">
        <f t="shared" si="73"/>
        <v>131492.38570946161</v>
      </c>
      <c r="T814" s="123">
        <f t="shared" si="76"/>
        <v>1</v>
      </c>
      <c r="U814" s="123">
        <f t="shared" si="77"/>
        <v>0</v>
      </c>
    </row>
    <row r="815" spans="11:21" x14ac:dyDescent="0.25">
      <c r="K815" s="123" t="s">
        <v>924</v>
      </c>
      <c r="L815" s="126">
        <v>8613.3346111791925</v>
      </c>
      <c r="M815" s="126">
        <v>8.1841281224453866</v>
      </c>
      <c r="N815" s="126">
        <v>6537.1955961562353</v>
      </c>
      <c r="O815" s="126">
        <v>6.2219578028908273</v>
      </c>
      <c r="P815" s="123">
        <f t="shared" si="74"/>
        <v>2076.1390150229572</v>
      </c>
      <c r="Q815" s="123">
        <f t="shared" si="75"/>
        <v>1.9621703195545592</v>
      </c>
      <c r="R815" s="123">
        <f t="shared" si="72"/>
        <v>155069.22783772854</v>
      </c>
      <c r="S815" s="123">
        <f t="shared" si="73"/>
        <v>117901.96046166032</v>
      </c>
      <c r="T815" s="123">
        <f t="shared" si="76"/>
        <v>1</v>
      </c>
      <c r="U815" s="123">
        <f t="shared" si="77"/>
        <v>0</v>
      </c>
    </row>
    <row r="816" spans="11:21" x14ac:dyDescent="0.25">
      <c r="K816" s="123" t="s">
        <v>925</v>
      </c>
      <c r="L816" s="126">
        <v>7932.9526320837285</v>
      </c>
      <c r="M816" s="126">
        <v>7.7727419798466277</v>
      </c>
      <c r="N816" s="126">
        <v>8013.5092275948609</v>
      </c>
      <c r="O816" s="126">
        <v>9.403469733011077</v>
      </c>
      <c r="P816" s="123">
        <f t="shared" si="74"/>
        <v>-80.5565955111324</v>
      </c>
      <c r="Q816" s="123">
        <f t="shared" si="75"/>
        <v>-1.6307277531644493</v>
      </c>
      <c r="R816" s="123">
        <f t="shared" si="72"/>
        <v>147521.88696484882</v>
      </c>
      <c r="S816" s="123">
        <f t="shared" si="73"/>
        <v>180055.88543262667</v>
      </c>
      <c r="T816" s="123">
        <f t="shared" si="76"/>
        <v>0</v>
      </c>
      <c r="U816" s="123">
        <f t="shared" si="77"/>
        <v>1</v>
      </c>
    </row>
    <row r="817" spans="11:21" x14ac:dyDescent="0.25">
      <c r="K817" s="123" t="s">
        <v>926</v>
      </c>
      <c r="L817" s="126">
        <v>8826.5467431646794</v>
      </c>
      <c r="M817" s="126">
        <v>8.3736552878900987</v>
      </c>
      <c r="N817" s="126">
        <v>5723.6060373846394</v>
      </c>
      <c r="O817" s="126">
        <v>6.1202539870507326</v>
      </c>
      <c r="P817" s="123">
        <f t="shared" si="74"/>
        <v>3102.9407057800399</v>
      </c>
      <c r="Q817" s="123">
        <f t="shared" si="75"/>
        <v>2.2534013008393661</v>
      </c>
      <c r="R817" s="123">
        <f t="shared" si="72"/>
        <v>158646.55901463729</v>
      </c>
      <c r="S817" s="123">
        <f t="shared" si="73"/>
        <v>116681.47370363001</v>
      </c>
      <c r="T817" s="123">
        <f t="shared" si="76"/>
        <v>1</v>
      </c>
      <c r="U817" s="123">
        <f t="shared" si="77"/>
        <v>0</v>
      </c>
    </row>
    <row r="818" spans="11:21" x14ac:dyDescent="0.25">
      <c r="K818" s="123" t="s">
        <v>927</v>
      </c>
      <c r="L818" s="126">
        <v>9184.5638550749682</v>
      </c>
      <c r="M818" s="126">
        <v>9.295606997689049</v>
      </c>
      <c r="N818" s="126">
        <v>5647.6758755578703</v>
      </c>
      <c r="O818" s="126">
        <v>6.560745993222282</v>
      </c>
      <c r="P818" s="123">
        <f t="shared" si="74"/>
        <v>3536.8879795170978</v>
      </c>
      <c r="Q818" s="123">
        <f t="shared" si="75"/>
        <v>2.7348610044667669</v>
      </c>
      <c r="R818" s="123">
        <f t="shared" si="72"/>
        <v>176727.57609870602</v>
      </c>
      <c r="S818" s="123">
        <f t="shared" si="73"/>
        <v>125567.24398888776</v>
      </c>
      <c r="T818" s="123">
        <f t="shared" si="76"/>
        <v>1</v>
      </c>
      <c r="U818" s="123">
        <f t="shared" si="77"/>
        <v>0</v>
      </c>
    </row>
    <row r="819" spans="11:21" x14ac:dyDescent="0.25">
      <c r="K819" s="123" t="s">
        <v>928</v>
      </c>
      <c r="L819" s="126">
        <v>9823.2150840208396</v>
      </c>
      <c r="M819" s="126">
        <v>10.282168979936234</v>
      </c>
      <c r="N819" s="126">
        <v>6335.5364869660216</v>
      </c>
      <c r="O819" s="126">
        <v>7.2588358637098889</v>
      </c>
      <c r="P819" s="123">
        <f t="shared" si="74"/>
        <v>3487.6785970548181</v>
      </c>
      <c r="Q819" s="123">
        <f t="shared" si="75"/>
        <v>3.023333116226345</v>
      </c>
      <c r="R819" s="123">
        <f t="shared" si="72"/>
        <v>195820.16451470385</v>
      </c>
      <c r="S819" s="123">
        <f t="shared" si="73"/>
        <v>138841.18078723177</v>
      </c>
      <c r="T819" s="123">
        <f t="shared" si="76"/>
        <v>1</v>
      </c>
      <c r="U819" s="123">
        <f t="shared" si="77"/>
        <v>0</v>
      </c>
    </row>
    <row r="820" spans="11:21" x14ac:dyDescent="0.25">
      <c r="K820" s="123" t="s">
        <v>929</v>
      </c>
      <c r="L820" s="126">
        <v>8909.6990382798613</v>
      </c>
      <c r="M820" s="126">
        <v>8.6906621332880256</v>
      </c>
      <c r="N820" s="126">
        <v>6833.2865144352609</v>
      </c>
      <c r="O820" s="126">
        <v>6.7769843010031812</v>
      </c>
      <c r="P820" s="123">
        <f t="shared" si="74"/>
        <v>2076.4125238446004</v>
      </c>
      <c r="Q820" s="123">
        <f t="shared" si="75"/>
        <v>1.9136778322848444</v>
      </c>
      <c r="R820" s="123">
        <f t="shared" si="72"/>
        <v>164903.54362748066</v>
      </c>
      <c r="S820" s="123">
        <f t="shared" si="73"/>
        <v>128706.39950562836</v>
      </c>
      <c r="T820" s="123">
        <f t="shared" si="76"/>
        <v>1</v>
      </c>
      <c r="U820" s="123">
        <f t="shared" si="77"/>
        <v>0</v>
      </c>
    </row>
    <row r="821" spans="11:21" x14ac:dyDescent="0.25">
      <c r="K821" s="123" t="s">
        <v>930</v>
      </c>
      <c r="L821" s="126">
        <v>8908.0649834067372</v>
      </c>
      <c r="M821" s="126">
        <v>8.2441517516121081</v>
      </c>
      <c r="N821" s="126">
        <v>6264.2859425850111</v>
      </c>
      <c r="O821" s="126">
        <v>6.0827894840059287</v>
      </c>
      <c r="P821" s="123">
        <f t="shared" si="74"/>
        <v>2643.7790408217261</v>
      </c>
      <c r="Q821" s="123">
        <f t="shared" si="75"/>
        <v>2.1613622676061794</v>
      </c>
      <c r="R821" s="123">
        <f t="shared" si="72"/>
        <v>155974.97004883541</v>
      </c>
      <c r="S821" s="123">
        <f t="shared" si="73"/>
        <v>115391.50373753355</v>
      </c>
      <c r="T821" s="123">
        <f t="shared" si="76"/>
        <v>1</v>
      </c>
      <c r="U821" s="123">
        <f t="shared" si="77"/>
        <v>0</v>
      </c>
    </row>
    <row r="822" spans="11:21" x14ac:dyDescent="0.25">
      <c r="K822" s="123" t="s">
        <v>931</v>
      </c>
      <c r="L822" s="126">
        <v>8498.0932881680892</v>
      </c>
      <c r="M822" s="126">
        <v>7.4674837927598334</v>
      </c>
      <c r="N822" s="126">
        <v>5951.2506546914938</v>
      </c>
      <c r="O822" s="126">
        <v>5.4087945922265765</v>
      </c>
      <c r="P822" s="123">
        <f t="shared" si="74"/>
        <v>2546.8426334765954</v>
      </c>
      <c r="Q822" s="123">
        <f t="shared" si="75"/>
        <v>2.0586892005332569</v>
      </c>
      <c r="R822" s="123">
        <f t="shared" si="72"/>
        <v>140851.58256702858</v>
      </c>
      <c r="S822" s="123">
        <f t="shared" si="73"/>
        <v>102224.64118984004</v>
      </c>
      <c r="T822" s="123">
        <f t="shared" si="76"/>
        <v>1</v>
      </c>
      <c r="U822" s="123">
        <f t="shared" si="77"/>
        <v>0</v>
      </c>
    </row>
    <row r="823" spans="11:21" x14ac:dyDescent="0.25">
      <c r="K823" s="123" t="s">
        <v>932</v>
      </c>
      <c r="L823" s="126">
        <v>9238.9738717179134</v>
      </c>
      <c r="M823" s="126">
        <v>8.2617093044893881</v>
      </c>
      <c r="N823" s="126">
        <v>6533.4485534531659</v>
      </c>
      <c r="O823" s="126">
        <v>6.3534067156207783</v>
      </c>
      <c r="P823" s="123">
        <f t="shared" si="74"/>
        <v>2705.5253182647475</v>
      </c>
      <c r="Q823" s="123">
        <f t="shared" si="75"/>
        <v>1.9083025888686098</v>
      </c>
      <c r="R823" s="123">
        <f t="shared" si="72"/>
        <v>155995.21221806982</v>
      </c>
      <c r="S823" s="123">
        <f t="shared" si="73"/>
        <v>120534.6857589624</v>
      </c>
      <c r="T823" s="123">
        <f t="shared" si="76"/>
        <v>1</v>
      </c>
      <c r="U823" s="123">
        <f t="shared" si="77"/>
        <v>0</v>
      </c>
    </row>
    <row r="824" spans="11:21" x14ac:dyDescent="0.25">
      <c r="K824" s="123" t="s">
        <v>933</v>
      </c>
      <c r="L824" s="126">
        <v>5817.4663105057689</v>
      </c>
      <c r="M824" s="126">
        <v>5.6194451126296725</v>
      </c>
      <c r="N824" s="126">
        <v>7116.5591323749632</v>
      </c>
      <c r="O824" s="126">
        <v>8.1093083242768067</v>
      </c>
      <c r="P824" s="123">
        <f t="shared" si="74"/>
        <v>-1299.0928218691943</v>
      </c>
      <c r="Q824" s="123">
        <f t="shared" si="75"/>
        <v>-2.4898632116471342</v>
      </c>
      <c r="R824" s="123">
        <f t="shared" si="72"/>
        <v>106571.43594208769</v>
      </c>
      <c r="S824" s="123">
        <f t="shared" si="73"/>
        <v>155069.60735316118</v>
      </c>
      <c r="T824" s="123">
        <f t="shared" si="76"/>
        <v>0</v>
      </c>
      <c r="U824" s="123">
        <f t="shared" si="77"/>
        <v>1</v>
      </c>
    </row>
    <row r="825" spans="11:21" x14ac:dyDescent="0.25">
      <c r="K825" s="123" t="s">
        <v>934</v>
      </c>
      <c r="L825" s="126">
        <v>13206.073847375428</v>
      </c>
      <c r="M825" s="126">
        <v>11.226025210836417</v>
      </c>
      <c r="N825" s="126">
        <v>7269.1223626380424</v>
      </c>
      <c r="O825" s="126">
        <v>6.8808530144840088</v>
      </c>
      <c r="P825" s="123">
        <f t="shared" si="74"/>
        <v>5936.9514847373857</v>
      </c>
      <c r="Q825" s="123">
        <f t="shared" si="75"/>
        <v>4.3451721963524079</v>
      </c>
      <c r="R825" s="123">
        <f t="shared" si="72"/>
        <v>211314.43036935289</v>
      </c>
      <c r="S825" s="123">
        <f t="shared" si="73"/>
        <v>130347.93792704213</v>
      </c>
      <c r="T825" s="123">
        <f t="shared" si="76"/>
        <v>1</v>
      </c>
      <c r="U825" s="123">
        <f t="shared" si="77"/>
        <v>0</v>
      </c>
    </row>
    <row r="826" spans="11:21" x14ac:dyDescent="0.25">
      <c r="K826" s="123" t="s">
        <v>935</v>
      </c>
      <c r="L826" s="126">
        <v>4496.7139404660293</v>
      </c>
      <c r="M826" s="126">
        <v>3.8409433947629772</v>
      </c>
      <c r="N826" s="126">
        <v>8726.9625475746725</v>
      </c>
      <c r="O826" s="126">
        <v>8.7363411557576036</v>
      </c>
      <c r="P826" s="123">
        <f t="shared" si="74"/>
        <v>-4230.2486071086432</v>
      </c>
      <c r="Q826" s="123">
        <f t="shared" si="75"/>
        <v>-4.8953977609946264</v>
      </c>
      <c r="R826" s="123">
        <f t="shared" si="72"/>
        <v>72322.153954793524</v>
      </c>
      <c r="S826" s="123">
        <f t="shared" si="73"/>
        <v>165999.86056757742</v>
      </c>
      <c r="T826" s="123">
        <f t="shared" si="76"/>
        <v>0</v>
      </c>
      <c r="U826" s="123">
        <f t="shared" si="77"/>
        <v>1</v>
      </c>
    </row>
    <row r="827" spans="11:21" x14ac:dyDescent="0.25">
      <c r="K827" s="123" t="s">
        <v>936</v>
      </c>
      <c r="L827" s="126">
        <v>10433.621692606088</v>
      </c>
      <c r="M827" s="126">
        <v>9.1986807862307085</v>
      </c>
      <c r="N827" s="126">
        <v>6707.9661347265846</v>
      </c>
      <c r="O827" s="126">
        <v>6.4696247508215521</v>
      </c>
      <c r="P827" s="123">
        <f t="shared" si="74"/>
        <v>3725.6555578795032</v>
      </c>
      <c r="Q827" s="123">
        <f t="shared" si="75"/>
        <v>2.7290560354091564</v>
      </c>
      <c r="R827" s="123">
        <f t="shared" si="72"/>
        <v>173539.99403200811</v>
      </c>
      <c r="S827" s="123">
        <f t="shared" si="73"/>
        <v>122684.52888170446</v>
      </c>
      <c r="T827" s="123">
        <f t="shared" si="76"/>
        <v>1</v>
      </c>
      <c r="U827" s="123">
        <f t="shared" si="77"/>
        <v>0</v>
      </c>
    </row>
    <row r="828" spans="11:21" x14ac:dyDescent="0.25">
      <c r="K828" s="123" t="s">
        <v>937</v>
      </c>
      <c r="L828" s="126">
        <v>10621.019327108141</v>
      </c>
      <c r="M828" s="126">
        <v>9.6455144530387837</v>
      </c>
      <c r="N828" s="126">
        <v>9413.4981309837167</v>
      </c>
      <c r="O828" s="126">
        <v>9.091555268354897</v>
      </c>
      <c r="P828" s="123">
        <f t="shared" si="74"/>
        <v>1207.521196124424</v>
      </c>
      <c r="Q828" s="123">
        <f t="shared" si="75"/>
        <v>0.55395918468388672</v>
      </c>
      <c r="R828" s="123">
        <f t="shared" si="72"/>
        <v>182289.26973366755</v>
      </c>
      <c r="S828" s="123">
        <f t="shared" si="73"/>
        <v>172417.60723611421</v>
      </c>
      <c r="T828" s="123">
        <f t="shared" si="76"/>
        <v>1</v>
      </c>
      <c r="U828" s="123">
        <f t="shared" si="77"/>
        <v>0</v>
      </c>
    </row>
    <row r="829" spans="11:21" x14ac:dyDescent="0.25">
      <c r="K829" s="123" t="s">
        <v>938</v>
      </c>
      <c r="L829" s="126">
        <v>5655.594024283524</v>
      </c>
      <c r="M829" s="126">
        <v>5.3974565824624889</v>
      </c>
      <c r="N829" s="126">
        <v>5545.940812688068</v>
      </c>
      <c r="O829" s="126">
        <v>5.8146553029562655</v>
      </c>
      <c r="P829" s="123">
        <f t="shared" si="74"/>
        <v>109.65321159545601</v>
      </c>
      <c r="Q829" s="123">
        <f t="shared" si="75"/>
        <v>-0.4171987204937766</v>
      </c>
      <c r="R829" s="123">
        <f t="shared" si="72"/>
        <v>102293.53762496625</v>
      </c>
      <c r="S829" s="123">
        <f t="shared" si="73"/>
        <v>110747.16524643723</v>
      </c>
      <c r="T829" s="123">
        <f t="shared" si="76"/>
        <v>0</v>
      </c>
      <c r="U829" s="123">
        <f t="shared" si="77"/>
        <v>1</v>
      </c>
    </row>
    <row r="830" spans="11:21" x14ac:dyDescent="0.25">
      <c r="K830" s="123" t="s">
        <v>939</v>
      </c>
      <c r="L830" s="126">
        <v>7185.2348779398944</v>
      </c>
      <c r="M830" s="126">
        <v>6.7823196188819352</v>
      </c>
      <c r="N830" s="126">
        <v>4849.1608998612392</v>
      </c>
      <c r="O830" s="126">
        <v>5.178037909920242</v>
      </c>
      <c r="P830" s="123">
        <f t="shared" si="74"/>
        <v>2336.0739780786553</v>
      </c>
      <c r="Q830" s="123">
        <f t="shared" si="75"/>
        <v>1.6042817089616932</v>
      </c>
      <c r="R830" s="123">
        <f t="shared" si="72"/>
        <v>128461.15749969881</v>
      </c>
      <c r="S830" s="123">
        <f t="shared" si="73"/>
        <v>98711.597298543609</v>
      </c>
      <c r="T830" s="123">
        <f t="shared" si="76"/>
        <v>1</v>
      </c>
      <c r="U830" s="123">
        <f t="shared" si="77"/>
        <v>0</v>
      </c>
    </row>
    <row r="831" spans="11:21" x14ac:dyDescent="0.25">
      <c r="K831" s="123" t="s">
        <v>940</v>
      </c>
      <c r="L831" s="126">
        <v>10842.725978577397</v>
      </c>
      <c r="M831" s="126">
        <v>9.2464819219996173</v>
      </c>
      <c r="N831" s="126">
        <v>6599.2364211574559</v>
      </c>
      <c r="O831" s="126">
        <v>5.9235156868515091</v>
      </c>
      <c r="P831" s="123">
        <f t="shared" si="74"/>
        <v>4243.4895574199409</v>
      </c>
      <c r="Q831" s="123">
        <f t="shared" si="75"/>
        <v>3.3229662351481082</v>
      </c>
      <c r="R831" s="123">
        <f t="shared" si="72"/>
        <v>174086.91246141496</v>
      </c>
      <c r="S831" s="123">
        <f t="shared" si="73"/>
        <v>111871.07731587272</v>
      </c>
      <c r="T831" s="123">
        <f t="shared" si="76"/>
        <v>1</v>
      </c>
      <c r="U831" s="123">
        <f t="shared" si="77"/>
        <v>0</v>
      </c>
    </row>
    <row r="832" spans="11:21" x14ac:dyDescent="0.25">
      <c r="K832" s="123" t="s">
        <v>941</v>
      </c>
      <c r="L832" s="126">
        <v>11596.6664855335</v>
      </c>
      <c r="M832" s="126">
        <v>10.652016072679423</v>
      </c>
      <c r="N832" s="126">
        <v>5750.3015248892534</v>
      </c>
      <c r="O832" s="126">
        <v>6.5261676094459027</v>
      </c>
      <c r="P832" s="123">
        <f t="shared" si="74"/>
        <v>5846.3649606442468</v>
      </c>
      <c r="Q832" s="123">
        <f t="shared" si="75"/>
        <v>4.1258484632335204</v>
      </c>
      <c r="R832" s="123">
        <f t="shared" si="72"/>
        <v>201443.65496805497</v>
      </c>
      <c r="S832" s="123">
        <f t="shared" si="73"/>
        <v>124773.05066402881</v>
      </c>
      <c r="T832" s="123">
        <f t="shared" si="76"/>
        <v>1</v>
      </c>
      <c r="U832" s="123">
        <f t="shared" si="77"/>
        <v>0</v>
      </c>
    </row>
    <row r="833" spans="11:21" x14ac:dyDescent="0.25">
      <c r="K833" s="123" t="s">
        <v>942</v>
      </c>
      <c r="L833" s="126">
        <v>10094.289168354249</v>
      </c>
      <c r="M833" s="126">
        <v>8.774474091607452</v>
      </c>
      <c r="N833" s="126">
        <v>6175.0199092912726</v>
      </c>
      <c r="O833" s="126">
        <v>5.720522205094893</v>
      </c>
      <c r="P833" s="123">
        <f t="shared" si="74"/>
        <v>3919.2692590629767</v>
      </c>
      <c r="Q833" s="123">
        <f t="shared" si="75"/>
        <v>3.053951886512559</v>
      </c>
      <c r="R833" s="123">
        <f t="shared" si="72"/>
        <v>165395.19266379479</v>
      </c>
      <c r="S833" s="123">
        <f t="shared" si="73"/>
        <v>108235.42419260659</v>
      </c>
      <c r="T833" s="123">
        <f t="shared" si="76"/>
        <v>1</v>
      </c>
      <c r="U833" s="123">
        <f t="shared" si="77"/>
        <v>0</v>
      </c>
    </row>
    <row r="834" spans="11:21" x14ac:dyDescent="0.25">
      <c r="K834" s="123" t="s">
        <v>943</v>
      </c>
      <c r="L834" s="126">
        <v>5411.146385566316</v>
      </c>
      <c r="M834" s="126">
        <v>5.3686084000509542</v>
      </c>
      <c r="N834" s="126">
        <v>5871.6253852679702</v>
      </c>
      <c r="O834" s="126">
        <v>6.3915005866594239</v>
      </c>
      <c r="P834" s="123">
        <f t="shared" si="74"/>
        <v>-460.47899970165417</v>
      </c>
      <c r="Q834" s="123">
        <f t="shared" si="75"/>
        <v>-1.0228921866084697</v>
      </c>
      <c r="R834" s="123">
        <f t="shared" si="72"/>
        <v>101961.02161545277</v>
      </c>
      <c r="S834" s="123">
        <f t="shared" si="73"/>
        <v>121958.38634792052</v>
      </c>
      <c r="T834" s="123">
        <f t="shared" si="76"/>
        <v>0</v>
      </c>
      <c r="U834" s="123">
        <f t="shared" si="77"/>
        <v>1</v>
      </c>
    </row>
    <row r="835" spans="11:21" x14ac:dyDescent="0.25">
      <c r="K835" s="123" t="s">
        <v>944</v>
      </c>
      <c r="L835" s="126">
        <v>10758.185110317045</v>
      </c>
      <c r="M835" s="126">
        <v>9.7789659170925614</v>
      </c>
      <c r="N835" s="126">
        <v>7979.9893091019485</v>
      </c>
      <c r="O835" s="126">
        <v>8.4153034153084363</v>
      </c>
      <c r="P835" s="123">
        <f t="shared" si="74"/>
        <v>2778.1958012150963</v>
      </c>
      <c r="Q835" s="123">
        <f t="shared" si="75"/>
        <v>1.3636625017841251</v>
      </c>
      <c r="R835" s="123">
        <f t="shared" si="72"/>
        <v>184821.13323153419</v>
      </c>
      <c r="S835" s="123">
        <f t="shared" si="73"/>
        <v>160326.07899706677</v>
      </c>
      <c r="T835" s="123">
        <f t="shared" si="76"/>
        <v>1</v>
      </c>
      <c r="U835" s="123">
        <f t="shared" si="77"/>
        <v>0</v>
      </c>
    </row>
    <row r="836" spans="11:21" x14ac:dyDescent="0.25">
      <c r="K836" s="123" t="s">
        <v>945</v>
      </c>
      <c r="L836" s="126">
        <v>9351.5414239977417</v>
      </c>
      <c r="M836" s="126">
        <v>7.9354469429711685</v>
      </c>
      <c r="N836" s="126">
        <v>7960.8207644802596</v>
      </c>
      <c r="O836" s="126">
        <v>7.1576227687965845</v>
      </c>
      <c r="P836" s="123">
        <f t="shared" si="74"/>
        <v>1390.7206595174821</v>
      </c>
      <c r="Q836" s="123">
        <f t="shared" si="75"/>
        <v>0.77782417417458394</v>
      </c>
      <c r="R836" s="123">
        <f t="shared" si="72"/>
        <v>149357.39743542561</v>
      </c>
      <c r="S836" s="123">
        <f t="shared" si="73"/>
        <v>135191.63461145145</v>
      </c>
      <c r="T836" s="123">
        <f t="shared" si="76"/>
        <v>1</v>
      </c>
      <c r="U836" s="123">
        <f t="shared" si="77"/>
        <v>0</v>
      </c>
    </row>
    <row r="837" spans="11:21" x14ac:dyDescent="0.25">
      <c r="K837" s="123" t="s">
        <v>946</v>
      </c>
      <c r="L837" s="126">
        <v>8477.7848477135394</v>
      </c>
      <c r="M837" s="126">
        <v>7.8899259076406159</v>
      </c>
      <c r="N837" s="126">
        <v>5535.0257810491021</v>
      </c>
      <c r="O837" s="126">
        <v>5.4628636689652206</v>
      </c>
      <c r="P837" s="123">
        <f t="shared" si="74"/>
        <v>2942.7590666644373</v>
      </c>
      <c r="Q837" s="123">
        <f t="shared" si="75"/>
        <v>2.4270622386753953</v>
      </c>
      <c r="R837" s="123">
        <f t="shared" si="72"/>
        <v>149320.73330509878</v>
      </c>
      <c r="S837" s="123">
        <f t="shared" si="73"/>
        <v>103722.24759825532</v>
      </c>
      <c r="T837" s="123">
        <f t="shared" si="76"/>
        <v>1</v>
      </c>
      <c r="U837" s="123">
        <f t="shared" si="77"/>
        <v>0</v>
      </c>
    </row>
    <row r="838" spans="11:21" x14ac:dyDescent="0.25">
      <c r="K838" s="123" t="s">
        <v>947</v>
      </c>
      <c r="L838" s="126">
        <v>8444.5897178189553</v>
      </c>
      <c r="M838" s="126">
        <v>8.9449598541983129</v>
      </c>
      <c r="N838" s="126">
        <v>6912.3252204010141</v>
      </c>
      <c r="O838" s="126">
        <v>7.8571246779134425</v>
      </c>
      <c r="P838" s="123">
        <f t="shared" si="74"/>
        <v>1532.2644974179411</v>
      </c>
      <c r="Q838" s="123">
        <f t="shared" si="75"/>
        <v>1.0878351762848704</v>
      </c>
      <c r="R838" s="123">
        <f t="shared" si="72"/>
        <v>170454.60736614731</v>
      </c>
      <c r="S838" s="123">
        <f t="shared" si="73"/>
        <v>150230.16833786783</v>
      </c>
      <c r="T838" s="123">
        <f t="shared" si="76"/>
        <v>1</v>
      </c>
      <c r="U838" s="123">
        <f t="shared" si="77"/>
        <v>0</v>
      </c>
    </row>
    <row r="839" spans="11:21" x14ac:dyDescent="0.25">
      <c r="K839" s="123" t="s">
        <v>948</v>
      </c>
      <c r="L839" s="126">
        <v>8427.8335742339605</v>
      </c>
      <c r="M839" s="126">
        <v>7.5070767417680342</v>
      </c>
      <c r="N839" s="126">
        <v>6319.3829171411826</v>
      </c>
      <c r="O839" s="126">
        <v>5.8824270503426925</v>
      </c>
      <c r="P839" s="123">
        <f t="shared" si="74"/>
        <v>2108.4506570927779</v>
      </c>
      <c r="Q839" s="123">
        <f t="shared" si="75"/>
        <v>1.6246496914253417</v>
      </c>
      <c r="R839" s="123">
        <f t="shared" si="72"/>
        <v>141713.70126112673</v>
      </c>
      <c r="S839" s="123">
        <f t="shared" si="73"/>
        <v>111329.15808971267</v>
      </c>
      <c r="T839" s="123">
        <f t="shared" si="76"/>
        <v>1</v>
      </c>
      <c r="U839" s="123">
        <f t="shared" si="77"/>
        <v>0</v>
      </c>
    </row>
    <row r="840" spans="11:21" x14ac:dyDescent="0.25">
      <c r="K840" s="123" t="s">
        <v>949</v>
      </c>
      <c r="L840" s="126">
        <v>10795.643644219985</v>
      </c>
      <c r="M840" s="126">
        <v>10.045859855188752</v>
      </c>
      <c r="N840" s="126">
        <v>6992.4259104821367</v>
      </c>
      <c r="O840" s="126">
        <v>6.6192525862483835</v>
      </c>
      <c r="P840" s="123">
        <f t="shared" si="74"/>
        <v>3803.217733737848</v>
      </c>
      <c r="Q840" s="123">
        <f t="shared" si="75"/>
        <v>3.4266072689403684</v>
      </c>
      <c r="R840" s="123">
        <f t="shared" si="72"/>
        <v>190121.55345955506</v>
      </c>
      <c r="S840" s="123">
        <f t="shared" si="73"/>
        <v>125392.62581448552</v>
      </c>
      <c r="T840" s="123">
        <f t="shared" si="76"/>
        <v>1</v>
      </c>
      <c r="U840" s="123">
        <f t="shared" si="77"/>
        <v>0</v>
      </c>
    </row>
    <row r="841" spans="11:21" x14ac:dyDescent="0.25">
      <c r="K841" s="123" t="s">
        <v>950</v>
      </c>
      <c r="L841" s="126">
        <v>10883.924662190757</v>
      </c>
      <c r="M841" s="126">
        <v>8.8124509336077104</v>
      </c>
      <c r="N841" s="126">
        <v>7850.6218262461316</v>
      </c>
      <c r="O841" s="126">
        <v>6.6837488989977629</v>
      </c>
      <c r="P841" s="123">
        <f t="shared" si="74"/>
        <v>3033.3028359446253</v>
      </c>
      <c r="Q841" s="123">
        <f t="shared" si="75"/>
        <v>2.1287020346099474</v>
      </c>
      <c r="R841" s="123">
        <f t="shared" si="72"/>
        <v>165365.09400996345</v>
      </c>
      <c r="S841" s="123">
        <f t="shared" si="73"/>
        <v>125824.35615370913</v>
      </c>
      <c r="T841" s="123">
        <f t="shared" si="76"/>
        <v>1</v>
      </c>
      <c r="U841" s="123">
        <f t="shared" si="77"/>
        <v>0</v>
      </c>
    </row>
    <row r="842" spans="11:21" x14ac:dyDescent="0.25">
      <c r="K842" s="123" t="s">
        <v>951</v>
      </c>
      <c r="L842" s="126">
        <v>8815.3846334281989</v>
      </c>
      <c r="M842" s="126">
        <v>9.0960185415485686</v>
      </c>
      <c r="N842" s="126">
        <v>7527.9500841586851</v>
      </c>
      <c r="O842" s="126">
        <v>8.1601253521816286</v>
      </c>
      <c r="P842" s="123">
        <f t="shared" si="74"/>
        <v>1287.4345492695138</v>
      </c>
      <c r="Q842" s="123">
        <f t="shared" si="75"/>
        <v>0.93589318936693999</v>
      </c>
      <c r="R842" s="123">
        <f t="shared" si="72"/>
        <v>173104.98619754316</v>
      </c>
      <c r="S842" s="123">
        <f t="shared" si="73"/>
        <v>155674.55695947388</v>
      </c>
      <c r="T842" s="123">
        <f t="shared" si="76"/>
        <v>1</v>
      </c>
      <c r="U842" s="123">
        <f t="shared" si="77"/>
        <v>0</v>
      </c>
    </row>
    <row r="843" spans="11:21" x14ac:dyDescent="0.25">
      <c r="K843" s="123" t="s">
        <v>952</v>
      </c>
      <c r="L843" s="126">
        <v>10166.449645318668</v>
      </c>
      <c r="M843" s="126">
        <v>8.4328806030431007</v>
      </c>
      <c r="N843" s="126">
        <v>7500.9464268865959</v>
      </c>
      <c r="O843" s="126">
        <v>6.0800584305628842</v>
      </c>
      <c r="P843" s="123">
        <f t="shared" si="74"/>
        <v>2665.5032184320717</v>
      </c>
      <c r="Q843" s="123">
        <f t="shared" si="75"/>
        <v>2.3528221724802165</v>
      </c>
      <c r="R843" s="123">
        <f t="shared" si="72"/>
        <v>158491.16241554334</v>
      </c>
      <c r="S843" s="123">
        <f t="shared" si="73"/>
        <v>114100.22218437109</v>
      </c>
      <c r="T843" s="123">
        <f t="shared" si="76"/>
        <v>1</v>
      </c>
      <c r="U843" s="123">
        <f t="shared" si="77"/>
        <v>0</v>
      </c>
    </row>
    <row r="844" spans="11:21" x14ac:dyDescent="0.25">
      <c r="K844" s="123" t="s">
        <v>953</v>
      </c>
      <c r="L844" s="126">
        <v>7650.3800481293365</v>
      </c>
      <c r="M844" s="126">
        <v>7.1556518567594507</v>
      </c>
      <c r="N844" s="126">
        <v>6248.4341440285734</v>
      </c>
      <c r="O844" s="126">
        <v>6.2168572975553493</v>
      </c>
      <c r="P844" s="123">
        <f t="shared" si="74"/>
        <v>1401.9459041007631</v>
      </c>
      <c r="Q844" s="123">
        <f t="shared" si="75"/>
        <v>0.93879455920410138</v>
      </c>
      <c r="R844" s="123">
        <f t="shared" si="72"/>
        <v>135462.65708705969</v>
      </c>
      <c r="S844" s="123">
        <f t="shared" si="73"/>
        <v>118088.71180707841</v>
      </c>
      <c r="T844" s="123">
        <f t="shared" si="76"/>
        <v>1</v>
      </c>
      <c r="U844" s="123">
        <f t="shared" si="77"/>
        <v>0</v>
      </c>
    </row>
    <row r="845" spans="11:21" x14ac:dyDescent="0.25">
      <c r="K845" s="123" t="s">
        <v>954</v>
      </c>
      <c r="L845" s="126">
        <v>9145.7243125060177</v>
      </c>
      <c r="M845" s="126">
        <v>8.0196790647102532</v>
      </c>
      <c r="N845" s="126">
        <v>5688.9882819950089</v>
      </c>
      <c r="O845" s="126">
        <v>5.8580437831479566</v>
      </c>
      <c r="P845" s="123">
        <f t="shared" si="74"/>
        <v>3456.7360305110087</v>
      </c>
      <c r="Q845" s="123">
        <f t="shared" si="75"/>
        <v>2.1616352815622966</v>
      </c>
      <c r="R845" s="123">
        <f t="shared" si="72"/>
        <v>151247.85698169906</v>
      </c>
      <c r="S845" s="123">
        <f t="shared" si="73"/>
        <v>111471.88738096412</v>
      </c>
      <c r="T845" s="123">
        <f t="shared" si="76"/>
        <v>1</v>
      </c>
      <c r="U845" s="123">
        <f t="shared" si="77"/>
        <v>0</v>
      </c>
    </row>
    <row r="846" spans="11:21" x14ac:dyDescent="0.25">
      <c r="K846" s="123" t="s">
        <v>955</v>
      </c>
      <c r="L846" s="126">
        <v>8329.7909020809348</v>
      </c>
      <c r="M846" s="126">
        <v>7.3882939661782903</v>
      </c>
      <c r="N846" s="126">
        <v>6972.7761396475489</v>
      </c>
      <c r="O846" s="126">
        <v>6.2934438578784189</v>
      </c>
      <c r="P846" s="123">
        <f t="shared" si="74"/>
        <v>1357.0147624333858</v>
      </c>
      <c r="Q846" s="123">
        <f t="shared" si="75"/>
        <v>1.0948501082998714</v>
      </c>
      <c r="R846" s="123">
        <f t="shared" si="72"/>
        <v>139436.08842148486</v>
      </c>
      <c r="S846" s="123">
        <f t="shared" si="73"/>
        <v>118896.10101792082</v>
      </c>
      <c r="T846" s="123">
        <f t="shared" si="76"/>
        <v>1</v>
      </c>
      <c r="U846" s="123">
        <f t="shared" si="77"/>
        <v>0</v>
      </c>
    </row>
    <row r="847" spans="11:21" x14ac:dyDescent="0.25">
      <c r="K847" s="123" t="s">
        <v>956</v>
      </c>
      <c r="L847" s="126">
        <v>4262.9959631100119</v>
      </c>
      <c r="M847" s="126">
        <v>4.2670750838569296</v>
      </c>
      <c r="N847" s="126">
        <v>5548.1918784026002</v>
      </c>
      <c r="O847" s="126">
        <v>5.7194928218011567</v>
      </c>
      <c r="P847" s="123">
        <f t="shared" si="74"/>
        <v>-1285.1959152925883</v>
      </c>
      <c r="Q847" s="123">
        <f t="shared" si="75"/>
        <v>-1.4524177379442271</v>
      </c>
      <c r="R847" s="123">
        <f t="shared" si="72"/>
        <v>81078.505714028579</v>
      </c>
      <c r="S847" s="123">
        <f t="shared" si="73"/>
        <v>108841.66455762053</v>
      </c>
      <c r="T847" s="123">
        <f t="shared" si="76"/>
        <v>0</v>
      </c>
      <c r="U847" s="123">
        <f t="shared" si="77"/>
        <v>1</v>
      </c>
    </row>
    <row r="848" spans="11:21" x14ac:dyDescent="0.25">
      <c r="K848" s="123" t="s">
        <v>957</v>
      </c>
      <c r="L848" s="126">
        <v>12414.543488935033</v>
      </c>
      <c r="M848" s="126">
        <v>11.865233904508637</v>
      </c>
      <c r="N848" s="126">
        <v>9297.8757150710044</v>
      </c>
      <c r="O848" s="126">
        <v>9.2764321061076949</v>
      </c>
      <c r="P848" s="123">
        <f t="shared" si="74"/>
        <v>3116.6677738640283</v>
      </c>
      <c r="Q848" s="123">
        <f t="shared" si="75"/>
        <v>2.5888017984009419</v>
      </c>
      <c r="R848" s="123">
        <f t="shared" si="72"/>
        <v>224890.13460123769</v>
      </c>
      <c r="S848" s="123">
        <f t="shared" si="73"/>
        <v>176230.76640708288</v>
      </c>
      <c r="T848" s="123">
        <f t="shared" si="76"/>
        <v>1</v>
      </c>
      <c r="U848" s="123">
        <f t="shared" si="77"/>
        <v>0</v>
      </c>
    </row>
    <row r="849" spans="11:21" x14ac:dyDescent="0.25">
      <c r="K849" s="123" t="s">
        <v>958</v>
      </c>
      <c r="L849" s="126">
        <v>6674.9537049670971</v>
      </c>
      <c r="M849" s="126">
        <v>5.9338609213772315</v>
      </c>
      <c r="N849" s="126">
        <v>8690.9357026826001</v>
      </c>
      <c r="O849" s="126">
        <v>9.3798441537171584</v>
      </c>
      <c r="P849" s="123">
        <f t="shared" si="74"/>
        <v>-2015.981997715503</v>
      </c>
      <c r="Q849" s="123">
        <f t="shared" si="75"/>
        <v>-3.4459832323399269</v>
      </c>
      <c r="R849" s="123">
        <f t="shared" ref="R849:R912" si="78">M849*willingness_to_pay-L849</f>
        <v>112002.26472257754</v>
      </c>
      <c r="S849" s="123">
        <f t="shared" ref="S849:S912" si="79">O849*willingness_to_pay-N849</f>
        <v>178905.94737166059</v>
      </c>
      <c r="T849" s="123">
        <f t="shared" si="76"/>
        <v>0</v>
      </c>
      <c r="U849" s="123">
        <f t="shared" si="77"/>
        <v>1</v>
      </c>
    </row>
    <row r="850" spans="11:21" x14ac:dyDescent="0.25">
      <c r="K850" s="123" t="s">
        <v>959</v>
      </c>
      <c r="L850" s="126">
        <v>8415.6711723589287</v>
      </c>
      <c r="M850" s="126">
        <v>8.4642335074451385</v>
      </c>
      <c r="N850" s="126">
        <v>5200.0826008718659</v>
      </c>
      <c r="O850" s="126">
        <v>5.5952232121547931</v>
      </c>
      <c r="P850" s="123">
        <f t="shared" ref="P850:P913" si="80">L850-N850</f>
        <v>3215.5885714870628</v>
      </c>
      <c r="Q850" s="123">
        <f t="shared" ref="Q850:Q913" si="81">M850-O850</f>
        <v>2.8690102952903453</v>
      </c>
      <c r="R850" s="123">
        <f t="shared" si="78"/>
        <v>160868.99897654384</v>
      </c>
      <c r="S850" s="123">
        <f t="shared" si="79"/>
        <v>106704.38164222399</v>
      </c>
      <c r="T850" s="123">
        <f t="shared" ref="T850:T913" si="82">IF(L850="", "",IF(R850=MAX(R850:S850),1,0))</f>
        <v>1</v>
      </c>
      <c r="U850" s="123">
        <f t="shared" ref="U850:U913" si="83">IF(N850="", "", IF(S850=MAX(R850:S850),1,0))</f>
        <v>0</v>
      </c>
    </row>
    <row r="851" spans="11:21" x14ac:dyDescent="0.25">
      <c r="K851" s="123" t="s">
        <v>960</v>
      </c>
      <c r="L851" s="126">
        <v>9021.4124329398874</v>
      </c>
      <c r="M851" s="126">
        <v>9.6927034319316068</v>
      </c>
      <c r="N851" s="126">
        <v>6804.7170545375211</v>
      </c>
      <c r="O851" s="126">
        <v>7.3794118155178374</v>
      </c>
      <c r="P851" s="123">
        <f t="shared" si="80"/>
        <v>2216.6953784023663</v>
      </c>
      <c r="Q851" s="123">
        <f t="shared" si="81"/>
        <v>2.3132916164137693</v>
      </c>
      <c r="R851" s="123">
        <f t="shared" si="78"/>
        <v>184832.65620569224</v>
      </c>
      <c r="S851" s="123">
        <f t="shared" si="79"/>
        <v>140783.51925581924</v>
      </c>
      <c r="T851" s="123">
        <f t="shared" si="82"/>
        <v>1</v>
      </c>
      <c r="U851" s="123">
        <f t="shared" si="83"/>
        <v>0</v>
      </c>
    </row>
    <row r="852" spans="11:21" x14ac:dyDescent="0.25">
      <c r="K852" s="123" t="s">
        <v>961</v>
      </c>
      <c r="L852" s="126">
        <v>11151.284355936645</v>
      </c>
      <c r="M852" s="126">
        <v>10.507096524900023</v>
      </c>
      <c r="N852" s="126">
        <v>6968.4639118927262</v>
      </c>
      <c r="O852" s="126">
        <v>6.8676260117119261</v>
      </c>
      <c r="P852" s="123">
        <f t="shared" si="80"/>
        <v>4182.8204440439185</v>
      </c>
      <c r="Q852" s="123">
        <f t="shared" si="81"/>
        <v>3.6394705131880967</v>
      </c>
      <c r="R852" s="123">
        <f t="shared" si="78"/>
        <v>198990.64614206384</v>
      </c>
      <c r="S852" s="123">
        <f t="shared" si="79"/>
        <v>130384.0563223458</v>
      </c>
      <c r="T852" s="123">
        <f t="shared" si="82"/>
        <v>1</v>
      </c>
      <c r="U852" s="123">
        <f t="shared" si="83"/>
        <v>0</v>
      </c>
    </row>
    <row r="853" spans="11:21" x14ac:dyDescent="0.25">
      <c r="K853" s="123" t="s">
        <v>962</v>
      </c>
      <c r="L853" s="126">
        <v>10171.39468741547</v>
      </c>
      <c r="M853" s="126">
        <v>9.234876577095628</v>
      </c>
      <c r="N853" s="126">
        <v>10002.401777702589</v>
      </c>
      <c r="O853" s="126">
        <v>10.657303558259757</v>
      </c>
      <c r="P853" s="123">
        <f t="shared" si="80"/>
        <v>168.99290971288065</v>
      </c>
      <c r="Q853" s="123">
        <f t="shared" si="81"/>
        <v>-1.4224269811641292</v>
      </c>
      <c r="R853" s="123">
        <f t="shared" si="78"/>
        <v>174526.13685449708</v>
      </c>
      <c r="S853" s="123">
        <f t="shared" si="79"/>
        <v>203143.66938749255</v>
      </c>
      <c r="T853" s="123">
        <f t="shared" si="82"/>
        <v>0</v>
      </c>
      <c r="U853" s="123">
        <f t="shared" si="83"/>
        <v>1</v>
      </c>
    </row>
    <row r="854" spans="11:21" x14ac:dyDescent="0.25">
      <c r="K854" s="123" t="s">
        <v>963</v>
      </c>
      <c r="L854" s="126">
        <v>8500.418914854421</v>
      </c>
      <c r="M854" s="126">
        <v>8.2936810024690786</v>
      </c>
      <c r="N854" s="126">
        <v>6939.3975350428191</v>
      </c>
      <c r="O854" s="126">
        <v>6.9183254951601132</v>
      </c>
      <c r="P854" s="123">
        <f t="shared" si="80"/>
        <v>1561.0213798116019</v>
      </c>
      <c r="Q854" s="123">
        <f t="shared" si="81"/>
        <v>1.3753555073089654</v>
      </c>
      <c r="R854" s="123">
        <f t="shared" si="78"/>
        <v>157373.20113452716</v>
      </c>
      <c r="S854" s="123">
        <f t="shared" si="79"/>
        <v>131427.11236815946</v>
      </c>
      <c r="T854" s="123">
        <f t="shared" si="82"/>
        <v>1</v>
      </c>
      <c r="U854" s="123">
        <f t="shared" si="83"/>
        <v>0</v>
      </c>
    </row>
    <row r="855" spans="11:21" x14ac:dyDescent="0.25">
      <c r="K855" s="123" t="s">
        <v>964</v>
      </c>
      <c r="L855" s="126">
        <v>5880.3607063285226</v>
      </c>
      <c r="M855" s="126">
        <v>5.0273712005383349</v>
      </c>
      <c r="N855" s="126">
        <v>5611.9485330578855</v>
      </c>
      <c r="O855" s="126">
        <v>5.0937774081120617</v>
      </c>
      <c r="P855" s="123">
        <f t="shared" si="80"/>
        <v>268.41217327063714</v>
      </c>
      <c r="Q855" s="123">
        <f t="shared" si="81"/>
        <v>-6.6406207573726839E-2</v>
      </c>
      <c r="R855" s="123">
        <f t="shared" si="78"/>
        <v>94667.063304438183</v>
      </c>
      <c r="S855" s="123">
        <f t="shared" si="79"/>
        <v>96263.599629183343</v>
      </c>
      <c r="T855" s="123">
        <f t="shared" si="82"/>
        <v>0</v>
      </c>
      <c r="U855" s="123">
        <f t="shared" si="83"/>
        <v>1</v>
      </c>
    </row>
    <row r="856" spans="11:21" x14ac:dyDescent="0.25">
      <c r="K856" s="123" t="s">
        <v>965</v>
      </c>
      <c r="L856" s="126">
        <v>5226.8837937566341</v>
      </c>
      <c r="M856" s="126">
        <v>4.4052992656403847</v>
      </c>
      <c r="N856" s="126">
        <v>8770.2620015677912</v>
      </c>
      <c r="O856" s="126">
        <v>8.6367276645811941</v>
      </c>
      <c r="P856" s="123">
        <f t="shared" si="80"/>
        <v>-3543.3782078111572</v>
      </c>
      <c r="Q856" s="123">
        <f t="shared" si="81"/>
        <v>-4.2314283989408095</v>
      </c>
      <c r="R856" s="123">
        <f t="shared" si="78"/>
        <v>82879.101519051066</v>
      </c>
      <c r="S856" s="123">
        <f t="shared" si="79"/>
        <v>163964.29129005611</v>
      </c>
      <c r="T856" s="123">
        <f t="shared" si="82"/>
        <v>0</v>
      </c>
      <c r="U856" s="123">
        <f t="shared" si="83"/>
        <v>1</v>
      </c>
    </row>
    <row r="857" spans="11:21" x14ac:dyDescent="0.25">
      <c r="K857" s="123" t="s">
        <v>966</v>
      </c>
      <c r="L857" s="126">
        <v>8895.3543219122785</v>
      </c>
      <c r="M857" s="126">
        <v>8.4472028934613732</v>
      </c>
      <c r="N857" s="126">
        <v>6743.4375898420558</v>
      </c>
      <c r="O857" s="126">
        <v>7.0116045373501033</v>
      </c>
      <c r="P857" s="123">
        <f t="shared" si="80"/>
        <v>2151.9167320702227</v>
      </c>
      <c r="Q857" s="123">
        <f t="shared" si="81"/>
        <v>1.43559835611127</v>
      </c>
      <c r="R857" s="123">
        <f t="shared" si="78"/>
        <v>160048.70354731518</v>
      </c>
      <c r="S857" s="123">
        <f t="shared" si="79"/>
        <v>133488.65315716001</v>
      </c>
      <c r="T857" s="123">
        <f t="shared" si="82"/>
        <v>1</v>
      </c>
      <c r="U857" s="123">
        <f t="shared" si="83"/>
        <v>0</v>
      </c>
    </row>
    <row r="858" spans="11:21" x14ac:dyDescent="0.25">
      <c r="K858" s="123" t="s">
        <v>967</v>
      </c>
      <c r="L858" s="126">
        <v>7981.0023426467078</v>
      </c>
      <c r="M858" s="126">
        <v>6.8995330382643507</v>
      </c>
      <c r="N858" s="126">
        <v>6455.0933149328212</v>
      </c>
      <c r="O858" s="126">
        <v>5.9263794135589789</v>
      </c>
      <c r="P858" s="123">
        <f t="shared" si="80"/>
        <v>1525.9090277138866</v>
      </c>
      <c r="Q858" s="123">
        <f t="shared" si="81"/>
        <v>0.97315362470537181</v>
      </c>
      <c r="R858" s="123">
        <f t="shared" si="78"/>
        <v>130009.65842264029</v>
      </c>
      <c r="S858" s="123">
        <f t="shared" si="79"/>
        <v>112072.49495624675</v>
      </c>
      <c r="T858" s="123">
        <f t="shared" si="82"/>
        <v>1</v>
      </c>
      <c r="U858" s="123">
        <f t="shared" si="83"/>
        <v>0</v>
      </c>
    </row>
    <row r="859" spans="11:21" x14ac:dyDescent="0.25">
      <c r="K859" s="123" t="s">
        <v>968</v>
      </c>
      <c r="L859" s="126">
        <v>6063.851537509554</v>
      </c>
      <c r="M859" s="126">
        <v>5.4923719820654657</v>
      </c>
      <c r="N859" s="126">
        <v>5108.2251934936776</v>
      </c>
      <c r="O859" s="126">
        <v>5.2601850483113877</v>
      </c>
      <c r="P859" s="123">
        <f t="shared" si="80"/>
        <v>955.62634401587638</v>
      </c>
      <c r="Q859" s="123">
        <f t="shared" si="81"/>
        <v>0.23218693375407806</v>
      </c>
      <c r="R859" s="123">
        <f t="shared" si="78"/>
        <v>103783.58810379976</v>
      </c>
      <c r="S859" s="123">
        <f t="shared" si="79"/>
        <v>100095.47577273408</v>
      </c>
      <c r="T859" s="123">
        <f t="shared" si="82"/>
        <v>1</v>
      </c>
      <c r="U859" s="123">
        <f t="shared" si="83"/>
        <v>0</v>
      </c>
    </row>
    <row r="860" spans="11:21" x14ac:dyDescent="0.25">
      <c r="K860" s="123" t="s">
        <v>969</v>
      </c>
      <c r="L860" s="126">
        <v>6041.6729896557208</v>
      </c>
      <c r="M860" s="126">
        <v>6.4814153299056994</v>
      </c>
      <c r="N860" s="126">
        <v>5796.5319447027814</v>
      </c>
      <c r="O860" s="126">
        <v>7.9202089460327594</v>
      </c>
      <c r="P860" s="123">
        <f t="shared" si="80"/>
        <v>245.14104495293941</v>
      </c>
      <c r="Q860" s="123">
        <f t="shared" si="81"/>
        <v>-1.43879361612706</v>
      </c>
      <c r="R860" s="123">
        <f t="shared" si="78"/>
        <v>123586.63360845826</v>
      </c>
      <c r="S860" s="123">
        <f t="shared" si="79"/>
        <v>152607.6469759524</v>
      </c>
      <c r="T860" s="123">
        <f t="shared" si="82"/>
        <v>0</v>
      </c>
      <c r="U860" s="123">
        <f t="shared" si="83"/>
        <v>1</v>
      </c>
    </row>
    <row r="861" spans="11:21" x14ac:dyDescent="0.25">
      <c r="K861" s="123" t="s">
        <v>970</v>
      </c>
      <c r="L861" s="126">
        <v>6350.3331544601215</v>
      </c>
      <c r="M861" s="126">
        <v>5.5863155006315379</v>
      </c>
      <c r="N861" s="126">
        <v>5439.8985582905643</v>
      </c>
      <c r="O861" s="126">
        <v>4.6672528902930059</v>
      </c>
      <c r="P861" s="123">
        <f t="shared" si="80"/>
        <v>910.43459616955715</v>
      </c>
      <c r="Q861" s="123">
        <f t="shared" si="81"/>
        <v>0.91906261033853198</v>
      </c>
      <c r="R861" s="123">
        <f t="shared" si="78"/>
        <v>105375.97685817063</v>
      </c>
      <c r="S861" s="123">
        <f t="shared" si="79"/>
        <v>87905.159247569565</v>
      </c>
      <c r="T861" s="123">
        <f t="shared" si="82"/>
        <v>1</v>
      </c>
      <c r="U861" s="123">
        <f t="shared" si="83"/>
        <v>0</v>
      </c>
    </row>
    <row r="862" spans="11:21" x14ac:dyDescent="0.25">
      <c r="K862" s="123" t="s">
        <v>971</v>
      </c>
      <c r="L862" s="126">
        <v>8469.9799071089292</v>
      </c>
      <c r="M862" s="126">
        <v>8.1150684207867236</v>
      </c>
      <c r="N862" s="126">
        <v>5865.6776865420525</v>
      </c>
      <c r="O862" s="126">
        <v>5.9868096906281494</v>
      </c>
      <c r="P862" s="123">
        <f t="shared" si="80"/>
        <v>2604.3022205668767</v>
      </c>
      <c r="Q862" s="123">
        <f t="shared" si="81"/>
        <v>2.1282587301585743</v>
      </c>
      <c r="R862" s="123">
        <f t="shared" si="78"/>
        <v>153831.38850862553</v>
      </c>
      <c r="S862" s="123">
        <f t="shared" si="79"/>
        <v>113870.51612602093</v>
      </c>
      <c r="T862" s="123">
        <f t="shared" si="82"/>
        <v>1</v>
      </c>
      <c r="U862" s="123">
        <f t="shared" si="83"/>
        <v>0</v>
      </c>
    </row>
    <row r="863" spans="11:21" x14ac:dyDescent="0.25">
      <c r="K863" s="123" t="s">
        <v>972</v>
      </c>
      <c r="L863" s="126">
        <v>6696.935561461627</v>
      </c>
      <c r="M863" s="126">
        <v>5.468600420223475</v>
      </c>
      <c r="N863" s="126">
        <v>7024.8556584266425</v>
      </c>
      <c r="O863" s="126">
        <v>6.1237560033185652</v>
      </c>
      <c r="P863" s="123">
        <f t="shared" si="80"/>
        <v>-327.92009696501555</v>
      </c>
      <c r="Q863" s="123">
        <f t="shared" si="81"/>
        <v>-0.65515558309509014</v>
      </c>
      <c r="R863" s="123">
        <f t="shared" si="78"/>
        <v>102675.07284300787</v>
      </c>
      <c r="S863" s="123">
        <f t="shared" si="79"/>
        <v>115450.26440794466</v>
      </c>
      <c r="T863" s="123">
        <f t="shared" si="82"/>
        <v>0</v>
      </c>
      <c r="U863" s="123">
        <f t="shared" si="83"/>
        <v>1</v>
      </c>
    </row>
    <row r="864" spans="11:21" x14ac:dyDescent="0.25">
      <c r="K864" s="123" t="s">
        <v>973</v>
      </c>
      <c r="L864" s="126">
        <v>8399.8735502519521</v>
      </c>
      <c r="M864" s="126">
        <v>8.4245869101127084</v>
      </c>
      <c r="N864" s="126">
        <v>5998.9980960344683</v>
      </c>
      <c r="O864" s="126">
        <v>6.2445895332875505</v>
      </c>
      <c r="P864" s="123">
        <f t="shared" si="80"/>
        <v>2400.8754542174838</v>
      </c>
      <c r="Q864" s="123">
        <f t="shared" si="81"/>
        <v>2.1799973768251579</v>
      </c>
      <c r="R864" s="123">
        <f t="shared" si="78"/>
        <v>160091.86465200223</v>
      </c>
      <c r="S864" s="123">
        <f t="shared" si="79"/>
        <v>118892.79256971653</v>
      </c>
      <c r="T864" s="123">
        <f t="shared" si="82"/>
        <v>1</v>
      </c>
      <c r="U864" s="123">
        <f t="shared" si="83"/>
        <v>0</v>
      </c>
    </row>
    <row r="865" spans="11:21" x14ac:dyDescent="0.25">
      <c r="K865" s="123" t="s">
        <v>974</v>
      </c>
      <c r="L865" s="126">
        <v>6845.388014176554</v>
      </c>
      <c r="M865" s="126">
        <v>6.5605275647112764</v>
      </c>
      <c r="N865" s="126">
        <v>6784.1277713813915</v>
      </c>
      <c r="O865" s="126">
        <v>6.4580454040361204</v>
      </c>
      <c r="P865" s="123">
        <f t="shared" si="80"/>
        <v>61.260242795162412</v>
      </c>
      <c r="Q865" s="123">
        <f t="shared" si="81"/>
        <v>0.10248216067515603</v>
      </c>
      <c r="R865" s="123">
        <f t="shared" si="78"/>
        <v>124365.16328004898</v>
      </c>
      <c r="S865" s="123">
        <f t="shared" si="79"/>
        <v>122376.78030934102</v>
      </c>
      <c r="T865" s="123">
        <f t="shared" si="82"/>
        <v>1</v>
      </c>
      <c r="U865" s="123">
        <f t="shared" si="83"/>
        <v>0</v>
      </c>
    </row>
    <row r="866" spans="11:21" x14ac:dyDescent="0.25">
      <c r="K866" s="123" t="s">
        <v>975</v>
      </c>
      <c r="L866" s="126">
        <v>7271.5399471145665</v>
      </c>
      <c r="M866" s="126">
        <v>7.7129611048056139</v>
      </c>
      <c r="N866" s="126">
        <v>7331.1337585059146</v>
      </c>
      <c r="O866" s="126">
        <v>8.2801045177725712</v>
      </c>
      <c r="P866" s="123">
        <f t="shared" si="80"/>
        <v>-59.593811391348027</v>
      </c>
      <c r="Q866" s="123">
        <f t="shared" si="81"/>
        <v>-0.56714341296695725</v>
      </c>
      <c r="R866" s="123">
        <f t="shared" si="78"/>
        <v>146987.6821489977</v>
      </c>
      <c r="S866" s="123">
        <f t="shared" si="79"/>
        <v>158270.9565969455</v>
      </c>
      <c r="T866" s="123">
        <f t="shared" si="82"/>
        <v>0</v>
      </c>
      <c r="U866" s="123">
        <f t="shared" si="83"/>
        <v>1</v>
      </c>
    </row>
    <row r="867" spans="11:21" x14ac:dyDescent="0.25">
      <c r="K867" s="123" t="s">
        <v>976</v>
      </c>
      <c r="L867" s="126">
        <v>6131.0807653320189</v>
      </c>
      <c r="M867" s="126">
        <v>6.0124393058263461</v>
      </c>
      <c r="N867" s="126">
        <v>5772.4108230304519</v>
      </c>
      <c r="O867" s="126">
        <v>6.5021806719060926</v>
      </c>
      <c r="P867" s="123">
        <f t="shared" si="80"/>
        <v>358.66994230156706</v>
      </c>
      <c r="Q867" s="123">
        <f t="shared" si="81"/>
        <v>-0.4897413660797465</v>
      </c>
      <c r="R867" s="123">
        <f t="shared" si="78"/>
        <v>114117.70535119491</v>
      </c>
      <c r="S867" s="123">
        <f t="shared" si="79"/>
        <v>124271.2026150914</v>
      </c>
      <c r="T867" s="123">
        <f t="shared" si="82"/>
        <v>0</v>
      </c>
      <c r="U867" s="123">
        <f t="shared" si="83"/>
        <v>1</v>
      </c>
    </row>
    <row r="868" spans="11:21" x14ac:dyDescent="0.25">
      <c r="K868" s="123" t="s">
        <v>977</v>
      </c>
      <c r="L868" s="126">
        <v>7795.0975211528203</v>
      </c>
      <c r="M868" s="126">
        <v>7.500875145272742</v>
      </c>
      <c r="N868" s="126">
        <v>6432.6041209705681</v>
      </c>
      <c r="O868" s="126">
        <v>6.682607493593828</v>
      </c>
      <c r="P868" s="123">
        <f t="shared" si="80"/>
        <v>1362.4934001822521</v>
      </c>
      <c r="Q868" s="123">
        <f t="shared" si="81"/>
        <v>0.81826765167891402</v>
      </c>
      <c r="R868" s="123">
        <f t="shared" si="78"/>
        <v>142222.40538430202</v>
      </c>
      <c r="S868" s="123">
        <f t="shared" si="79"/>
        <v>127219.54575090598</v>
      </c>
      <c r="T868" s="123">
        <f t="shared" si="82"/>
        <v>1</v>
      </c>
      <c r="U868" s="123">
        <f t="shared" si="83"/>
        <v>0</v>
      </c>
    </row>
    <row r="869" spans="11:21" x14ac:dyDescent="0.25">
      <c r="K869" s="123" t="s">
        <v>978</v>
      </c>
      <c r="L869" s="126">
        <v>10414.974803156725</v>
      </c>
      <c r="M869" s="126">
        <v>9.395998108888703</v>
      </c>
      <c r="N869" s="126">
        <v>6699.0227318366315</v>
      </c>
      <c r="O869" s="126">
        <v>6.672455709211297</v>
      </c>
      <c r="P869" s="123">
        <f t="shared" si="80"/>
        <v>3715.9520713200936</v>
      </c>
      <c r="Q869" s="123">
        <f t="shared" si="81"/>
        <v>2.723542399677406</v>
      </c>
      <c r="R869" s="123">
        <f t="shared" si="78"/>
        <v>177504.98737461734</v>
      </c>
      <c r="S869" s="123">
        <f t="shared" si="79"/>
        <v>126750.0914523893</v>
      </c>
      <c r="T869" s="123">
        <f t="shared" si="82"/>
        <v>1</v>
      </c>
      <c r="U869" s="123">
        <f t="shared" si="83"/>
        <v>0</v>
      </c>
    </row>
    <row r="870" spans="11:21" x14ac:dyDescent="0.25">
      <c r="K870" s="123" t="s">
        <v>979</v>
      </c>
      <c r="L870" s="126">
        <v>10340.360875034166</v>
      </c>
      <c r="M870" s="126">
        <v>9.6594481257405125</v>
      </c>
      <c r="N870" s="126">
        <v>7051.2727879231561</v>
      </c>
      <c r="O870" s="126">
        <v>6.8813479755690974</v>
      </c>
      <c r="P870" s="123">
        <f t="shared" si="80"/>
        <v>3289.0880871110103</v>
      </c>
      <c r="Q870" s="123">
        <f t="shared" si="81"/>
        <v>2.7781001501714151</v>
      </c>
      <c r="R870" s="123">
        <f t="shared" si="78"/>
        <v>182848.60163977608</v>
      </c>
      <c r="S870" s="123">
        <f t="shared" si="79"/>
        <v>130575.6867234588</v>
      </c>
      <c r="T870" s="123">
        <f t="shared" si="82"/>
        <v>1</v>
      </c>
      <c r="U870" s="123">
        <f t="shared" si="83"/>
        <v>0</v>
      </c>
    </row>
    <row r="871" spans="11:21" x14ac:dyDescent="0.25">
      <c r="K871" s="123" t="s">
        <v>980</v>
      </c>
      <c r="L871" s="126">
        <v>7372.9997818817756</v>
      </c>
      <c r="M871" s="126">
        <v>6.5713310533416882</v>
      </c>
      <c r="N871" s="126">
        <v>8974.0760781805984</v>
      </c>
      <c r="O871" s="126">
        <v>8.7927144640513735</v>
      </c>
      <c r="P871" s="123">
        <f t="shared" si="80"/>
        <v>-1601.0762962988229</v>
      </c>
      <c r="Q871" s="123">
        <f t="shared" si="81"/>
        <v>-2.2213834107096853</v>
      </c>
      <c r="R871" s="123">
        <f t="shared" si="78"/>
        <v>124053.62128495198</v>
      </c>
      <c r="S871" s="123">
        <f t="shared" si="79"/>
        <v>166880.21320284688</v>
      </c>
      <c r="T871" s="123">
        <f t="shared" si="82"/>
        <v>0</v>
      </c>
      <c r="U871" s="123">
        <f t="shared" si="83"/>
        <v>1</v>
      </c>
    </row>
    <row r="872" spans="11:21" x14ac:dyDescent="0.25">
      <c r="K872" s="123" t="s">
        <v>981</v>
      </c>
      <c r="L872" s="126">
        <v>8190.9000380715333</v>
      </c>
      <c r="M872" s="126">
        <v>8.3475754319295525</v>
      </c>
      <c r="N872" s="126">
        <v>6354.7775080691226</v>
      </c>
      <c r="O872" s="126">
        <v>6.891570969283201</v>
      </c>
      <c r="P872" s="123">
        <f t="shared" si="80"/>
        <v>1836.1225300024107</v>
      </c>
      <c r="Q872" s="123">
        <f t="shared" si="81"/>
        <v>1.4560044626463515</v>
      </c>
      <c r="R872" s="123">
        <f t="shared" si="78"/>
        <v>158760.60860051951</v>
      </c>
      <c r="S872" s="123">
        <f t="shared" si="79"/>
        <v>131476.6418775949</v>
      </c>
      <c r="T872" s="123">
        <f t="shared" si="82"/>
        <v>1</v>
      </c>
      <c r="U872" s="123">
        <f t="shared" si="83"/>
        <v>0</v>
      </c>
    </row>
    <row r="873" spans="11:21" x14ac:dyDescent="0.25">
      <c r="K873" s="123" t="s">
        <v>982</v>
      </c>
      <c r="L873" s="126">
        <v>10208.112779851159</v>
      </c>
      <c r="M873" s="126">
        <v>8.9690035542503725</v>
      </c>
      <c r="N873" s="126">
        <v>7722.9351323397877</v>
      </c>
      <c r="O873" s="126">
        <v>7.5861519721968129</v>
      </c>
      <c r="P873" s="123">
        <f t="shared" si="80"/>
        <v>2485.1776475113711</v>
      </c>
      <c r="Q873" s="123">
        <f t="shared" si="81"/>
        <v>1.3828515820535596</v>
      </c>
      <c r="R873" s="123">
        <f t="shared" si="78"/>
        <v>169171.95830515629</v>
      </c>
      <c r="S873" s="123">
        <f t="shared" si="79"/>
        <v>144000.10431159646</v>
      </c>
      <c r="T873" s="123">
        <f t="shared" si="82"/>
        <v>1</v>
      </c>
      <c r="U873" s="123">
        <f t="shared" si="83"/>
        <v>0</v>
      </c>
    </row>
    <row r="874" spans="11:21" x14ac:dyDescent="0.25">
      <c r="K874" s="123" t="s">
        <v>983</v>
      </c>
      <c r="L874" s="126">
        <v>9307.1435246318943</v>
      </c>
      <c r="M874" s="126">
        <v>8.2829096791716896</v>
      </c>
      <c r="N874" s="126">
        <v>6092.7054620844337</v>
      </c>
      <c r="O874" s="126">
        <v>5.8592795020997031</v>
      </c>
      <c r="P874" s="123">
        <f t="shared" si="80"/>
        <v>3214.4380625474605</v>
      </c>
      <c r="Q874" s="123">
        <f t="shared" si="81"/>
        <v>2.4236301770719866</v>
      </c>
      <c r="R874" s="123">
        <f t="shared" si="78"/>
        <v>156351.05005880189</v>
      </c>
      <c r="S874" s="123">
        <f t="shared" si="79"/>
        <v>111092.88457990963</v>
      </c>
      <c r="T874" s="123">
        <f t="shared" si="82"/>
        <v>1</v>
      </c>
      <c r="U874" s="123">
        <f t="shared" si="83"/>
        <v>0</v>
      </c>
    </row>
    <row r="875" spans="11:21" x14ac:dyDescent="0.25">
      <c r="K875" s="123" t="s">
        <v>984</v>
      </c>
      <c r="L875" s="126">
        <v>6666.9142578940773</v>
      </c>
      <c r="M875" s="126">
        <v>6.3700374460926144</v>
      </c>
      <c r="N875" s="126">
        <v>7401.7874335940523</v>
      </c>
      <c r="O875" s="126">
        <v>7.6293276855752907</v>
      </c>
      <c r="P875" s="123">
        <f t="shared" si="80"/>
        <v>-734.87317569997504</v>
      </c>
      <c r="Q875" s="123">
        <f t="shared" si="81"/>
        <v>-1.2592902394826764</v>
      </c>
      <c r="R875" s="123">
        <f t="shared" si="78"/>
        <v>120733.8346639582</v>
      </c>
      <c r="S875" s="123">
        <f t="shared" si="79"/>
        <v>145184.76627791175</v>
      </c>
      <c r="T875" s="123">
        <f t="shared" si="82"/>
        <v>0</v>
      </c>
      <c r="U875" s="123">
        <f t="shared" si="83"/>
        <v>1</v>
      </c>
    </row>
    <row r="876" spans="11:21" x14ac:dyDescent="0.25">
      <c r="K876" s="123" t="s">
        <v>985</v>
      </c>
      <c r="L876" s="126">
        <v>5594.8679914904196</v>
      </c>
      <c r="M876" s="126">
        <v>5.3868840766650852</v>
      </c>
      <c r="N876" s="126">
        <v>6873.9104698005876</v>
      </c>
      <c r="O876" s="126">
        <v>7.4670378192390894</v>
      </c>
      <c r="P876" s="123">
        <f t="shared" si="80"/>
        <v>-1279.042478310168</v>
      </c>
      <c r="Q876" s="123">
        <f t="shared" si="81"/>
        <v>-2.0801537425740042</v>
      </c>
      <c r="R876" s="123">
        <f t="shared" si="78"/>
        <v>102142.81354181128</v>
      </c>
      <c r="S876" s="123">
        <f t="shared" si="79"/>
        <v>142466.84591498121</v>
      </c>
      <c r="T876" s="123">
        <f t="shared" si="82"/>
        <v>0</v>
      </c>
      <c r="U876" s="123">
        <f t="shared" si="83"/>
        <v>1</v>
      </c>
    </row>
    <row r="877" spans="11:21" x14ac:dyDescent="0.25">
      <c r="K877" s="123" t="s">
        <v>986</v>
      </c>
      <c r="L877" s="126">
        <v>6941.3146077044057</v>
      </c>
      <c r="M877" s="126">
        <v>5.3791735762640425</v>
      </c>
      <c r="N877" s="126">
        <v>8011.9729849868381</v>
      </c>
      <c r="O877" s="126">
        <v>6.3510609401317017</v>
      </c>
      <c r="P877" s="123">
        <f t="shared" si="80"/>
        <v>-1070.6583772824324</v>
      </c>
      <c r="Q877" s="123">
        <f t="shared" si="81"/>
        <v>-0.97188736386765928</v>
      </c>
      <c r="R877" s="123">
        <f t="shared" si="78"/>
        <v>100642.15691757645</v>
      </c>
      <c r="S877" s="123">
        <f t="shared" si="79"/>
        <v>119009.2458176472</v>
      </c>
      <c r="T877" s="123">
        <f t="shared" si="82"/>
        <v>0</v>
      </c>
      <c r="U877" s="123">
        <f t="shared" si="83"/>
        <v>1</v>
      </c>
    </row>
    <row r="878" spans="11:21" x14ac:dyDescent="0.25">
      <c r="K878" s="123" t="s">
        <v>987</v>
      </c>
      <c r="L878" s="126">
        <v>10913.676689999478</v>
      </c>
      <c r="M878" s="126">
        <v>7.6038820269985141</v>
      </c>
      <c r="N878" s="126">
        <v>6605.2502324108209</v>
      </c>
      <c r="O878" s="126">
        <v>5.0910000501797024</v>
      </c>
      <c r="P878" s="123">
        <f t="shared" si="80"/>
        <v>4308.4264575886573</v>
      </c>
      <c r="Q878" s="123">
        <f t="shared" si="81"/>
        <v>2.5128819768188118</v>
      </c>
      <c r="R878" s="123">
        <f t="shared" si="78"/>
        <v>141163.96384997081</v>
      </c>
      <c r="S878" s="123">
        <f t="shared" si="79"/>
        <v>95214.75077118323</v>
      </c>
      <c r="T878" s="123">
        <f t="shared" si="82"/>
        <v>1</v>
      </c>
      <c r="U878" s="123">
        <f t="shared" si="83"/>
        <v>0</v>
      </c>
    </row>
    <row r="879" spans="11:21" x14ac:dyDescent="0.25">
      <c r="K879" s="123" t="s">
        <v>988</v>
      </c>
      <c r="L879" s="126">
        <v>8441.738238780621</v>
      </c>
      <c r="M879" s="126">
        <v>8.2323652074321565</v>
      </c>
      <c r="N879" s="126">
        <v>8034.0815682449647</v>
      </c>
      <c r="O879" s="126">
        <v>8.7252971585021228</v>
      </c>
      <c r="P879" s="123">
        <f t="shared" si="80"/>
        <v>407.6566705356563</v>
      </c>
      <c r="Q879" s="123">
        <f t="shared" si="81"/>
        <v>-0.49293195106996635</v>
      </c>
      <c r="R879" s="123">
        <f t="shared" si="78"/>
        <v>156205.56590986252</v>
      </c>
      <c r="S879" s="123">
        <f t="shared" si="79"/>
        <v>166471.86160179749</v>
      </c>
      <c r="T879" s="123">
        <f t="shared" si="82"/>
        <v>0</v>
      </c>
      <c r="U879" s="123">
        <f t="shared" si="83"/>
        <v>1</v>
      </c>
    </row>
    <row r="880" spans="11:21" x14ac:dyDescent="0.25">
      <c r="K880" s="123" t="s">
        <v>989</v>
      </c>
      <c r="L880" s="126">
        <v>6618.383937861362</v>
      </c>
      <c r="M880" s="126">
        <v>6.5351943866501783</v>
      </c>
      <c r="N880" s="126">
        <v>7494.7685966483186</v>
      </c>
      <c r="O880" s="126">
        <v>7.8436854182802049</v>
      </c>
      <c r="P880" s="123">
        <f t="shared" si="80"/>
        <v>-876.38465878695661</v>
      </c>
      <c r="Q880" s="123">
        <f t="shared" si="81"/>
        <v>-1.3084910316300267</v>
      </c>
      <c r="R880" s="123">
        <f t="shared" si="78"/>
        <v>124085.5037951422</v>
      </c>
      <c r="S880" s="123">
        <f t="shared" si="79"/>
        <v>149378.93976895578</v>
      </c>
      <c r="T880" s="123">
        <f t="shared" si="82"/>
        <v>0</v>
      </c>
      <c r="U880" s="123">
        <f t="shared" si="83"/>
        <v>1</v>
      </c>
    </row>
    <row r="881" spans="11:21" x14ac:dyDescent="0.25">
      <c r="K881" s="123" t="s">
        <v>990</v>
      </c>
      <c r="L881" s="126">
        <v>8195.9524946253041</v>
      </c>
      <c r="M881" s="126">
        <v>7.7067162777463167</v>
      </c>
      <c r="N881" s="126">
        <v>7429.2126183142636</v>
      </c>
      <c r="O881" s="126">
        <v>7.2996863296314638</v>
      </c>
      <c r="P881" s="123">
        <f t="shared" si="80"/>
        <v>766.73987631104046</v>
      </c>
      <c r="Q881" s="123">
        <f t="shared" si="81"/>
        <v>0.40702994811485294</v>
      </c>
      <c r="R881" s="123">
        <f t="shared" si="78"/>
        <v>145938.37306030103</v>
      </c>
      <c r="S881" s="123">
        <f t="shared" si="79"/>
        <v>138564.51397431502</v>
      </c>
      <c r="T881" s="123">
        <f t="shared" si="82"/>
        <v>1</v>
      </c>
      <c r="U881" s="123">
        <f t="shared" si="83"/>
        <v>0</v>
      </c>
    </row>
    <row r="882" spans="11:21" x14ac:dyDescent="0.25">
      <c r="K882" s="123" t="s">
        <v>991</v>
      </c>
      <c r="L882" s="126">
        <v>6103.7301120982465</v>
      </c>
      <c r="M882" s="126">
        <v>6.2649830253279122</v>
      </c>
      <c r="N882" s="126">
        <v>5174.2747754907814</v>
      </c>
      <c r="O882" s="126">
        <v>6.4121898055171744</v>
      </c>
      <c r="P882" s="123">
        <f t="shared" si="80"/>
        <v>929.45533660746514</v>
      </c>
      <c r="Q882" s="123">
        <f t="shared" si="81"/>
        <v>-0.14720678018926225</v>
      </c>
      <c r="R882" s="123">
        <f t="shared" si="78"/>
        <v>119195.93039446</v>
      </c>
      <c r="S882" s="123">
        <f t="shared" si="79"/>
        <v>123069.52133485272</v>
      </c>
      <c r="T882" s="123">
        <f t="shared" si="82"/>
        <v>0</v>
      </c>
      <c r="U882" s="123">
        <f t="shared" si="83"/>
        <v>1</v>
      </c>
    </row>
    <row r="883" spans="11:21" x14ac:dyDescent="0.25">
      <c r="K883" s="123" t="s">
        <v>992</v>
      </c>
      <c r="L883" s="126">
        <v>8365.6957142423944</v>
      </c>
      <c r="M883" s="126">
        <v>8.8437962454100667</v>
      </c>
      <c r="N883" s="126">
        <v>6123.8282189943802</v>
      </c>
      <c r="O883" s="126">
        <v>7.1419866688210281</v>
      </c>
      <c r="P883" s="123">
        <f t="shared" si="80"/>
        <v>2241.8674952480142</v>
      </c>
      <c r="Q883" s="123">
        <f t="shared" si="81"/>
        <v>1.7018095765890386</v>
      </c>
      <c r="R883" s="123">
        <f t="shared" si="78"/>
        <v>168510.22919395892</v>
      </c>
      <c r="S883" s="123">
        <f t="shared" si="79"/>
        <v>136715.9051574262</v>
      </c>
      <c r="T883" s="123">
        <f t="shared" si="82"/>
        <v>1</v>
      </c>
      <c r="U883" s="123">
        <f t="shared" si="83"/>
        <v>0</v>
      </c>
    </row>
    <row r="884" spans="11:21" x14ac:dyDescent="0.25">
      <c r="K884" s="123" t="s">
        <v>993</v>
      </c>
      <c r="L884" s="126">
        <v>9108.099995309698</v>
      </c>
      <c r="M884" s="126">
        <v>7.9444468116832176</v>
      </c>
      <c r="N884" s="126">
        <v>8528.3038671642789</v>
      </c>
      <c r="O884" s="126">
        <v>8.5622487839604187</v>
      </c>
      <c r="P884" s="123">
        <f t="shared" si="80"/>
        <v>579.79612814541906</v>
      </c>
      <c r="Q884" s="123">
        <f t="shared" si="81"/>
        <v>-0.61780197227720102</v>
      </c>
      <c r="R884" s="123">
        <f t="shared" si="78"/>
        <v>149780.83623835465</v>
      </c>
      <c r="S884" s="123">
        <f t="shared" si="79"/>
        <v>162716.67181204411</v>
      </c>
      <c r="T884" s="123">
        <f t="shared" si="82"/>
        <v>0</v>
      </c>
      <c r="U884" s="123">
        <f t="shared" si="83"/>
        <v>1</v>
      </c>
    </row>
    <row r="885" spans="11:21" x14ac:dyDescent="0.25">
      <c r="K885" s="123" t="s">
        <v>994</v>
      </c>
      <c r="L885" s="126">
        <v>11050.565526615444</v>
      </c>
      <c r="M885" s="126">
        <v>12.093360954857053</v>
      </c>
      <c r="N885" s="126">
        <v>8016.867497536663</v>
      </c>
      <c r="O885" s="126">
        <v>9.5553687872382955</v>
      </c>
      <c r="P885" s="123">
        <f t="shared" si="80"/>
        <v>3033.6980290787815</v>
      </c>
      <c r="Q885" s="123">
        <f t="shared" si="81"/>
        <v>2.5379921676187571</v>
      </c>
      <c r="R885" s="123">
        <f t="shared" si="78"/>
        <v>230816.65357052561</v>
      </c>
      <c r="S885" s="123">
        <f t="shared" si="79"/>
        <v>183090.50824722924</v>
      </c>
      <c r="T885" s="123">
        <f t="shared" si="82"/>
        <v>1</v>
      </c>
      <c r="U885" s="123">
        <f t="shared" si="83"/>
        <v>0</v>
      </c>
    </row>
    <row r="886" spans="11:21" x14ac:dyDescent="0.25">
      <c r="K886" s="123" t="s">
        <v>995</v>
      </c>
      <c r="L886" s="126">
        <v>8129.059598573007</v>
      </c>
      <c r="M886" s="126">
        <v>7.8919522920203962</v>
      </c>
      <c r="N886" s="126">
        <v>5853.9738621696724</v>
      </c>
      <c r="O886" s="126">
        <v>5.8569724831556069</v>
      </c>
      <c r="P886" s="123">
        <f t="shared" si="80"/>
        <v>2275.0857364033345</v>
      </c>
      <c r="Q886" s="123">
        <f t="shared" si="81"/>
        <v>2.0349798088647892</v>
      </c>
      <c r="R886" s="123">
        <f t="shared" si="78"/>
        <v>149709.98624183491</v>
      </c>
      <c r="S886" s="123">
        <f t="shared" si="79"/>
        <v>111285.47580094247</v>
      </c>
      <c r="T886" s="123">
        <f t="shared" si="82"/>
        <v>1</v>
      </c>
      <c r="U886" s="123">
        <f t="shared" si="83"/>
        <v>0</v>
      </c>
    </row>
    <row r="887" spans="11:21" x14ac:dyDescent="0.25">
      <c r="K887" s="123" t="s">
        <v>996</v>
      </c>
      <c r="L887" s="126">
        <v>9734.8874317429363</v>
      </c>
      <c r="M887" s="126">
        <v>8.4306481776520208</v>
      </c>
      <c r="N887" s="126">
        <v>7897.0160770039356</v>
      </c>
      <c r="O887" s="126">
        <v>6.8728931064231435</v>
      </c>
      <c r="P887" s="123">
        <f t="shared" si="80"/>
        <v>1837.8713547390007</v>
      </c>
      <c r="Q887" s="123">
        <f t="shared" si="81"/>
        <v>1.5577550712288772</v>
      </c>
      <c r="R887" s="123">
        <f t="shared" si="78"/>
        <v>158878.07612129746</v>
      </c>
      <c r="S887" s="123">
        <f t="shared" si="79"/>
        <v>129560.84605145894</v>
      </c>
      <c r="T887" s="123">
        <f t="shared" si="82"/>
        <v>1</v>
      </c>
      <c r="U887" s="123">
        <f t="shared" si="83"/>
        <v>0</v>
      </c>
    </row>
    <row r="888" spans="11:21" x14ac:dyDescent="0.25">
      <c r="K888" s="123" t="s">
        <v>997</v>
      </c>
      <c r="L888" s="126">
        <v>4080.8314102823588</v>
      </c>
      <c r="M888" s="126">
        <v>3.5541036127805663</v>
      </c>
      <c r="N888" s="126">
        <v>5882.5846888280657</v>
      </c>
      <c r="O888" s="126">
        <v>5.7095493856395976</v>
      </c>
      <c r="P888" s="123">
        <f t="shared" si="80"/>
        <v>-1801.753278545707</v>
      </c>
      <c r="Q888" s="123">
        <f t="shared" si="81"/>
        <v>-2.1554457728590313</v>
      </c>
      <c r="R888" s="123">
        <f t="shared" si="78"/>
        <v>67001.240845328968</v>
      </c>
      <c r="S888" s="123">
        <f t="shared" si="79"/>
        <v>108308.40302396388</v>
      </c>
      <c r="T888" s="123">
        <f t="shared" si="82"/>
        <v>0</v>
      </c>
      <c r="U888" s="123">
        <f t="shared" si="83"/>
        <v>1</v>
      </c>
    </row>
    <row r="889" spans="11:21" x14ac:dyDescent="0.25">
      <c r="K889" s="123" t="s">
        <v>998</v>
      </c>
      <c r="L889" s="126">
        <v>7035.6544849694328</v>
      </c>
      <c r="M889" s="126">
        <v>6.1422344588207798</v>
      </c>
      <c r="N889" s="126">
        <v>9430.775880847903</v>
      </c>
      <c r="O889" s="126">
        <v>9.3184258980828094</v>
      </c>
      <c r="P889" s="123">
        <f t="shared" si="80"/>
        <v>-2395.1213958784701</v>
      </c>
      <c r="Q889" s="123">
        <f t="shared" si="81"/>
        <v>-3.1761914392620296</v>
      </c>
      <c r="R889" s="123">
        <f t="shared" si="78"/>
        <v>115809.03469144617</v>
      </c>
      <c r="S889" s="123">
        <f t="shared" si="79"/>
        <v>176937.74208080827</v>
      </c>
      <c r="T889" s="123">
        <f t="shared" si="82"/>
        <v>0</v>
      </c>
      <c r="U889" s="123">
        <f t="shared" si="83"/>
        <v>1</v>
      </c>
    </row>
    <row r="890" spans="11:21" x14ac:dyDescent="0.25">
      <c r="K890" s="123" t="s">
        <v>999</v>
      </c>
      <c r="L890" s="126">
        <v>10496.853805108476</v>
      </c>
      <c r="M890" s="126">
        <v>10.902484370113765</v>
      </c>
      <c r="N890" s="126">
        <v>8068.7212620350929</v>
      </c>
      <c r="O890" s="126">
        <v>8.8018569999282033</v>
      </c>
      <c r="P890" s="123">
        <f t="shared" si="80"/>
        <v>2428.1325430733832</v>
      </c>
      <c r="Q890" s="123">
        <f t="shared" si="81"/>
        <v>2.1006273701855616</v>
      </c>
      <c r="R890" s="123">
        <f t="shared" si="78"/>
        <v>207552.83359716681</v>
      </c>
      <c r="S890" s="123">
        <f t="shared" si="79"/>
        <v>167968.41873652895</v>
      </c>
      <c r="T890" s="123">
        <f t="shared" si="82"/>
        <v>1</v>
      </c>
      <c r="U890" s="123">
        <f t="shared" si="83"/>
        <v>0</v>
      </c>
    </row>
    <row r="891" spans="11:21" x14ac:dyDescent="0.25">
      <c r="K891" s="123" t="s">
        <v>1000</v>
      </c>
      <c r="L891" s="126">
        <v>8564.1547769325389</v>
      </c>
      <c r="M891" s="126">
        <v>7.8393641365545284</v>
      </c>
      <c r="N891" s="126">
        <v>7030.8347602511822</v>
      </c>
      <c r="O891" s="126">
        <v>7.025130517593527</v>
      </c>
      <c r="P891" s="123">
        <f t="shared" si="80"/>
        <v>1533.3200166813567</v>
      </c>
      <c r="Q891" s="123">
        <f t="shared" si="81"/>
        <v>0.81423361896100133</v>
      </c>
      <c r="R891" s="123">
        <f t="shared" si="78"/>
        <v>148223.12795415803</v>
      </c>
      <c r="S891" s="123">
        <f t="shared" si="79"/>
        <v>133471.77559161934</v>
      </c>
      <c r="T891" s="123">
        <f t="shared" si="82"/>
        <v>1</v>
      </c>
      <c r="U891" s="123">
        <f t="shared" si="83"/>
        <v>0</v>
      </c>
    </row>
    <row r="892" spans="11:21" x14ac:dyDescent="0.25">
      <c r="K892" s="123" t="s">
        <v>1001</v>
      </c>
      <c r="L892" s="126">
        <v>6013.7623492755338</v>
      </c>
      <c r="M892" s="126">
        <v>5.6971408564281631</v>
      </c>
      <c r="N892" s="126">
        <v>6066.2388707119026</v>
      </c>
      <c r="O892" s="126">
        <v>6.8943468196106483</v>
      </c>
      <c r="P892" s="123">
        <f t="shared" si="80"/>
        <v>-52.476521436368785</v>
      </c>
      <c r="Q892" s="123">
        <f t="shared" si="81"/>
        <v>-1.1972059631824852</v>
      </c>
      <c r="R892" s="123">
        <f t="shared" si="78"/>
        <v>107929.05477928772</v>
      </c>
      <c r="S892" s="123">
        <f t="shared" si="79"/>
        <v>131820.69752150105</v>
      </c>
      <c r="T892" s="123">
        <f t="shared" si="82"/>
        <v>0</v>
      </c>
      <c r="U892" s="123">
        <f t="shared" si="83"/>
        <v>1</v>
      </c>
    </row>
    <row r="893" spans="11:21" x14ac:dyDescent="0.25">
      <c r="K893" s="123" t="s">
        <v>1002</v>
      </c>
      <c r="L893" s="126">
        <v>8974.410156876791</v>
      </c>
      <c r="M893" s="126">
        <v>6.8238191897779137</v>
      </c>
      <c r="N893" s="126">
        <v>10435.391085149637</v>
      </c>
      <c r="O893" s="126">
        <v>8.1103839713663284</v>
      </c>
      <c r="P893" s="123">
        <f t="shared" si="80"/>
        <v>-1460.9809282728456</v>
      </c>
      <c r="Q893" s="123">
        <f t="shared" si="81"/>
        <v>-1.2865647815884147</v>
      </c>
      <c r="R893" s="123">
        <f t="shared" si="78"/>
        <v>127501.97363868148</v>
      </c>
      <c r="S893" s="123">
        <f t="shared" si="79"/>
        <v>151772.28834217694</v>
      </c>
      <c r="T893" s="123">
        <f t="shared" si="82"/>
        <v>0</v>
      </c>
      <c r="U893" s="123">
        <f t="shared" si="83"/>
        <v>1</v>
      </c>
    </row>
    <row r="894" spans="11:21" x14ac:dyDescent="0.25">
      <c r="K894" s="123" t="s">
        <v>1003</v>
      </c>
      <c r="L894" s="126">
        <v>10264.730188673084</v>
      </c>
      <c r="M894" s="126">
        <v>9.1849119090603573</v>
      </c>
      <c r="N894" s="126">
        <v>6639.1800487418532</v>
      </c>
      <c r="O894" s="126">
        <v>6.7091448701694603</v>
      </c>
      <c r="P894" s="123">
        <f t="shared" si="80"/>
        <v>3625.5501399312307</v>
      </c>
      <c r="Q894" s="123">
        <f t="shared" si="81"/>
        <v>2.475767038890897</v>
      </c>
      <c r="R894" s="123">
        <f t="shared" si="78"/>
        <v>173433.50799253408</v>
      </c>
      <c r="S894" s="123">
        <f t="shared" si="79"/>
        <v>127543.71735464736</v>
      </c>
      <c r="T894" s="123">
        <f t="shared" si="82"/>
        <v>1</v>
      </c>
      <c r="U894" s="123">
        <f t="shared" si="83"/>
        <v>0</v>
      </c>
    </row>
    <row r="895" spans="11:21" x14ac:dyDescent="0.25">
      <c r="K895" s="123" t="s">
        <v>1004</v>
      </c>
      <c r="L895" s="126">
        <v>7065.9792779968229</v>
      </c>
      <c r="M895" s="126">
        <v>6.1782575771673418</v>
      </c>
      <c r="N895" s="126">
        <v>4708.2459895904922</v>
      </c>
      <c r="O895" s="126">
        <v>4.2415106782156116</v>
      </c>
      <c r="P895" s="123">
        <f t="shared" si="80"/>
        <v>2357.7332884063308</v>
      </c>
      <c r="Q895" s="123">
        <f t="shared" si="81"/>
        <v>1.9367468989517302</v>
      </c>
      <c r="R895" s="123">
        <f t="shared" si="78"/>
        <v>116499.17226535</v>
      </c>
      <c r="S895" s="123">
        <f t="shared" si="79"/>
        <v>80121.967574721741</v>
      </c>
      <c r="T895" s="123">
        <f t="shared" si="82"/>
        <v>1</v>
      </c>
      <c r="U895" s="123">
        <f t="shared" si="83"/>
        <v>0</v>
      </c>
    </row>
    <row r="896" spans="11:21" x14ac:dyDescent="0.25">
      <c r="K896" s="123" t="s">
        <v>1005</v>
      </c>
      <c r="L896" s="126">
        <v>5622.9033020189854</v>
      </c>
      <c r="M896" s="126">
        <v>4.8406835596028905</v>
      </c>
      <c r="N896" s="126">
        <v>7810.1929079380288</v>
      </c>
      <c r="O896" s="126">
        <v>7.2757405117814864</v>
      </c>
      <c r="P896" s="123">
        <f t="shared" si="80"/>
        <v>-2187.2896059190434</v>
      </c>
      <c r="Q896" s="123">
        <f t="shared" si="81"/>
        <v>-2.4350569521785959</v>
      </c>
      <c r="R896" s="123">
        <f t="shared" si="78"/>
        <v>91190.767890038827</v>
      </c>
      <c r="S896" s="123">
        <f t="shared" si="79"/>
        <v>137704.6173276917</v>
      </c>
      <c r="T896" s="123">
        <f t="shared" si="82"/>
        <v>0</v>
      </c>
      <c r="U896" s="123">
        <f t="shared" si="83"/>
        <v>1</v>
      </c>
    </row>
    <row r="897" spans="11:21" x14ac:dyDescent="0.25">
      <c r="K897" s="123" t="s">
        <v>1006</v>
      </c>
      <c r="L897" s="126">
        <v>10152.595731227866</v>
      </c>
      <c r="M897" s="126">
        <v>11.114620839064587</v>
      </c>
      <c r="N897" s="126">
        <v>7187.034345185717</v>
      </c>
      <c r="O897" s="126">
        <v>8.8219716047111412</v>
      </c>
      <c r="P897" s="123">
        <f t="shared" si="80"/>
        <v>2965.561386042149</v>
      </c>
      <c r="Q897" s="123">
        <f t="shared" si="81"/>
        <v>2.2926492343534459</v>
      </c>
      <c r="R897" s="123">
        <f t="shared" si="78"/>
        <v>212139.82105006388</v>
      </c>
      <c r="S897" s="123">
        <f t="shared" si="79"/>
        <v>169252.39774903713</v>
      </c>
      <c r="T897" s="123">
        <f t="shared" si="82"/>
        <v>1</v>
      </c>
      <c r="U897" s="123">
        <f t="shared" si="83"/>
        <v>0</v>
      </c>
    </row>
    <row r="898" spans="11:21" x14ac:dyDescent="0.25">
      <c r="K898" s="123" t="s">
        <v>1007</v>
      </c>
      <c r="L898" s="126">
        <v>6840.278843057552</v>
      </c>
      <c r="M898" s="126">
        <v>6.4150059313489916</v>
      </c>
      <c r="N898" s="126">
        <v>7693.4465654484311</v>
      </c>
      <c r="O898" s="126">
        <v>8.3277603515236649</v>
      </c>
      <c r="P898" s="123">
        <f t="shared" si="80"/>
        <v>-853.16772239087913</v>
      </c>
      <c r="Q898" s="123">
        <f t="shared" si="81"/>
        <v>-1.9127544201746733</v>
      </c>
      <c r="R898" s="123">
        <f t="shared" si="78"/>
        <v>121459.83978392229</v>
      </c>
      <c r="S898" s="123">
        <f t="shared" si="79"/>
        <v>158861.76046502488</v>
      </c>
      <c r="T898" s="123">
        <f t="shared" si="82"/>
        <v>0</v>
      </c>
      <c r="U898" s="123">
        <f t="shared" si="83"/>
        <v>1</v>
      </c>
    </row>
    <row r="899" spans="11:21" x14ac:dyDescent="0.25">
      <c r="K899" s="123" t="s">
        <v>1008</v>
      </c>
      <c r="L899" s="126">
        <v>10749.26237925657</v>
      </c>
      <c r="M899" s="126">
        <v>9.2773048867495689</v>
      </c>
      <c r="N899" s="126">
        <v>6130.839230504449</v>
      </c>
      <c r="O899" s="126">
        <v>5.3512542729060222</v>
      </c>
      <c r="P899" s="123">
        <f t="shared" si="80"/>
        <v>4618.4231487521211</v>
      </c>
      <c r="Q899" s="123">
        <f t="shared" si="81"/>
        <v>3.9260506138435467</v>
      </c>
      <c r="R899" s="123">
        <f t="shared" si="78"/>
        <v>174796.8353557348</v>
      </c>
      <c r="S899" s="123">
        <f t="shared" si="79"/>
        <v>100894.24622761599</v>
      </c>
      <c r="T899" s="123">
        <f t="shared" si="82"/>
        <v>1</v>
      </c>
      <c r="U899" s="123">
        <f t="shared" si="83"/>
        <v>0</v>
      </c>
    </row>
    <row r="900" spans="11:21" x14ac:dyDescent="0.25">
      <c r="K900" s="123" t="s">
        <v>1009</v>
      </c>
      <c r="L900" s="126">
        <v>6116.1142619014308</v>
      </c>
      <c r="M900" s="126">
        <v>5.6402092968427757</v>
      </c>
      <c r="N900" s="126">
        <v>4969.7490799941288</v>
      </c>
      <c r="O900" s="126">
        <v>4.8068024699174119</v>
      </c>
      <c r="P900" s="123">
        <f t="shared" si="80"/>
        <v>1146.365181907302</v>
      </c>
      <c r="Q900" s="123">
        <f t="shared" si="81"/>
        <v>0.83340682692536383</v>
      </c>
      <c r="R900" s="123">
        <f t="shared" si="78"/>
        <v>106688.07167495409</v>
      </c>
      <c r="S900" s="123">
        <f t="shared" si="79"/>
        <v>91166.300318354115</v>
      </c>
      <c r="T900" s="123">
        <f t="shared" si="82"/>
        <v>1</v>
      </c>
      <c r="U900" s="123">
        <f t="shared" si="83"/>
        <v>0</v>
      </c>
    </row>
    <row r="901" spans="11:21" x14ac:dyDescent="0.25">
      <c r="K901" s="123" t="s">
        <v>1010</v>
      </c>
      <c r="L901" s="126">
        <v>5523.368779491755</v>
      </c>
      <c r="M901" s="126">
        <v>4.5022571646950231</v>
      </c>
      <c r="N901" s="126">
        <v>7120.6678574546713</v>
      </c>
      <c r="O901" s="126">
        <v>6.1590338028593532</v>
      </c>
      <c r="P901" s="123">
        <f t="shared" si="80"/>
        <v>-1597.2990779629163</v>
      </c>
      <c r="Q901" s="123">
        <f t="shared" si="81"/>
        <v>-1.6567766381643301</v>
      </c>
      <c r="R901" s="123">
        <f t="shared" si="78"/>
        <v>84521.774514408709</v>
      </c>
      <c r="S901" s="123">
        <f t="shared" si="79"/>
        <v>116060.0081997324</v>
      </c>
      <c r="T901" s="123">
        <f t="shared" si="82"/>
        <v>0</v>
      </c>
      <c r="U901" s="123">
        <f t="shared" si="83"/>
        <v>1</v>
      </c>
    </row>
    <row r="902" spans="11:21" x14ac:dyDescent="0.25">
      <c r="K902" s="123" t="s">
        <v>1011</v>
      </c>
      <c r="L902" s="126">
        <v>8206.7373685065249</v>
      </c>
      <c r="M902" s="126">
        <v>7.5081902117639467</v>
      </c>
      <c r="N902" s="126">
        <v>7168.8878533618554</v>
      </c>
      <c r="O902" s="126">
        <v>7.043736277143136</v>
      </c>
      <c r="P902" s="123">
        <f t="shared" si="80"/>
        <v>1037.8495151446696</v>
      </c>
      <c r="Q902" s="123">
        <f t="shared" si="81"/>
        <v>0.46445393462081075</v>
      </c>
      <c r="R902" s="123">
        <f t="shared" si="78"/>
        <v>141957.06686677242</v>
      </c>
      <c r="S902" s="123">
        <f t="shared" si="79"/>
        <v>133705.83768950088</v>
      </c>
      <c r="T902" s="123">
        <f t="shared" si="82"/>
        <v>1</v>
      </c>
      <c r="U902" s="123">
        <f t="shared" si="83"/>
        <v>0</v>
      </c>
    </row>
    <row r="903" spans="11:21" x14ac:dyDescent="0.25">
      <c r="K903" s="123" t="s">
        <v>1012</v>
      </c>
      <c r="L903" s="126">
        <v>8341.8441721648232</v>
      </c>
      <c r="M903" s="126">
        <v>8.2767325215505458</v>
      </c>
      <c r="N903" s="126">
        <v>7179.7737418134275</v>
      </c>
      <c r="O903" s="126">
        <v>7.5743502618759635</v>
      </c>
      <c r="P903" s="123">
        <f t="shared" si="80"/>
        <v>1162.0704303513958</v>
      </c>
      <c r="Q903" s="123">
        <f t="shared" si="81"/>
        <v>0.70238225967458234</v>
      </c>
      <c r="R903" s="123">
        <f t="shared" si="78"/>
        <v>157192.8062588461</v>
      </c>
      <c r="S903" s="123">
        <f t="shared" si="79"/>
        <v>144307.23149570584</v>
      </c>
      <c r="T903" s="123">
        <f t="shared" si="82"/>
        <v>1</v>
      </c>
      <c r="U903" s="123">
        <f t="shared" si="83"/>
        <v>0</v>
      </c>
    </row>
    <row r="904" spans="11:21" x14ac:dyDescent="0.25">
      <c r="K904" s="123" t="s">
        <v>1013</v>
      </c>
      <c r="L904" s="126">
        <v>7802.1626187249558</v>
      </c>
      <c r="M904" s="126">
        <v>8.3538399460940784</v>
      </c>
      <c r="N904" s="126">
        <v>7919.5014722187279</v>
      </c>
      <c r="O904" s="126">
        <v>9.1746063413137424</v>
      </c>
      <c r="P904" s="123">
        <f t="shared" si="80"/>
        <v>-117.33885349377215</v>
      </c>
      <c r="Q904" s="123">
        <f t="shared" si="81"/>
        <v>-0.82076639521966399</v>
      </c>
      <c r="R904" s="123">
        <f t="shared" si="78"/>
        <v>159274.63630315661</v>
      </c>
      <c r="S904" s="123">
        <f t="shared" si="79"/>
        <v>175572.62535405613</v>
      </c>
      <c r="T904" s="123">
        <f t="shared" si="82"/>
        <v>0</v>
      </c>
      <c r="U904" s="123">
        <f t="shared" si="83"/>
        <v>1</v>
      </c>
    </row>
    <row r="905" spans="11:21" x14ac:dyDescent="0.25">
      <c r="K905" s="123" t="s">
        <v>1014</v>
      </c>
      <c r="L905" s="126">
        <v>11112.390936864811</v>
      </c>
      <c r="M905" s="126">
        <v>10.13073823493321</v>
      </c>
      <c r="N905" s="126">
        <v>9050.2293037855816</v>
      </c>
      <c r="O905" s="126">
        <v>8.5144232865843676</v>
      </c>
      <c r="P905" s="123">
        <f t="shared" si="80"/>
        <v>2062.1616330792294</v>
      </c>
      <c r="Q905" s="123">
        <f t="shared" si="81"/>
        <v>1.6163149483488422</v>
      </c>
      <c r="R905" s="123">
        <f t="shared" si="78"/>
        <v>191502.37376179939</v>
      </c>
      <c r="S905" s="123">
        <f t="shared" si="79"/>
        <v>161238.23642790178</v>
      </c>
      <c r="T905" s="123">
        <f t="shared" si="82"/>
        <v>1</v>
      </c>
      <c r="U905" s="123">
        <f t="shared" si="83"/>
        <v>0</v>
      </c>
    </row>
    <row r="906" spans="11:21" x14ac:dyDescent="0.25">
      <c r="K906" s="123" t="s">
        <v>1015</v>
      </c>
      <c r="L906" s="126">
        <v>11604.678310754383</v>
      </c>
      <c r="M906" s="126">
        <v>9.2966391131686557</v>
      </c>
      <c r="N906" s="126">
        <v>9253.004882172434</v>
      </c>
      <c r="O906" s="126">
        <v>7.8624226025660855</v>
      </c>
      <c r="P906" s="123">
        <f t="shared" si="80"/>
        <v>2351.6734285819493</v>
      </c>
      <c r="Q906" s="123">
        <f t="shared" si="81"/>
        <v>1.4342165106025702</v>
      </c>
      <c r="R906" s="123">
        <f t="shared" si="78"/>
        <v>174328.10395261872</v>
      </c>
      <c r="S906" s="123">
        <f t="shared" si="79"/>
        <v>147995.44716914929</v>
      </c>
      <c r="T906" s="123">
        <f t="shared" si="82"/>
        <v>1</v>
      </c>
      <c r="U906" s="123">
        <f t="shared" si="83"/>
        <v>0</v>
      </c>
    </row>
    <row r="907" spans="11:21" x14ac:dyDescent="0.25">
      <c r="K907" s="123" t="s">
        <v>1016</v>
      </c>
      <c r="L907" s="126">
        <v>7370.6725625326326</v>
      </c>
      <c r="M907" s="126">
        <v>6.1791702465900098</v>
      </c>
      <c r="N907" s="126">
        <v>8876.157365422614</v>
      </c>
      <c r="O907" s="126">
        <v>7.984000887311864</v>
      </c>
      <c r="P907" s="123">
        <f t="shared" si="80"/>
        <v>-1505.4848028899814</v>
      </c>
      <c r="Q907" s="123">
        <f t="shared" si="81"/>
        <v>-1.8048306407218542</v>
      </c>
      <c r="R907" s="123">
        <f t="shared" si="78"/>
        <v>116212.73236926756</v>
      </c>
      <c r="S907" s="123">
        <f t="shared" si="79"/>
        <v>150803.86038081467</v>
      </c>
      <c r="T907" s="123">
        <f t="shared" si="82"/>
        <v>0</v>
      </c>
      <c r="U907" s="123">
        <f t="shared" si="83"/>
        <v>1</v>
      </c>
    </row>
    <row r="908" spans="11:21" x14ac:dyDescent="0.25">
      <c r="K908" s="123" t="s">
        <v>1017</v>
      </c>
      <c r="L908" s="126">
        <v>5620.7952344213491</v>
      </c>
      <c r="M908" s="126">
        <v>4.4940850273629316</v>
      </c>
      <c r="N908" s="126">
        <v>8305.3452168626245</v>
      </c>
      <c r="O908" s="126">
        <v>7.2436958495458139</v>
      </c>
      <c r="P908" s="123">
        <f t="shared" si="80"/>
        <v>-2684.5499824412755</v>
      </c>
      <c r="Q908" s="123">
        <f t="shared" si="81"/>
        <v>-2.7496108221828823</v>
      </c>
      <c r="R908" s="123">
        <f t="shared" si="78"/>
        <v>84260.905312837276</v>
      </c>
      <c r="S908" s="123">
        <f t="shared" si="79"/>
        <v>136568.57177405365</v>
      </c>
      <c r="T908" s="123">
        <f t="shared" si="82"/>
        <v>0</v>
      </c>
      <c r="U908" s="123">
        <f t="shared" si="83"/>
        <v>1</v>
      </c>
    </row>
    <row r="909" spans="11:21" x14ac:dyDescent="0.25">
      <c r="K909" s="123" t="s">
        <v>1018</v>
      </c>
      <c r="L909" s="126">
        <v>7840.7851445554134</v>
      </c>
      <c r="M909" s="126">
        <v>7.8257903809279608</v>
      </c>
      <c r="N909" s="126">
        <v>7670.4444805703151</v>
      </c>
      <c r="O909" s="126">
        <v>8.6872488402051946</v>
      </c>
      <c r="P909" s="123">
        <f t="shared" si="80"/>
        <v>170.34066398509822</v>
      </c>
      <c r="Q909" s="123">
        <f t="shared" si="81"/>
        <v>-0.86145845927723386</v>
      </c>
      <c r="R909" s="123">
        <f t="shared" si="78"/>
        <v>148675.02247400381</v>
      </c>
      <c r="S909" s="123">
        <f t="shared" si="79"/>
        <v>166074.53232353358</v>
      </c>
      <c r="T909" s="123">
        <f t="shared" si="82"/>
        <v>0</v>
      </c>
      <c r="U909" s="123">
        <f t="shared" si="83"/>
        <v>1</v>
      </c>
    </row>
    <row r="910" spans="11:21" x14ac:dyDescent="0.25">
      <c r="K910" s="123" t="s">
        <v>1019</v>
      </c>
      <c r="L910" s="126">
        <v>10268.049821288812</v>
      </c>
      <c r="M910" s="126">
        <v>9.6282097175462127</v>
      </c>
      <c r="N910" s="126">
        <v>5961.4552138677645</v>
      </c>
      <c r="O910" s="126">
        <v>6.5150376760432831</v>
      </c>
      <c r="P910" s="123">
        <f t="shared" si="80"/>
        <v>4306.5946074210478</v>
      </c>
      <c r="Q910" s="123">
        <f t="shared" si="81"/>
        <v>3.1131720415029296</v>
      </c>
      <c r="R910" s="123">
        <f t="shared" si="78"/>
        <v>182296.14452963544</v>
      </c>
      <c r="S910" s="123">
        <f t="shared" si="79"/>
        <v>124339.29830699789</v>
      </c>
      <c r="T910" s="123">
        <f t="shared" si="82"/>
        <v>1</v>
      </c>
      <c r="U910" s="123">
        <f t="shared" si="83"/>
        <v>0</v>
      </c>
    </row>
    <row r="911" spans="11:21" x14ac:dyDescent="0.25">
      <c r="K911" s="123" t="s">
        <v>1020</v>
      </c>
      <c r="L911" s="126">
        <v>11480.730280620111</v>
      </c>
      <c r="M911" s="126">
        <v>10.460247689522641</v>
      </c>
      <c r="N911" s="126">
        <v>6202.034047666928</v>
      </c>
      <c r="O911" s="126">
        <v>5.6803427004054843</v>
      </c>
      <c r="P911" s="123">
        <f t="shared" si="80"/>
        <v>5278.6962329531834</v>
      </c>
      <c r="Q911" s="123">
        <f t="shared" si="81"/>
        <v>4.7799049891171563</v>
      </c>
      <c r="R911" s="123">
        <f t="shared" si="78"/>
        <v>197724.22350983272</v>
      </c>
      <c r="S911" s="123">
        <f t="shared" si="79"/>
        <v>107404.81996044276</v>
      </c>
      <c r="T911" s="123">
        <f t="shared" si="82"/>
        <v>1</v>
      </c>
      <c r="U911" s="123">
        <f t="shared" si="83"/>
        <v>0</v>
      </c>
    </row>
    <row r="912" spans="11:21" x14ac:dyDescent="0.25">
      <c r="K912" s="123" t="s">
        <v>1021</v>
      </c>
      <c r="L912" s="126">
        <v>10261.569086136906</v>
      </c>
      <c r="M912" s="126">
        <v>10.599618561851472</v>
      </c>
      <c r="N912" s="126">
        <v>5417.5556388848372</v>
      </c>
      <c r="O912" s="126">
        <v>5.5866596043041126</v>
      </c>
      <c r="P912" s="123">
        <f t="shared" si="80"/>
        <v>4844.0134472520685</v>
      </c>
      <c r="Q912" s="123">
        <f t="shared" si="81"/>
        <v>5.012958957547359</v>
      </c>
      <c r="R912" s="123">
        <f t="shared" si="78"/>
        <v>201730.80215089253</v>
      </c>
      <c r="S912" s="123">
        <f t="shared" si="79"/>
        <v>106315.63644719742</v>
      </c>
      <c r="T912" s="123">
        <f t="shared" si="82"/>
        <v>1</v>
      </c>
      <c r="U912" s="123">
        <f t="shared" si="83"/>
        <v>0</v>
      </c>
    </row>
    <row r="913" spans="11:21" x14ac:dyDescent="0.25">
      <c r="K913" s="123" t="s">
        <v>1022</v>
      </c>
      <c r="L913" s="126">
        <v>7559.4908304894961</v>
      </c>
      <c r="M913" s="126">
        <v>7.4441512280447784</v>
      </c>
      <c r="N913" s="126">
        <v>8392.1290702854367</v>
      </c>
      <c r="O913" s="126">
        <v>9.0503022723059594</v>
      </c>
      <c r="P913" s="123">
        <f t="shared" si="80"/>
        <v>-832.63823979594054</v>
      </c>
      <c r="Q913" s="123">
        <f t="shared" si="81"/>
        <v>-1.606151044261181</v>
      </c>
      <c r="R913" s="123">
        <f t="shared" ref="R913:R976" si="84">M913*willingness_to_pay-L913</f>
        <v>141323.53373040608</v>
      </c>
      <c r="S913" s="123">
        <f t="shared" ref="S913:S976" si="85">O913*willingness_to_pay-N913</f>
        <v>172613.91637583374</v>
      </c>
      <c r="T913" s="123">
        <f t="shared" si="82"/>
        <v>0</v>
      </c>
      <c r="U913" s="123">
        <f t="shared" si="83"/>
        <v>1</v>
      </c>
    </row>
    <row r="914" spans="11:21" x14ac:dyDescent="0.25">
      <c r="K914" s="123" t="s">
        <v>1023</v>
      </c>
      <c r="L914" s="126">
        <v>8172.4514243416197</v>
      </c>
      <c r="M914" s="126">
        <v>7.4783940252930297</v>
      </c>
      <c r="N914" s="126">
        <v>7824.492008624854</v>
      </c>
      <c r="O914" s="126">
        <v>8.5404808223896858</v>
      </c>
      <c r="P914" s="123">
        <f t="shared" ref="P914:P977" si="86">L914-N914</f>
        <v>347.95941571676576</v>
      </c>
      <c r="Q914" s="123">
        <f t="shared" ref="Q914:Q977" si="87">M914-O914</f>
        <v>-1.0620867970966561</v>
      </c>
      <c r="R914" s="123">
        <f t="shared" si="84"/>
        <v>141395.42908151896</v>
      </c>
      <c r="S914" s="123">
        <f t="shared" si="85"/>
        <v>162985.12443916887</v>
      </c>
      <c r="T914" s="123">
        <f t="shared" ref="T914:T977" si="88">IF(L914="", "",IF(R914=MAX(R914:S914),1,0))</f>
        <v>0</v>
      </c>
      <c r="U914" s="123">
        <f t="shared" ref="U914:U977" si="89">IF(N914="", "", IF(S914=MAX(R914:S914),1,0))</f>
        <v>1</v>
      </c>
    </row>
    <row r="915" spans="11:21" x14ac:dyDescent="0.25">
      <c r="K915" s="123" t="s">
        <v>1024</v>
      </c>
      <c r="L915" s="126">
        <v>9581.7714269708122</v>
      </c>
      <c r="M915" s="126">
        <v>7.8682161900409628</v>
      </c>
      <c r="N915" s="126">
        <v>9439.1816897177778</v>
      </c>
      <c r="O915" s="126">
        <v>7.9909995608098505</v>
      </c>
      <c r="P915" s="123">
        <f t="shared" si="86"/>
        <v>142.5897372530344</v>
      </c>
      <c r="Q915" s="123">
        <f t="shared" si="87"/>
        <v>-0.12278337076888768</v>
      </c>
      <c r="R915" s="123">
        <f t="shared" si="84"/>
        <v>147782.55237384845</v>
      </c>
      <c r="S915" s="123">
        <f t="shared" si="85"/>
        <v>150380.80952647922</v>
      </c>
      <c r="T915" s="123">
        <f t="shared" si="88"/>
        <v>0</v>
      </c>
      <c r="U915" s="123">
        <f t="shared" si="89"/>
        <v>1</v>
      </c>
    </row>
    <row r="916" spans="11:21" x14ac:dyDescent="0.25">
      <c r="K916" s="123" t="s">
        <v>1025</v>
      </c>
      <c r="L916" s="126">
        <v>8598.6906881216382</v>
      </c>
      <c r="M916" s="126">
        <v>7.8892944538784144</v>
      </c>
      <c r="N916" s="126">
        <v>7366.2865042023332</v>
      </c>
      <c r="O916" s="126">
        <v>7.6238146318858533</v>
      </c>
      <c r="P916" s="123">
        <f t="shared" si="86"/>
        <v>1232.4041839193051</v>
      </c>
      <c r="Q916" s="123">
        <f t="shared" si="87"/>
        <v>0.26547982199256115</v>
      </c>
      <c r="R916" s="123">
        <f t="shared" si="84"/>
        <v>149187.19838944665</v>
      </c>
      <c r="S916" s="123">
        <f t="shared" si="85"/>
        <v>145110.00613351475</v>
      </c>
      <c r="T916" s="123">
        <f t="shared" si="88"/>
        <v>1</v>
      </c>
      <c r="U916" s="123">
        <f t="shared" si="89"/>
        <v>0</v>
      </c>
    </row>
    <row r="917" spans="11:21" x14ac:dyDescent="0.25">
      <c r="K917" s="123" t="s">
        <v>1026</v>
      </c>
      <c r="L917" s="126">
        <v>4935.5163167271348</v>
      </c>
      <c r="M917" s="126">
        <v>5.3691819390489082</v>
      </c>
      <c r="N917" s="126">
        <v>5848.7557005540611</v>
      </c>
      <c r="O917" s="126">
        <v>6.6349919909512769</v>
      </c>
      <c r="P917" s="123">
        <f t="shared" si="86"/>
        <v>-913.23938382692631</v>
      </c>
      <c r="Q917" s="123">
        <f t="shared" si="87"/>
        <v>-1.2658100519023687</v>
      </c>
      <c r="R917" s="123">
        <f t="shared" si="84"/>
        <v>102448.12246425102</v>
      </c>
      <c r="S917" s="123">
        <f t="shared" si="85"/>
        <v>126851.08411847148</v>
      </c>
      <c r="T917" s="123">
        <f t="shared" si="88"/>
        <v>0</v>
      </c>
      <c r="U917" s="123">
        <f t="shared" si="89"/>
        <v>1</v>
      </c>
    </row>
    <row r="918" spans="11:21" x14ac:dyDescent="0.25">
      <c r="K918" s="123" t="s">
        <v>1027</v>
      </c>
      <c r="L918" s="126">
        <v>5647.2343030894554</v>
      </c>
      <c r="M918" s="126">
        <v>5.2740784118908639</v>
      </c>
      <c r="N918" s="126">
        <v>5778.4439136377641</v>
      </c>
      <c r="O918" s="126">
        <v>6.1049990797552374</v>
      </c>
      <c r="P918" s="123">
        <f t="shared" si="86"/>
        <v>-131.20961054830877</v>
      </c>
      <c r="Q918" s="123">
        <f t="shared" si="87"/>
        <v>-0.83092066786437346</v>
      </c>
      <c r="R918" s="123">
        <f t="shared" si="84"/>
        <v>99834.333934727823</v>
      </c>
      <c r="S918" s="123">
        <f t="shared" si="85"/>
        <v>116321.53768146699</v>
      </c>
      <c r="T918" s="123">
        <f t="shared" si="88"/>
        <v>0</v>
      </c>
      <c r="U918" s="123">
        <f t="shared" si="89"/>
        <v>1</v>
      </c>
    </row>
    <row r="919" spans="11:21" x14ac:dyDescent="0.25">
      <c r="K919" s="123" t="s">
        <v>1028</v>
      </c>
      <c r="L919" s="126">
        <v>7441.8426735641024</v>
      </c>
      <c r="M919" s="126">
        <v>7.906487396010073</v>
      </c>
      <c r="N919" s="126">
        <v>4873.7795365097063</v>
      </c>
      <c r="O919" s="126">
        <v>5.7202754186563523</v>
      </c>
      <c r="P919" s="123">
        <f t="shared" si="86"/>
        <v>2568.0631370543961</v>
      </c>
      <c r="Q919" s="123">
        <f t="shared" si="87"/>
        <v>2.1862119773537207</v>
      </c>
      <c r="R919" s="123">
        <f t="shared" si="84"/>
        <v>150687.90524663735</v>
      </c>
      <c r="S919" s="123">
        <f t="shared" si="85"/>
        <v>109531.72883661733</v>
      </c>
      <c r="T919" s="123">
        <f t="shared" si="88"/>
        <v>1</v>
      </c>
      <c r="U919" s="123">
        <f t="shared" si="89"/>
        <v>0</v>
      </c>
    </row>
    <row r="920" spans="11:21" x14ac:dyDescent="0.25">
      <c r="K920" s="123" t="s">
        <v>1029</v>
      </c>
      <c r="L920" s="126">
        <v>9716.5525468403503</v>
      </c>
      <c r="M920" s="126">
        <v>10.272893983153496</v>
      </c>
      <c r="N920" s="126">
        <v>4493.0593510437311</v>
      </c>
      <c r="O920" s="126">
        <v>5.0612007425280723</v>
      </c>
      <c r="P920" s="123">
        <f t="shared" si="86"/>
        <v>5223.4931957966191</v>
      </c>
      <c r="Q920" s="123">
        <f t="shared" si="87"/>
        <v>5.2116932406254239</v>
      </c>
      <c r="R920" s="123">
        <f t="shared" si="84"/>
        <v>195741.32711622957</v>
      </c>
      <c r="S920" s="123">
        <f t="shared" si="85"/>
        <v>96730.955499517717</v>
      </c>
      <c r="T920" s="123">
        <f t="shared" si="88"/>
        <v>1</v>
      </c>
      <c r="U920" s="123">
        <f t="shared" si="89"/>
        <v>0</v>
      </c>
    </row>
    <row r="921" spans="11:21" x14ac:dyDescent="0.25">
      <c r="K921" s="123" t="s">
        <v>1030</v>
      </c>
      <c r="L921" s="126">
        <v>7107.8069386514599</v>
      </c>
      <c r="M921" s="126">
        <v>5.9694073512675363</v>
      </c>
      <c r="N921" s="126">
        <v>6607.4243386126473</v>
      </c>
      <c r="O921" s="126">
        <v>5.941891287268195</v>
      </c>
      <c r="P921" s="123">
        <f t="shared" si="86"/>
        <v>500.3826000388126</v>
      </c>
      <c r="Q921" s="123">
        <f t="shared" si="87"/>
        <v>2.7516063999341256E-2</v>
      </c>
      <c r="R921" s="123">
        <f t="shared" si="84"/>
        <v>112280.34008669927</v>
      </c>
      <c r="S921" s="123">
        <f t="shared" si="85"/>
        <v>112230.40140675125</v>
      </c>
      <c r="T921" s="123">
        <f t="shared" si="88"/>
        <v>1</v>
      </c>
      <c r="U921" s="123">
        <f t="shared" si="89"/>
        <v>0</v>
      </c>
    </row>
    <row r="922" spans="11:21" x14ac:dyDescent="0.25">
      <c r="K922" s="123" t="s">
        <v>1031</v>
      </c>
      <c r="L922" s="126">
        <v>6571.0416556445298</v>
      </c>
      <c r="M922" s="126">
        <v>6.128545358544816</v>
      </c>
      <c r="N922" s="126">
        <v>6383.3308498579099</v>
      </c>
      <c r="O922" s="126">
        <v>6.3276572873724488</v>
      </c>
      <c r="P922" s="123">
        <f t="shared" si="86"/>
        <v>187.71080578661986</v>
      </c>
      <c r="Q922" s="123">
        <f t="shared" si="87"/>
        <v>-0.19911192882763284</v>
      </c>
      <c r="R922" s="123">
        <f t="shared" si="84"/>
        <v>115999.86551525179</v>
      </c>
      <c r="S922" s="123">
        <f t="shared" si="85"/>
        <v>120169.81489759106</v>
      </c>
      <c r="T922" s="123">
        <f t="shared" si="88"/>
        <v>0</v>
      </c>
      <c r="U922" s="123">
        <f t="shared" si="89"/>
        <v>1</v>
      </c>
    </row>
    <row r="923" spans="11:21" x14ac:dyDescent="0.25">
      <c r="K923" s="123" t="s">
        <v>1032</v>
      </c>
      <c r="L923" s="126">
        <v>8170.4859360692662</v>
      </c>
      <c r="M923" s="126">
        <v>7.2866584146201232</v>
      </c>
      <c r="N923" s="126">
        <v>8326.6683395298915</v>
      </c>
      <c r="O923" s="126">
        <v>7.976419666271191</v>
      </c>
      <c r="P923" s="123">
        <f t="shared" si="86"/>
        <v>-156.18240346062521</v>
      </c>
      <c r="Q923" s="123">
        <f t="shared" si="87"/>
        <v>-0.68976125165106783</v>
      </c>
      <c r="R923" s="123">
        <f t="shared" si="84"/>
        <v>137562.68235633319</v>
      </c>
      <c r="S923" s="123">
        <f t="shared" si="85"/>
        <v>151201.72498589393</v>
      </c>
      <c r="T923" s="123">
        <f t="shared" si="88"/>
        <v>0</v>
      </c>
      <c r="U923" s="123">
        <f t="shared" si="89"/>
        <v>1</v>
      </c>
    </row>
    <row r="924" spans="11:21" x14ac:dyDescent="0.25">
      <c r="K924" s="123" t="s">
        <v>1033</v>
      </c>
      <c r="L924" s="126">
        <v>8650.8199503098003</v>
      </c>
      <c r="M924" s="126">
        <v>8.7372682104557171</v>
      </c>
      <c r="N924" s="126">
        <v>5749.2011495002207</v>
      </c>
      <c r="O924" s="126">
        <v>6.0045577609230465</v>
      </c>
      <c r="P924" s="123">
        <f t="shared" si="86"/>
        <v>2901.6188008095796</v>
      </c>
      <c r="Q924" s="123">
        <f t="shared" si="87"/>
        <v>2.7327104495326706</v>
      </c>
      <c r="R924" s="123">
        <f t="shared" si="84"/>
        <v>166094.54425880453</v>
      </c>
      <c r="S924" s="123">
        <f t="shared" si="85"/>
        <v>114341.95406896071</v>
      </c>
      <c r="T924" s="123">
        <f t="shared" si="88"/>
        <v>1</v>
      </c>
      <c r="U924" s="123">
        <f t="shared" si="89"/>
        <v>0</v>
      </c>
    </row>
    <row r="925" spans="11:21" x14ac:dyDescent="0.25">
      <c r="K925" s="123" t="s">
        <v>1034</v>
      </c>
      <c r="L925" s="126">
        <v>4621.4615808480721</v>
      </c>
      <c r="M925" s="126">
        <v>3.8641107516462641</v>
      </c>
      <c r="N925" s="126">
        <v>6562.1232090702852</v>
      </c>
      <c r="O925" s="126">
        <v>6.0185092422772373</v>
      </c>
      <c r="P925" s="123">
        <f t="shared" si="86"/>
        <v>-1940.661628222213</v>
      </c>
      <c r="Q925" s="123">
        <f t="shared" si="87"/>
        <v>-2.1543984906309732</v>
      </c>
      <c r="R925" s="123">
        <f t="shared" si="84"/>
        <v>72660.753452077202</v>
      </c>
      <c r="S925" s="123">
        <f t="shared" si="85"/>
        <v>113808.06163647446</v>
      </c>
      <c r="T925" s="123">
        <f t="shared" si="88"/>
        <v>0</v>
      </c>
      <c r="U925" s="123">
        <f t="shared" si="89"/>
        <v>1</v>
      </c>
    </row>
    <row r="926" spans="11:21" x14ac:dyDescent="0.25">
      <c r="K926" s="123" t="s">
        <v>1035</v>
      </c>
      <c r="L926" s="126">
        <v>7420.5407192255416</v>
      </c>
      <c r="M926" s="126">
        <v>6.4408289518940558</v>
      </c>
      <c r="N926" s="126">
        <v>6086.5365857378974</v>
      </c>
      <c r="O926" s="126">
        <v>5.5918497583488715</v>
      </c>
      <c r="P926" s="123">
        <f t="shared" si="86"/>
        <v>1334.0041334876441</v>
      </c>
      <c r="Q926" s="123">
        <f t="shared" si="87"/>
        <v>0.84897919354518425</v>
      </c>
      <c r="R926" s="123">
        <f t="shared" si="84"/>
        <v>121396.03831865558</v>
      </c>
      <c r="S926" s="123">
        <f t="shared" si="85"/>
        <v>105750.45858123954</v>
      </c>
      <c r="T926" s="123">
        <f t="shared" si="88"/>
        <v>1</v>
      </c>
      <c r="U926" s="123">
        <f t="shared" si="89"/>
        <v>0</v>
      </c>
    </row>
    <row r="927" spans="11:21" x14ac:dyDescent="0.25">
      <c r="K927" s="123" t="s">
        <v>1036</v>
      </c>
      <c r="L927" s="126">
        <v>7618.9990912457597</v>
      </c>
      <c r="M927" s="126">
        <v>7.5906351672744421</v>
      </c>
      <c r="N927" s="126">
        <v>5149.6159132131706</v>
      </c>
      <c r="O927" s="126">
        <v>5.5396850703282325</v>
      </c>
      <c r="P927" s="123">
        <f t="shared" si="86"/>
        <v>2469.3831780325891</v>
      </c>
      <c r="Q927" s="123">
        <f t="shared" si="87"/>
        <v>2.0509500969462096</v>
      </c>
      <c r="R927" s="123">
        <f t="shared" si="84"/>
        <v>144193.70425424309</v>
      </c>
      <c r="S927" s="123">
        <f t="shared" si="85"/>
        <v>105644.08549335148</v>
      </c>
      <c r="T927" s="123">
        <f t="shared" si="88"/>
        <v>1</v>
      </c>
      <c r="U927" s="123">
        <f t="shared" si="89"/>
        <v>0</v>
      </c>
    </row>
    <row r="928" spans="11:21" x14ac:dyDescent="0.25">
      <c r="K928" s="123" t="s">
        <v>1037</v>
      </c>
      <c r="L928" s="126">
        <v>9517.8281529261258</v>
      </c>
      <c r="M928" s="126">
        <v>9.495428820081333</v>
      </c>
      <c r="N928" s="126">
        <v>5644.4881280086574</v>
      </c>
      <c r="O928" s="126">
        <v>6.0033711567543113</v>
      </c>
      <c r="P928" s="123">
        <f t="shared" si="86"/>
        <v>3873.3400249174683</v>
      </c>
      <c r="Q928" s="123">
        <f t="shared" si="87"/>
        <v>3.4920576633270217</v>
      </c>
      <c r="R928" s="123">
        <f t="shared" si="84"/>
        <v>180390.74824870055</v>
      </c>
      <c r="S928" s="123">
        <f t="shared" si="85"/>
        <v>114422.93500707757</v>
      </c>
      <c r="T928" s="123">
        <f t="shared" si="88"/>
        <v>1</v>
      </c>
      <c r="U928" s="123">
        <f t="shared" si="89"/>
        <v>0</v>
      </c>
    </row>
    <row r="929" spans="11:21" x14ac:dyDescent="0.25">
      <c r="K929" s="123" t="s">
        <v>1038</v>
      </c>
      <c r="L929" s="126">
        <v>11107.211081332445</v>
      </c>
      <c r="M929" s="126">
        <v>9.5571229744622741</v>
      </c>
      <c r="N929" s="126">
        <v>7060.3433516231853</v>
      </c>
      <c r="O929" s="126">
        <v>5.6492696189778639</v>
      </c>
      <c r="P929" s="123">
        <f t="shared" si="86"/>
        <v>4046.8677297092599</v>
      </c>
      <c r="Q929" s="123">
        <f t="shared" si="87"/>
        <v>3.9078533554844102</v>
      </c>
      <c r="R929" s="123">
        <f t="shared" si="84"/>
        <v>180035.24840791305</v>
      </c>
      <c r="S929" s="123">
        <f t="shared" si="85"/>
        <v>105925.04902793409</v>
      </c>
      <c r="T929" s="123">
        <f t="shared" si="88"/>
        <v>1</v>
      </c>
      <c r="U929" s="123">
        <f t="shared" si="89"/>
        <v>0</v>
      </c>
    </row>
    <row r="930" spans="11:21" x14ac:dyDescent="0.25">
      <c r="K930" s="123" t="s">
        <v>1039</v>
      </c>
      <c r="L930" s="126">
        <v>13166.402576941444</v>
      </c>
      <c r="M930" s="126">
        <v>11.929281455861341</v>
      </c>
      <c r="N930" s="126">
        <v>7179.537437642025</v>
      </c>
      <c r="O930" s="126">
        <v>6.9887483911910602</v>
      </c>
      <c r="P930" s="123">
        <f t="shared" si="86"/>
        <v>5986.8651392994188</v>
      </c>
      <c r="Q930" s="123">
        <f t="shared" si="87"/>
        <v>4.940533064670281</v>
      </c>
      <c r="R930" s="123">
        <f t="shared" si="84"/>
        <v>225419.22654028537</v>
      </c>
      <c r="S930" s="123">
        <f t="shared" si="85"/>
        <v>132595.43038617919</v>
      </c>
      <c r="T930" s="123">
        <f t="shared" si="88"/>
        <v>1</v>
      </c>
      <c r="U930" s="123">
        <f t="shared" si="89"/>
        <v>0</v>
      </c>
    </row>
    <row r="931" spans="11:21" x14ac:dyDescent="0.25">
      <c r="K931" s="123" t="s">
        <v>1040</v>
      </c>
      <c r="L931" s="126">
        <v>7707.1495122596161</v>
      </c>
      <c r="M931" s="126">
        <v>7.3451875121303809</v>
      </c>
      <c r="N931" s="126">
        <v>8038.3477131274203</v>
      </c>
      <c r="O931" s="126">
        <v>8.5949862117565239</v>
      </c>
      <c r="P931" s="123">
        <f t="shared" si="86"/>
        <v>-331.19820086780419</v>
      </c>
      <c r="Q931" s="123">
        <f t="shared" si="87"/>
        <v>-1.249798699626143</v>
      </c>
      <c r="R931" s="123">
        <f t="shared" si="84"/>
        <v>139196.600730348</v>
      </c>
      <c r="S931" s="123">
        <f t="shared" si="85"/>
        <v>163861.37652200306</v>
      </c>
      <c r="T931" s="123">
        <f t="shared" si="88"/>
        <v>0</v>
      </c>
      <c r="U931" s="123">
        <f t="shared" si="89"/>
        <v>1</v>
      </c>
    </row>
    <row r="932" spans="11:21" x14ac:dyDescent="0.25">
      <c r="K932" s="123" t="s">
        <v>1041</v>
      </c>
      <c r="L932" s="126">
        <v>6208.4737749833994</v>
      </c>
      <c r="M932" s="126">
        <v>5.0896598192217679</v>
      </c>
      <c r="N932" s="126">
        <v>7216.5550259384727</v>
      </c>
      <c r="O932" s="126">
        <v>6.3005700993889535</v>
      </c>
      <c r="P932" s="123">
        <f t="shared" si="86"/>
        <v>-1008.0812509550733</v>
      </c>
      <c r="Q932" s="123">
        <f t="shared" si="87"/>
        <v>-1.2109102801671856</v>
      </c>
      <c r="R932" s="123">
        <f t="shared" si="84"/>
        <v>95584.722609451957</v>
      </c>
      <c r="S932" s="123">
        <f t="shared" si="85"/>
        <v>118794.84696184059</v>
      </c>
      <c r="T932" s="123">
        <f t="shared" si="88"/>
        <v>0</v>
      </c>
      <c r="U932" s="123">
        <f t="shared" si="89"/>
        <v>1</v>
      </c>
    </row>
    <row r="933" spans="11:21" x14ac:dyDescent="0.25">
      <c r="K933" s="123" t="s">
        <v>1042</v>
      </c>
      <c r="L933" s="126">
        <v>8776.5345298081775</v>
      </c>
      <c r="M933" s="126">
        <v>7.4028123180225069</v>
      </c>
      <c r="N933" s="126">
        <v>7777.2575907940645</v>
      </c>
      <c r="O933" s="126">
        <v>6.9919415473729032</v>
      </c>
      <c r="P933" s="123">
        <f t="shared" si="86"/>
        <v>999.27693901411294</v>
      </c>
      <c r="Q933" s="123">
        <f t="shared" si="87"/>
        <v>0.41087077064960376</v>
      </c>
      <c r="R933" s="123">
        <f t="shared" si="84"/>
        <v>139279.71183064196</v>
      </c>
      <c r="S933" s="123">
        <f t="shared" si="85"/>
        <v>132061.57335666401</v>
      </c>
      <c r="T933" s="123">
        <f t="shared" si="88"/>
        <v>1</v>
      </c>
      <c r="U933" s="123">
        <f t="shared" si="89"/>
        <v>0</v>
      </c>
    </row>
    <row r="934" spans="11:21" x14ac:dyDescent="0.25">
      <c r="K934" s="123" t="s">
        <v>1043</v>
      </c>
      <c r="L934" s="126">
        <v>7888.305035650601</v>
      </c>
      <c r="M934" s="126">
        <v>8.0118609189717187</v>
      </c>
      <c r="N934" s="126">
        <v>7993.3444173644039</v>
      </c>
      <c r="O934" s="126">
        <v>8.970352915459074</v>
      </c>
      <c r="P934" s="123">
        <f t="shared" si="86"/>
        <v>-105.03938171380287</v>
      </c>
      <c r="Q934" s="123">
        <f t="shared" si="87"/>
        <v>-0.95849199648735528</v>
      </c>
      <c r="R934" s="123">
        <f t="shared" si="84"/>
        <v>152348.91334378376</v>
      </c>
      <c r="S934" s="123">
        <f t="shared" si="85"/>
        <v>171413.71389181708</v>
      </c>
      <c r="T934" s="123">
        <f t="shared" si="88"/>
        <v>0</v>
      </c>
      <c r="U934" s="123">
        <f t="shared" si="89"/>
        <v>1</v>
      </c>
    </row>
    <row r="935" spans="11:21" x14ac:dyDescent="0.25">
      <c r="K935" s="123" t="s">
        <v>1044</v>
      </c>
      <c r="L935" s="126">
        <v>9257.8805500006674</v>
      </c>
      <c r="M935" s="126">
        <v>8.2940894871725543</v>
      </c>
      <c r="N935" s="126">
        <v>8742.1200280272351</v>
      </c>
      <c r="O935" s="126">
        <v>9.149990586036111</v>
      </c>
      <c r="P935" s="123">
        <f t="shared" si="86"/>
        <v>515.76052197343233</v>
      </c>
      <c r="Q935" s="123">
        <f t="shared" si="87"/>
        <v>-0.8559010988635567</v>
      </c>
      <c r="R935" s="123">
        <f t="shared" si="84"/>
        <v>156623.90919345041</v>
      </c>
      <c r="S935" s="123">
        <f t="shared" si="85"/>
        <v>174257.69169269496</v>
      </c>
      <c r="T935" s="123">
        <f t="shared" si="88"/>
        <v>0</v>
      </c>
      <c r="U935" s="123">
        <f t="shared" si="89"/>
        <v>1</v>
      </c>
    </row>
    <row r="936" spans="11:21" x14ac:dyDescent="0.25">
      <c r="K936" s="123" t="s">
        <v>1045</v>
      </c>
      <c r="L936" s="126">
        <v>9728.4036177492471</v>
      </c>
      <c r="M936" s="126">
        <v>9.7103027260542252</v>
      </c>
      <c r="N936" s="126">
        <v>5258.2475791907418</v>
      </c>
      <c r="O936" s="126">
        <v>5.9070503236896563</v>
      </c>
      <c r="P936" s="123">
        <f t="shared" si="86"/>
        <v>4470.1560385585053</v>
      </c>
      <c r="Q936" s="123">
        <f t="shared" si="87"/>
        <v>3.8032524023645689</v>
      </c>
      <c r="R936" s="123">
        <f t="shared" si="84"/>
        <v>184477.65090333525</v>
      </c>
      <c r="S936" s="123">
        <f t="shared" si="85"/>
        <v>112882.75889460239</v>
      </c>
      <c r="T936" s="123">
        <f t="shared" si="88"/>
        <v>1</v>
      </c>
      <c r="U936" s="123">
        <f t="shared" si="89"/>
        <v>0</v>
      </c>
    </row>
    <row r="937" spans="11:21" x14ac:dyDescent="0.25">
      <c r="K937" s="123" t="s">
        <v>1046</v>
      </c>
      <c r="L937" s="126">
        <v>8463.8794332441958</v>
      </c>
      <c r="M937" s="126">
        <v>8.3584053403266854</v>
      </c>
      <c r="N937" s="126">
        <v>6728.7305752763787</v>
      </c>
      <c r="O937" s="126">
        <v>7.3442205307701975</v>
      </c>
      <c r="P937" s="123">
        <f t="shared" si="86"/>
        <v>1735.1488579678171</v>
      </c>
      <c r="Q937" s="123">
        <f t="shared" si="87"/>
        <v>1.0141848095564878</v>
      </c>
      <c r="R937" s="123">
        <f t="shared" si="84"/>
        <v>158704.2273732895</v>
      </c>
      <c r="S937" s="123">
        <f t="shared" si="85"/>
        <v>140155.6800401276</v>
      </c>
      <c r="T937" s="123">
        <f t="shared" si="88"/>
        <v>1</v>
      </c>
      <c r="U937" s="123">
        <f t="shared" si="89"/>
        <v>0</v>
      </c>
    </row>
    <row r="938" spans="11:21" x14ac:dyDescent="0.25">
      <c r="K938" s="123" t="s">
        <v>1047</v>
      </c>
      <c r="L938" s="126">
        <v>13155.34664583662</v>
      </c>
      <c r="M938" s="126">
        <v>12.542555006166351</v>
      </c>
      <c r="N938" s="126">
        <v>7957.5711720930967</v>
      </c>
      <c r="O938" s="126">
        <v>7.7326076084127457</v>
      </c>
      <c r="P938" s="123">
        <f t="shared" si="86"/>
        <v>5197.7754737435234</v>
      </c>
      <c r="Q938" s="123">
        <f t="shared" si="87"/>
        <v>4.8099473977536054</v>
      </c>
      <c r="R938" s="123">
        <f t="shared" si="84"/>
        <v>237695.75347749039</v>
      </c>
      <c r="S938" s="123">
        <f t="shared" si="85"/>
        <v>146694.58099616182</v>
      </c>
      <c r="T938" s="123">
        <f t="shared" si="88"/>
        <v>1</v>
      </c>
      <c r="U938" s="123">
        <f t="shared" si="89"/>
        <v>0</v>
      </c>
    </row>
    <row r="939" spans="11:21" x14ac:dyDescent="0.25">
      <c r="K939" s="123" t="s">
        <v>1048</v>
      </c>
      <c r="L939" s="126">
        <v>10374.859233414554</v>
      </c>
      <c r="M939" s="126">
        <v>10.249220384641472</v>
      </c>
      <c r="N939" s="126">
        <v>7025.3906718940771</v>
      </c>
      <c r="O939" s="126">
        <v>7.3728367269403137</v>
      </c>
      <c r="P939" s="123">
        <f t="shared" si="86"/>
        <v>3349.4685615204771</v>
      </c>
      <c r="Q939" s="123">
        <f t="shared" si="87"/>
        <v>2.8763836577011581</v>
      </c>
      <c r="R939" s="123">
        <f t="shared" si="84"/>
        <v>194609.54845941489</v>
      </c>
      <c r="S939" s="123">
        <f t="shared" si="85"/>
        <v>140431.34386691221</v>
      </c>
      <c r="T939" s="123">
        <f t="shared" si="88"/>
        <v>1</v>
      </c>
      <c r="U939" s="123">
        <f t="shared" si="89"/>
        <v>0</v>
      </c>
    </row>
    <row r="940" spans="11:21" x14ac:dyDescent="0.25">
      <c r="K940" s="123" t="s">
        <v>1049</v>
      </c>
      <c r="L940" s="126">
        <v>7914.1726860763802</v>
      </c>
      <c r="M940" s="126">
        <v>7.8543297401746557</v>
      </c>
      <c r="N940" s="126">
        <v>5963.4114366674994</v>
      </c>
      <c r="O940" s="126">
        <v>6.141974625109957</v>
      </c>
      <c r="P940" s="123">
        <f t="shared" si="86"/>
        <v>1950.7612494088808</v>
      </c>
      <c r="Q940" s="123">
        <f t="shared" si="87"/>
        <v>1.7123551150646987</v>
      </c>
      <c r="R940" s="123">
        <f t="shared" si="84"/>
        <v>149172.42211741675</v>
      </c>
      <c r="S940" s="123">
        <f t="shared" si="85"/>
        <v>116876.08106553163</v>
      </c>
      <c r="T940" s="123">
        <f t="shared" si="88"/>
        <v>1</v>
      </c>
      <c r="U940" s="123">
        <f t="shared" si="89"/>
        <v>0</v>
      </c>
    </row>
    <row r="941" spans="11:21" x14ac:dyDescent="0.25">
      <c r="K941" s="123" t="s">
        <v>1050</v>
      </c>
      <c r="L941" s="126">
        <v>8759.8065095042239</v>
      </c>
      <c r="M941" s="126">
        <v>8.3583753957481086</v>
      </c>
      <c r="N941" s="126">
        <v>8849.7449659501344</v>
      </c>
      <c r="O941" s="126">
        <v>10.19151791555899</v>
      </c>
      <c r="P941" s="123">
        <f t="shared" si="86"/>
        <v>-89.93845644591056</v>
      </c>
      <c r="Q941" s="123">
        <f t="shared" si="87"/>
        <v>-1.8331425198108811</v>
      </c>
      <c r="R941" s="123">
        <f t="shared" si="84"/>
        <v>158407.70140545795</v>
      </c>
      <c r="S941" s="123">
        <f t="shared" si="85"/>
        <v>194980.61334522965</v>
      </c>
      <c r="T941" s="123">
        <f t="shared" si="88"/>
        <v>0</v>
      </c>
      <c r="U941" s="123">
        <f t="shared" si="89"/>
        <v>1</v>
      </c>
    </row>
    <row r="942" spans="11:21" x14ac:dyDescent="0.25">
      <c r="K942" s="123" t="s">
        <v>1051</v>
      </c>
      <c r="L942" s="126">
        <v>9245.5485402593622</v>
      </c>
      <c r="M942" s="126">
        <v>10.27953552887465</v>
      </c>
      <c r="N942" s="126">
        <v>4817.7596009707149</v>
      </c>
      <c r="O942" s="126">
        <v>5.4221595315624045</v>
      </c>
      <c r="P942" s="123">
        <f t="shared" si="86"/>
        <v>4427.7889392886473</v>
      </c>
      <c r="Q942" s="123">
        <f t="shared" si="87"/>
        <v>4.8573759973122455</v>
      </c>
      <c r="R942" s="123">
        <f t="shared" si="84"/>
        <v>196345.16203723365</v>
      </c>
      <c r="S942" s="123">
        <f t="shared" si="85"/>
        <v>103625.43103027737</v>
      </c>
      <c r="T942" s="123">
        <f t="shared" si="88"/>
        <v>1</v>
      </c>
      <c r="U942" s="123">
        <f t="shared" si="89"/>
        <v>0</v>
      </c>
    </row>
    <row r="943" spans="11:21" x14ac:dyDescent="0.25">
      <c r="K943" s="123" t="s">
        <v>1052</v>
      </c>
      <c r="L943" s="126">
        <v>8741.5334388276842</v>
      </c>
      <c r="M943" s="126">
        <v>8.013319593969559</v>
      </c>
      <c r="N943" s="126">
        <v>7055.9054550845731</v>
      </c>
      <c r="O943" s="126">
        <v>7.0648433072373029</v>
      </c>
      <c r="P943" s="123">
        <f t="shared" si="86"/>
        <v>1685.6279837431111</v>
      </c>
      <c r="Q943" s="123">
        <f t="shared" si="87"/>
        <v>0.94847628673225604</v>
      </c>
      <c r="R943" s="123">
        <f t="shared" si="84"/>
        <v>151524.85844056349</v>
      </c>
      <c r="S943" s="123">
        <f t="shared" si="85"/>
        <v>134240.96068966147</v>
      </c>
      <c r="T943" s="123">
        <f t="shared" si="88"/>
        <v>1</v>
      </c>
      <c r="U943" s="123">
        <f t="shared" si="89"/>
        <v>0</v>
      </c>
    </row>
    <row r="944" spans="11:21" x14ac:dyDescent="0.25">
      <c r="K944" s="123" t="s">
        <v>1053</v>
      </c>
      <c r="L944" s="126">
        <v>6563.1598244988518</v>
      </c>
      <c r="M944" s="126">
        <v>5.6008874216376778</v>
      </c>
      <c r="N944" s="126">
        <v>7049.8069855613712</v>
      </c>
      <c r="O944" s="126">
        <v>6.9667593428187029</v>
      </c>
      <c r="P944" s="123">
        <f t="shared" si="86"/>
        <v>-486.64716106251944</v>
      </c>
      <c r="Q944" s="123">
        <f t="shared" si="87"/>
        <v>-1.3658719211810251</v>
      </c>
      <c r="R944" s="123">
        <f t="shared" si="84"/>
        <v>105454.58860825469</v>
      </c>
      <c r="S944" s="123">
        <f t="shared" si="85"/>
        <v>132285.3798708127</v>
      </c>
      <c r="T944" s="123">
        <f t="shared" si="88"/>
        <v>0</v>
      </c>
      <c r="U944" s="123">
        <f t="shared" si="89"/>
        <v>1</v>
      </c>
    </row>
    <row r="945" spans="11:21" x14ac:dyDescent="0.25">
      <c r="K945" s="123" t="s">
        <v>1054</v>
      </c>
      <c r="L945" s="126">
        <v>8090.4303279069136</v>
      </c>
      <c r="M945" s="126">
        <v>6.5941043441892573</v>
      </c>
      <c r="N945" s="126">
        <v>8695.9638210926405</v>
      </c>
      <c r="O945" s="126">
        <v>7.7425445308636007</v>
      </c>
      <c r="P945" s="123">
        <f t="shared" si="86"/>
        <v>-605.53349318572691</v>
      </c>
      <c r="Q945" s="123">
        <f t="shared" si="87"/>
        <v>-1.1484401866743434</v>
      </c>
      <c r="R945" s="123">
        <f t="shared" si="84"/>
        <v>123791.65655587823</v>
      </c>
      <c r="S945" s="123">
        <f t="shared" si="85"/>
        <v>146154.92679617935</v>
      </c>
      <c r="T945" s="123">
        <f t="shared" si="88"/>
        <v>0</v>
      </c>
      <c r="U945" s="123">
        <f t="shared" si="89"/>
        <v>1</v>
      </c>
    </row>
    <row r="946" spans="11:21" x14ac:dyDescent="0.25">
      <c r="K946" s="123" t="s">
        <v>1055</v>
      </c>
      <c r="L946" s="126">
        <v>7662.2757603823011</v>
      </c>
      <c r="M946" s="126">
        <v>5.5496035533932533</v>
      </c>
      <c r="N946" s="126">
        <v>9088.4152176068073</v>
      </c>
      <c r="O946" s="126">
        <v>6.9498375551163463</v>
      </c>
      <c r="P946" s="123">
        <f t="shared" si="86"/>
        <v>-1426.1394572245063</v>
      </c>
      <c r="Q946" s="123">
        <f t="shared" si="87"/>
        <v>-1.400234001723093</v>
      </c>
      <c r="R946" s="123">
        <f t="shared" si="84"/>
        <v>103329.79530748277</v>
      </c>
      <c r="S946" s="123">
        <f t="shared" si="85"/>
        <v>129908.33588472013</v>
      </c>
      <c r="T946" s="123">
        <f t="shared" si="88"/>
        <v>0</v>
      </c>
      <c r="U946" s="123">
        <f t="shared" si="89"/>
        <v>1</v>
      </c>
    </row>
    <row r="947" spans="11:21" x14ac:dyDescent="0.25">
      <c r="K947" s="123" t="s">
        <v>1056</v>
      </c>
      <c r="L947" s="126">
        <v>9464.790528599453</v>
      </c>
      <c r="M947" s="126">
        <v>9.1076895373734619</v>
      </c>
      <c r="N947" s="126">
        <v>6592.1579021622238</v>
      </c>
      <c r="O947" s="126">
        <v>7.0727558036047373</v>
      </c>
      <c r="P947" s="123">
        <f t="shared" si="86"/>
        <v>2872.6326264372292</v>
      </c>
      <c r="Q947" s="123">
        <f t="shared" si="87"/>
        <v>2.0349337337687246</v>
      </c>
      <c r="R947" s="123">
        <f t="shared" si="84"/>
        <v>172689.00021886977</v>
      </c>
      <c r="S947" s="123">
        <f t="shared" si="85"/>
        <v>134862.95816993251</v>
      </c>
      <c r="T947" s="123">
        <f t="shared" si="88"/>
        <v>1</v>
      </c>
      <c r="U947" s="123">
        <f t="shared" si="89"/>
        <v>0</v>
      </c>
    </row>
    <row r="948" spans="11:21" x14ac:dyDescent="0.25">
      <c r="K948" s="123" t="s">
        <v>1057</v>
      </c>
      <c r="L948" s="126">
        <v>5801.6274364987094</v>
      </c>
      <c r="M948" s="126">
        <v>5.2857490983496467</v>
      </c>
      <c r="N948" s="126">
        <v>5682.3478774668511</v>
      </c>
      <c r="O948" s="126">
        <v>6.0462009125390592</v>
      </c>
      <c r="P948" s="123">
        <f t="shared" si="86"/>
        <v>119.2795590318583</v>
      </c>
      <c r="Q948" s="123">
        <f t="shared" si="87"/>
        <v>-0.76045181418941254</v>
      </c>
      <c r="R948" s="123">
        <f t="shared" si="84"/>
        <v>99913.354530494224</v>
      </c>
      <c r="S948" s="123">
        <f t="shared" si="85"/>
        <v>115241.67037331434</v>
      </c>
      <c r="T948" s="123">
        <f t="shared" si="88"/>
        <v>0</v>
      </c>
      <c r="U948" s="123">
        <f t="shared" si="89"/>
        <v>1</v>
      </c>
    </row>
    <row r="949" spans="11:21" x14ac:dyDescent="0.25">
      <c r="K949" s="123" t="s">
        <v>1058</v>
      </c>
      <c r="L949" s="126">
        <v>9132.8441880355294</v>
      </c>
      <c r="M949" s="126">
        <v>8.8534501539764712</v>
      </c>
      <c r="N949" s="126">
        <v>5907.0879641253405</v>
      </c>
      <c r="O949" s="126">
        <v>6.0306772745477222</v>
      </c>
      <c r="P949" s="123">
        <f t="shared" si="86"/>
        <v>3225.756223910189</v>
      </c>
      <c r="Q949" s="123">
        <f t="shared" si="87"/>
        <v>2.822772879428749</v>
      </c>
      <c r="R949" s="123">
        <f t="shared" si="84"/>
        <v>167936.15889149389</v>
      </c>
      <c r="S949" s="123">
        <f t="shared" si="85"/>
        <v>114706.45752682911</v>
      </c>
      <c r="T949" s="123">
        <f t="shared" si="88"/>
        <v>1</v>
      </c>
      <c r="U949" s="123">
        <f t="shared" si="89"/>
        <v>0</v>
      </c>
    </row>
    <row r="950" spans="11:21" x14ac:dyDescent="0.25">
      <c r="K950" s="123" t="s">
        <v>1059</v>
      </c>
      <c r="L950" s="126">
        <v>9585.8222915001315</v>
      </c>
      <c r="M950" s="126">
        <v>6.8471547082993443</v>
      </c>
      <c r="N950" s="126">
        <v>5536.496810061707</v>
      </c>
      <c r="O950" s="126">
        <v>4.4145231314887843</v>
      </c>
      <c r="P950" s="123">
        <f t="shared" si="86"/>
        <v>4049.3254814384245</v>
      </c>
      <c r="Q950" s="123">
        <f t="shared" si="87"/>
        <v>2.43263157681056</v>
      </c>
      <c r="R950" s="123">
        <f t="shared" si="84"/>
        <v>127357.27187448676</v>
      </c>
      <c r="S950" s="123">
        <f t="shared" si="85"/>
        <v>82753.96581971398</v>
      </c>
      <c r="T950" s="123">
        <f t="shared" si="88"/>
        <v>1</v>
      </c>
      <c r="U950" s="123">
        <f t="shared" si="89"/>
        <v>0</v>
      </c>
    </row>
    <row r="951" spans="11:21" x14ac:dyDescent="0.25">
      <c r="K951" s="123" t="s">
        <v>1060</v>
      </c>
      <c r="L951" s="126">
        <v>6962.6953077217004</v>
      </c>
      <c r="M951" s="126">
        <v>7.287908364328044</v>
      </c>
      <c r="N951" s="126">
        <v>4022.990964291047</v>
      </c>
      <c r="O951" s="126">
        <v>4.5261745513124856</v>
      </c>
      <c r="P951" s="123">
        <f t="shared" si="86"/>
        <v>2939.7043434306534</v>
      </c>
      <c r="Q951" s="123">
        <f t="shared" si="87"/>
        <v>2.7617338130155584</v>
      </c>
      <c r="R951" s="123">
        <f t="shared" si="84"/>
        <v>138795.47197883917</v>
      </c>
      <c r="S951" s="123">
        <f t="shared" si="85"/>
        <v>86500.500061958664</v>
      </c>
      <c r="T951" s="123">
        <f t="shared" si="88"/>
        <v>1</v>
      </c>
      <c r="U951" s="123">
        <f t="shared" si="89"/>
        <v>0</v>
      </c>
    </row>
    <row r="952" spans="11:21" x14ac:dyDescent="0.25">
      <c r="K952" s="123" t="s">
        <v>1061</v>
      </c>
      <c r="L952" s="126">
        <v>8637.6024971264414</v>
      </c>
      <c r="M952" s="126">
        <v>7.7538370539952899</v>
      </c>
      <c r="N952" s="126">
        <v>7510.0728918546774</v>
      </c>
      <c r="O952" s="126">
        <v>6.3467574884155811</v>
      </c>
      <c r="P952" s="123">
        <f t="shared" si="86"/>
        <v>1127.529605271764</v>
      </c>
      <c r="Q952" s="123">
        <f t="shared" si="87"/>
        <v>1.4070795655797088</v>
      </c>
      <c r="R952" s="123">
        <f t="shared" si="84"/>
        <v>146439.13858277936</v>
      </c>
      <c r="S952" s="123">
        <f t="shared" si="85"/>
        <v>119425.07687645694</v>
      </c>
      <c r="T952" s="123">
        <f t="shared" si="88"/>
        <v>1</v>
      </c>
      <c r="U952" s="123">
        <f t="shared" si="89"/>
        <v>0</v>
      </c>
    </row>
    <row r="953" spans="11:21" x14ac:dyDescent="0.25">
      <c r="K953" s="123" t="s">
        <v>1062</v>
      </c>
      <c r="L953" s="126">
        <v>5603.4279397758974</v>
      </c>
      <c r="M953" s="126">
        <v>5.5125879958666939</v>
      </c>
      <c r="N953" s="126">
        <v>6561.3472435187441</v>
      </c>
      <c r="O953" s="126">
        <v>7.6543297460236426</v>
      </c>
      <c r="P953" s="123">
        <f t="shared" si="86"/>
        <v>-957.91930374284675</v>
      </c>
      <c r="Q953" s="123">
        <f t="shared" si="87"/>
        <v>-2.1417417501569487</v>
      </c>
      <c r="R953" s="123">
        <f t="shared" si="84"/>
        <v>104648.33197755799</v>
      </c>
      <c r="S953" s="123">
        <f t="shared" si="85"/>
        <v>146525.24767695411</v>
      </c>
      <c r="T953" s="123">
        <f t="shared" si="88"/>
        <v>0</v>
      </c>
      <c r="U953" s="123">
        <f t="shared" si="89"/>
        <v>1</v>
      </c>
    </row>
    <row r="954" spans="11:21" x14ac:dyDescent="0.25">
      <c r="K954" s="123" t="s">
        <v>1063</v>
      </c>
      <c r="L954" s="126">
        <v>8604.9864119636004</v>
      </c>
      <c r="M954" s="126">
        <v>7.4232794820322523</v>
      </c>
      <c r="N954" s="126">
        <v>9202.7509435766278</v>
      </c>
      <c r="O954" s="126">
        <v>8.8966827383143023</v>
      </c>
      <c r="P954" s="123">
        <f t="shared" si="86"/>
        <v>-597.76453161302743</v>
      </c>
      <c r="Q954" s="123">
        <f t="shared" si="87"/>
        <v>-1.47340325628205</v>
      </c>
      <c r="R954" s="123">
        <f t="shared" si="84"/>
        <v>139860.60322868146</v>
      </c>
      <c r="S954" s="123">
        <f t="shared" si="85"/>
        <v>168730.90382270943</v>
      </c>
      <c r="T954" s="123">
        <f t="shared" si="88"/>
        <v>0</v>
      </c>
      <c r="U954" s="123">
        <f t="shared" si="89"/>
        <v>1</v>
      </c>
    </row>
    <row r="955" spans="11:21" x14ac:dyDescent="0.25">
      <c r="K955" s="123" t="s">
        <v>1064</v>
      </c>
      <c r="L955" s="126">
        <v>7638.6247386121404</v>
      </c>
      <c r="M955" s="126">
        <v>6.7148569590351679</v>
      </c>
      <c r="N955" s="126">
        <v>5688.5805019265472</v>
      </c>
      <c r="O955" s="126">
        <v>5.1524266463618291</v>
      </c>
      <c r="P955" s="123">
        <f t="shared" si="86"/>
        <v>1950.0442366855932</v>
      </c>
      <c r="Q955" s="123">
        <f t="shared" si="87"/>
        <v>1.5624303126733388</v>
      </c>
      <c r="R955" s="123">
        <f t="shared" si="84"/>
        <v>126658.51444209121</v>
      </c>
      <c r="S955" s="123">
        <f t="shared" si="85"/>
        <v>97359.952425310024</v>
      </c>
      <c r="T955" s="123">
        <f t="shared" si="88"/>
        <v>1</v>
      </c>
      <c r="U955" s="123">
        <f t="shared" si="89"/>
        <v>0</v>
      </c>
    </row>
    <row r="956" spans="11:21" x14ac:dyDescent="0.25">
      <c r="K956" s="123" t="s">
        <v>1065</v>
      </c>
      <c r="L956" s="126">
        <v>8866.3376244533611</v>
      </c>
      <c r="M956" s="126">
        <v>10.319139260505777</v>
      </c>
      <c r="N956" s="126">
        <v>4590.7216404734781</v>
      </c>
      <c r="O956" s="126">
        <v>6.1903793814746173</v>
      </c>
      <c r="P956" s="123">
        <f t="shared" si="86"/>
        <v>4275.6159839798829</v>
      </c>
      <c r="Q956" s="123">
        <f t="shared" si="87"/>
        <v>4.1287598790311595</v>
      </c>
      <c r="R956" s="123">
        <f t="shared" si="84"/>
        <v>197516.44758566219</v>
      </c>
      <c r="S956" s="123">
        <f t="shared" si="85"/>
        <v>119216.86598901887</v>
      </c>
      <c r="T956" s="123">
        <f t="shared" si="88"/>
        <v>1</v>
      </c>
      <c r="U956" s="123">
        <f t="shared" si="89"/>
        <v>0</v>
      </c>
    </row>
    <row r="957" spans="11:21" x14ac:dyDescent="0.25">
      <c r="K957" s="123" t="s">
        <v>1066</v>
      </c>
      <c r="L957" s="126">
        <v>8817.1712170359242</v>
      </c>
      <c r="M957" s="126">
        <v>8.0586410587060477</v>
      </c>
      <c r="N957" s="126">
        <v>8328.5467603621873</v>
      </c>
      <c r="O957" s="126">
        <v>8.5422522340685152</v>
      </c>
      <c r="P957" s="123">
        <f t="shared" si="86"/>
        <v>488.62445667373686</v>
      </c>
      <c r="Q957" s="123">
        <f t="shared" si="87"/>
        <v>-0.48361117536246745</v>
      </c>
      <c r="R957" s="123">
        <f t="shared" si="84"/>
        <v>152355.64995708503</v>
      </c>
      <c r="S957" s="123">
        <f t="shared" si="85"/>
        <v>162516.49792100812</v>
      </c>
      <c r="T957" s="123">
        <f t="shared" si="88"/>
        <v>0</v>
      </c>
      <c r="U957" s="123">
        <f t="shared" si="89"/>
        <v>1</v>
      </c>
    </row>
    <row r="958" spans="11:21" x14ac:dyDescent="0.25">
      <c r="K958" s="123" t="s">
        <v>1067</v>
      </c>
      <c r="L958" s="126">
        <v>9156.6268845590857</v>
      </c>
      <c r="M958" s="126">
        <v>8.2274254133753217</v>
      </c>
      <c r="N958" s="126">
        <v>7394.0317705296347</v>
      </c>
      <c r="O958" s="126">
        <v>7.5596865229449008</v>
      </c>
      <c r="P958" s="123">
        <f t="shared" si="86"/>
        <v>1762.595114029451</v>
      </c>
      <c r="Q958" s="123">
        <f t="shared" si="87"/>
        <v>0.66773889043042089</v>
      </c>
      <c r="R958" s="123">
        <f t="shared" si="84"/>
        <v>155391.88138294735</v>
      </c>
      <c r="S958" s="123">
        <f t="shared" si="85"/>
        <v>143799.69868836837</v>
      </c>
      <c r="T958" s="123">
        <f t="shared" si="88"/>
        <v>1</v>
      </c>
      <c r="U958" s="123">
        <f t="shared" si="89"/>
        <v>0</v>
      </c>
    </row>
    <row r="959" spans="11:21" x14ac:dyDescent="0.25">
      <c r="K959" s="123" t="s">
        <v>1068</v>
      </c>
      <c r="L959" s="126">
        <v>5983.8293600805191</v>
      </c>
      <c r="M959" s="126">
        <v>6.0309461582187964</v>
      </c>
      <c r="N959" s="126">
        <v>8245.888467150271</v>
      </c>
      <c r="O959" s="126">
        <v>9.6806413965012066</v>
      </c>
      <c r="P959" s="123">
        <f t="shared" si="86"/>
        <v>-2262.0591070697519</v>
      </c>
      <c r="Q959" s="123">
        <f t="shared" si="87"/>
        <v>-3.6496952382824102</v>
      </c>
      <c r="R959" s="123">
        <f t="shared" si="84"/>
        <v>114635.09380429541</v>
      </c>
      <c r="S959" s="123">
        <f t="shared" si="85"/>
        <v>185366.93946287385</v>
      </c>
      <c r="T959" s="123">
        <f t="shared" si="88"/>
        <v>0</v>
      </c>
      <c r="U959" s="123">
        <f t="shared" si="89"/>
        <v>1</v>
      </c>
    </row>
    <row r="960" spans="11:21" x14ac:dyDescent="0.25">
      <c r="K960" s="123" t="s">
        <v>1069</v>
      </c>
      <c r="L960" s="126">
        <v>4894.3105989459218</v>
      </c>
      <c r="M960" s="126">
        <v>5.1656540741871462</v>
      </c>
      <c r="N960" s="126">
        <v>6036.0257223890403</v>
      </c>
      <c r="O960" s="126">
        <v>7.4790174511267873</v>
      </c>
      <c r="P960" s="123">
        <f t="shared" si="86"/>
        <v>-1141.7151234431185</v>
      </c>
      <c r="Q960" s="123">
        <f t="shared" si="87"/>
        <v>-2.3133633769396411</v>
      </c>
      <c r="R960" s="123">
        <f t="shared" si="84"/>
        <v>98418.770884797006</v>
      </c>
      <c r="S960" s="123">
        <f t="shared" si="85"/>
        <v>143544.3233001467</v>
      </c>
      <c r="T960" s="123">
        <f t="shared" si="88"/>
        <v>0</v>
      </c>
      <c r="U960" s="123">
        <f t="shared" si="89"/>
        <v>1</v>
      </c>
    </row>
    <row r="961" spans="11:21" x14ac:dyDescent="0.25">
      <c r="K961" s="123" t="s">
        <v>1070</v>
      </c>
      <c r="L961" s="126">
        <v>7348.8282519659197</v>
      </c>
      <c r="M961" s="126">
        <v>6.4898532344394129</v>
      </c>
      <c r="N961" s="126">
        <v>6320.1660099205537</v>
      </c>
      <c r="O961" s="126">
        <v>6.3467220758809226</v>
      </c>
      <c r="P961" s="123">
        <f t="shared" si="86"/>
        <v>1028.6622420453659</v>
      </c>
      <c r="Q961" s="123">
        <f t="shared" si="87"/>
        <v>0.14313115855849023</v>
      </c>
      <c r="R961" s="123">
        <f t="shared" si="84"/>
        <v>122448.23643682234</v>
      </c>
      <c r="S961" s="123">
        <f t="shared" si="85"/>
        <v>120614.27550769791</v>
      </c>
      <c r="T961" s="123">
        <f t="shared" si="88"/>
        <v>1</v>
      </c>
      <c r="U961" s="123">
        <f t="shared" si="89"/>
        <v>0</v>
      </c>
    </row>
    <row r="962" spans="11:21" x14ac:dyDescent="0.25">
      <c r="K962" s="123" t="s">
        <v>1071</v>
      </c>
      <c r="L962" s="126">
        <v>6011.8462218542963</v>
      </c>
      <c r="M962" s="126">
        <v>5.3672558639857346</v>
      </c>
      <c r="N962" s="126">
        <v>9388.1581066471153</v>
      </c>
      <c r="O962" s="126">
        <v>9.3669659232076548</v>
      </c>
      <c r="P962" s="123">
        <f t="shared" si="86"/>
        <v>-3376.311884792819</v>
      </c>
      <c r="Q962" s="123">
        <f t="shared" si="87"/>
        <v>-3.9997100592219201</v>
      </c>
      <c r="R962" s="123">
        <f t="shared" si="84"/>
        <v>101333.27105786039</v>
      </c>
      <c r="S962" s="123">
        <f t="shared" si="85"/>
        <v>177951.16035750599</v>
      </c>
      <c r="T962" s="123">
        <f t="shared" si="88"/>
        <v>0</v>
      </c>
      <c r="U962" s="123">
        <f t="shared" si="89"/>
        <v>1</v>
      </c>
    </row>
    <row r="963" spans="11:21" x14ac:dyDescent="0.25">
      <c r="K963" s="123" t="s">
        <v>1072</v>
      </c>
      <c r="L963" s="126">
        <v>8552.3966678086854</v>
      </c>
      <c r="M963" s="126">
        <v>8.6639915244956729</v>
      </c>
      <c r="N963" s="126">
        <v>5905.3431467864912</v>
      </c>
      <c r="O963" s="126">
        <v>6.4430763080561215</v>
      </c>
      <c r="P963" s="123">
        <f t="shared" si="86"/>
        <v>2647.0535210221942</v>
      </c>
      <c r="Q963" s="123">
        <f t="shared" si="87"/>
        <v>2.2209152164395514</v>
      </c>
      <c r="R963" s="123">
        <f t="shared" si="84"/>
        <v>164727.43382210479</v>
      </c>
      <c r="S963" s="123">
        <f t="shared" si="85"/>
        <v>122956.18301433594</v>
      </c>
      <c r="T963" s="123">
        <f t="shared" si="88"/>
        <v>1</v>
      </c>
      <c r="U963" s="123">
        <f t="shared" si="89"/>
        <v>0</v>
      </c>
    </row>
    <row r="964" spans="11:21" x14ac:dyDescent="0.25">
      <c r="K964" s="123" t="s">
        <v>1073</v>
      </c>
      <c r="L964" s="126">
        <v>6142.2939272076374</v>
      </c>
      <c r="M964" s="126">
        <v>4.5599389499523788</v>
      </c>
      <c r="N964" s="126">
        <v>7161.3760462900937</v>
      </c>
      <c r="O964" s="126">
        <v>6.3173291610862989</v>
      </c>
      <c r="P964" s="123">
        <f t="shared" si="86"/>
        <v>-1019.0821190824563</v>
      </c>
      <c r="Q964" s="123">
        <f t="shared" si="87"/>
        <v>-1.7573902111339201</v>
      </c>
      <c r="R964" s="123">
        <f t="shared" si="84"/>
        <v>85056.485071839939</v>
      </c>
      <c r="S964" s="123">
        <f t="shared" si="85"/>
        <v>119185.20717543588</v>
      </c>
      <c r="T964" s="123">
        <f t="shared" si="88"/>
        <v>0</v>
      </c>
      <c r="U964" s="123">
        <f t="shared" si="89"/>
        <v>1</v>
      </c>
    </row>
    <row r="965" spans="11:21" x14ac:dyDescent="0.25">
      <c r="K965" s="123" t="s">
        <v>1074</v>
      </c>
      <c r="L965" s="126">
        <v>9717.291550500704</v>
      </c>
      <c r="M965" s="126">
        <v>9.0164714665975048</v>
      </c>
      <c r="N965" s="126">
        <v>6314.3540436201911</v>
      </c>
      <c r="O965" s="126">
        <v>5.3529151122845704</v>
      </c>
      <c r="P965" s="123">
        <f t="shared" si="86"/>
        <v>3402.937506880513</v>
      </c>
      <c r="Q965" s="123">
        <f t="shared" si="87"/>
        <v>3.6635563543129344</v>
      </c>
      <c r="R965" s="123">
        <f t="shared" si="84"/>
        <v>170612.13778144939</v>
      </c>
      <c r="S965" s="123">
        <f t="shared" si="85"/>
        <v>100743.94820207122</v>
      </c>
      <c r="T965" s="123">
        <f t="shared" si="88"/>
        <v>1</v>
      </c>
      <c r="U965" s="123">
        <f t="shared" si="89"/>
        <v>0</v>
      </c>
    </row>
    <row r="966" spans="11:21" x14ac:dyDescent="0.25">
      <c r="K966" s="123" t="s">
        <v>1075</v>
      </c>
      <c r="L966" s="126">
        <v>5828.2447302288456</v>
      </c>
      <c r="M966" s="126">
        <v>5.9849321013985533</v>
      </c>
      <c r="N966" s="126">
        <v>6144.16029053895</v>
      </c>
      <c r="O966" s="126">
        <v>6.908969140818904</v>
      </c>
      <c r="P966" s="123">
        <f t="shared" si="86"/>
        <v>-315.91556031010441</v>
      </c>
      <c r="Q966" s="123">
        <f t="shared" si="87"/>
        <v>-0.92403703942035076</v>
      </c>
      <c r="R966" s="123">
        <f t="shared" si="84"/>
        <v>113870.39729774221</v>
      </c>
      <c r="S966" s="123">
        <f t="shared" si="85"/>
        <v>132035.22252583914</v>
      </c>
      <c r="T966" s="123">
        <f t="shared" si="88"/>
        <v>0</v>
      </c>
      <c r="U966" s="123">
        <f t="shared" si="89"/>
        <v>1</v>
      </c>
    </row>
    <row r="967" spans="11:21" x14ac:dyDescent="0.25">
      <c r="K967" s="123" t="s">
        <v>1076</v>
      </c>
      <c r="L967" s="126">
        <v>9681.0505925665384</v>
      </c>
      <c r="M967" s="126">
        <v>8.8798736183264815</v>
      </c>
      <c r="N967" s="126">
        <v>6334.5153324675439</v>
      </c>
      <c r="O967" s="126">
        <v>5.8611336987173379</v>
      </c>
      <c r="P967" s="123">
        <f t="shared" si="86"/>
        <v>3346.5352600989945</v>
      </c>
      <c r="Q967" s="123">
        <f t="shared" si="87"/>
        <v>3.0187399196091436</v>
      </c>
      <c r="R967" s="123">
        <f t="shared" si="84"/>
        <v>167916.42177396308</v>
      </c>
      <c r="S967" s="123">
        <f t="shared" si="85"/>
        <v>110888.15864187921</v>
      </c>
      <c r="T967" s="123">
        <f t="shared" si="88"/>
        <v>1</v>
      </c>
      <c r="U967" s="123">
        <f t="shared" si="89"/>
        <v>0</v>
      </c>
    </row>
    <row r="968" spans="11:21" x14ac:dyDescent="0.25">
      <c r="K968" s="123" t="s">
        <v>1077</v>
      </c>
      <c r="L968" s="126">
        <v>9639.8335562933862</v>
      </c>
      <c r="M968" s="126">
        <v>8.7599898004150401</v>
      </c>
      <c r="N968" s="126">
        <v>6455.2378490617011</v>
      </c>
      <c r="O968" s="126">
        <v>6.3812924933167032</v>
      </c>
      <c r="P968" s="123">
        <f t="shared" si="86"/>
        <v>3184.5957072316851</v>
      </c>
      <c r="Q968" s="123">
        <f t="shared" si="87"/>
        <v>2.3786973070983368</v>
      </c>
      <c r="R968" s="123">
        <f t="shared" si="84"/>
        <v>165559.9624520074</v>
      </c>
      <c r="S968" s="123">
        <f t="shared" si="85"/>
        <v>121170.61201727236</v>
      </c>
      <c r="T968" s="123">
        <f t="shared" si="88"/>
        <v>1</v>
      </c>
      <c r="U968" s="123">
        <f t="shared" si="89"/>
        <v>0</v>
      </c>
    </row>
    <row r="969" spans="11:21" x14ac:dyDescent="0.25">
      <c r="K969" s="123" t="s">
        <v>1078</v>
      </c>
      <c r="L969" s="126">
        <v>6979.5846400669643</v>
      </c>
      <c r="M969" s="126">
        <v>5.9294013681257072</v>
      </c>
      <c r="N969" s="126">
        <v>7988.7729289704521</v>
      </c>
      <c r="O969" s="126">
        <v>7.2256797398431836</v>
      </c>
      <c r="P969" s="123">
        <f t="shared" si="86"/>
        <v>-1009.1882889034878</v>
      </c>
      <c r="Q969" s="123">
        <f t="shared" si="87"/>
        <v>-1.2962783717174764</v>
      </c>
      <c r="R969" s="123">
        <f t="shared" si="84"/>
        <v>111608.44272244717</v>
      </c>
      <c r="S969" s="123">
        <f t="shared" si="85"/>
        <v>136524.82186789322</v>
      </c>
      <c r="T969" s="123">
        <f t="shared" si="88"/>
        <v>0</v>
      </c>
      <c r="U969" s="123">
        <f t="shared" si="89"/>
        <v>1</v>
      </c>
    </row>
    <row r="970" spans="11:21" x14ac:dyDescent="0.25">
      <c r="K970" s="123" t="s">
        <v>1079</v>
      </c>
      <c r="L970" s="126">
        <v>7176.4285456052585</v>
      </c>
      <c r="M970" s="126">
        <v>7.2195019983038673</v>
      </c>
      <c r="N970" s="126">
        <v>4921.5420345565663</v>
      </c>
      <c r="O970" s="126">
        <v>5.4133570064240866</v>
      </c>
      <c r="P970" s="123">
        <f t="shared" si="86"/>
        <v>2254.8865110486922</v>
      </c>
      <c r="Q970" s="123">
        <f t="shared" si="87"/>
        <v>1.8061449918797807</v>
      </c>
      <c r="R970" s="123">
        <f t="shared" si="84"/>
        <v>137213.61142047209</v>
      </c>
      <c r="S970" s="123">
        <f t="shared" si="85"/>
        <v>103345.59809392516</v>
      </c>
      <c r="T970" s="123">
        <f t="shared" si="88"/>
        <v>1</v>
      </c>
      <c r="U970" s="123">
        <f t="shared" si="89"/>
        <v>0</v>
      </c>
    </row>
    <row r="971" spans="11:21" x14ac:dyDescent="0.25">
      <c r="K971" s="123" t="s">
        <v>1080</v>
      </c>
      <c r="L971" s="126">
        <v>8304.4248154765537</v>
      </c>
      <c r="M971" s="126">
        <v>7.0891630014684965</v>
      </c>
      <c r="N971" s="126">
        <v>6419.1368205205699</v>
      </c>
      <c r="O971" s="126">
        <v>5.5647473756059442</v>
      </c>
      <c r="P971" s="123">
        <f t="shared" si="86"/>
        <v>1885.2879949559838</v>
      </c>
      <c r="Q971" s="123">
        <f t="shared" si="87"/>
        <v>1.5244156258625523</v>
      </c>
      <c r="R971" s="123">
        <f t="shared" si="84"/>
        <v>133478.83521389338</v>
      </c>
      <c r="S971" s="123">
        <f t="shared" si="85"/>
        <v>104875.81069159832</v>
      </c>
      <c r="T971" s="123">
        <f t="shared" si="88"/>
        <v>1</v>
      </c>
      <c r="U971" s="123">
        <f t="shared" si="89"/>
        <v>0</v>
      </c>
    </row>
    <row r="972" spans="11:21" x14ac:dyDescent="0.25">
      <c r="K972" s="123" t="s">
        <v>1081</v>
      </c>
      <c r="L972" s="126">
        <v>9157.4591505005828</v>
      </c>
      <c r="M972" s="126">
        <v>8.4180088804638462</v>
      </c>
      <c r="N972" s="126">
        <v>6329.9999090043011</v>
      </c>
      <c r="O972" s="126">
        <v>6.0565505218609843</v>
      </c>
      <c r="P972" s="123">
        <f t="shared" si="86"/>
        <v>2827.4592414962817</v>
      </c>
      <c r="Q972" s="123">
        <f t="shared" si="87"/>
        <v>2.3614583586028619</v>
      </c>
      <c r="R972" s="123">
        <f t="shared" si="84"/>
        <v>159202.71845877633</v>
      </c>
      <c r="S972" s="123">
        <f t="shared" si="85"/>
        <v>114801.01052821538</v>
      </c>
      <c r="T972" s="123">
        <f t="shared" si="88"/>
        <v>1</v>
      </c>
      <c r="U972" s="123">
        <f t="shared" si="89"/>
        <v>0</v>
      </c>
    </row>
    <row r="973" spans="11:21" x14ac:dyDescent="0.25">
      <c r="K973" s="123" t="s">
        <v>1082</v>
      </c>
      <c r="L973" s="126">
        <v>7615.572751595495</v>
      </c>
      <c r="M973" s="126">
        <v>6.3600411506299119</v>
      </c>
      <c r="N973" s="126">
        <v>6613.8429651903934</v>
      </c>
      <c r="O973" s="126">
        <v>5.8751719254345014</v>
      </c>
      <c r="P973" s="123">
        <f t="shared" si="86"/>
        <v>1001.7297864051015</v>
      </c>
      <c r="Q973" s="123">
        <f t="shared" si="87"/>
        <v>0.48486922519541054</v>
      </c>
      <c r="R973" s="123">
        <f t="shared" si="84"/>
        <v>119585.25026100274</v>
      </c>
      <c r="S973" s="123">
        <f t="shared" si="85"/>
        <v>110889.59554349963</v>
      </c>
      <c r="T973" s="123">
        <f t="shared" si="88"/>
        <v>1</v>
      </c>
      <c r="U973" s="123">
        <f t="shared" si="89"/>
        <v>0</v>
      </c>
    </row>
    <row r="974" spans="11:21" x14ac:dyDescent="0.25">
      <c r="K974" s="123" t="s">
        <v>1083</v>
      </c>
      <c r="L974" s="126">
        <v>7124.020818375102</v>
      </c>
      <c r="M974" s="126">
        <v>5.4977957429139188</v>
      </c>
      <c r="N974" s="126">
        <v>9595.2507928898667</v>
      </c>
      <c r="O974" s="126">
        <v>8.1399064425328955</v>
      </c>
      <c r="P974" s="123">
        <f t="shared" si="86"/>
        <v>-2471.2299745147648</v>
      </c>
      <c r="Q974" s="123">
        <f t="shared" si="87"/>
        <v>-2.6421106996189767</v>
      </c>
      <c r="R974" s="123">
        <f t="shared" si="84"/>
        <v>102831.89403990327</v>
      </c>
      <c r="S974" s="123">
        <f t="shared" si="85"/>
        <v>153202.87805776804</v>
      </c>
      <c r="T974" s="123">
        <f t="shared" si="88"/>
        <v>0</v>
      </c>
      <c r="U974" s="123">
        <f t="shared" si="89"/>
        <v>1</v>
      </c>
    </row>
    <row r="975" spans="11:21" x14ac:dyDescent="0.25">
      <c r="K975" s="123" t="s">
        <v>1084</v>
      </c>
      <c r="L975" s="126">
        <v>7251.8926097406602</v>
      </c>
      <c r="M975" s="126">
        <v>6.7176811580125033</v>
      </c>
      <c r="N975" s="126">
        <v>7709.0278785364735</v>
      </c>
      <c r="O975" s="126">
        <v>7.815850939006129</v>
      </c>
      <c r="P975" s="123">
        <f t="shared" si="86"/>
        <v>-457.13526879581332</v>
      </c>
      <c r="Q975" s="123">
        <f t="shared" si="87"/>
        <v>-1.0981697809936257</v>
      </c>
      <c r="R975" s="123">
        <f t="shared" si="84"/>
        <v>127101.73055050941</v>
      </c>
      <c r="S975" s="123">
        <f t="shared" si="85"/>
        <v>148607.9909015861</v>
      </c>
      <c r="T975" s="123">
        <f t="shared" si="88"/>
        <v>0</v>
      </c>
      <c r="U975" s="123">
        <f t="shared" si="89"/>
        <v>1</v>
      </c>
    </row>
    <row r="976" spans="11:21" x14ac:dyDescent="0.25">
      <c r="K976" s="123" t="s">
        <v>1085</v>
      </c>
      <c r="L976" s="126">
        <v>9924.8690907165255</v>
      </c>
      <c r="M976" s="126">
        <v>9.3832645702093007</v>
      </c>
      <c r="N976" s="126">
        <v>9579.2029162578328</v>
      </c>
      <c r="O976" s="126">
        <v>10.628724133419738</v>
      </c>
      <c r="P976" s="123">
        <f t="shared" si="86"/>
        <v>345.66617445869269</v>
      </c>
      <c r="Q976" s="123">
        <f t="shared" si="87"/>
        <v>-1.2454595632104368</v>
      </c>
      <c r="R976" s="123">
        <f t="shared" si="84"/>
        <v>177740.42231346949</v>
      </c>
      <c r="S976" s="123">
        <f t="shared" si="85"/>
        <v>202995.27975213691</v>
      </c>
      <c r="T976" s="123">
        <f t="shared" si="88"/>
        <v>0</v>
      </c>
      <c r="U976" s="123">
        <f t="shared" si="89"/>
        <v>1</v>
      </c>
    </row>
    <row r="977" spans="11:21" x14ac:dyDescent="0.25">
      <c r="K977" s="123" t="s">
        <v>1086</v>
      </c>
      <c r="L977" s="126">
        <v>9536.3760100711788</v>
      </c>
      <c r="M977" s="126">
        <v>7.6328257750020443</v>
      </c>
      <c r="N977" s="126">
        <v>8785.7028519526175</v>
      </c>
      <c r="O977" s="126">
        <v>7.4441824212993906</v>
      </c>
      <c r="P977" s="123">
        <f t="shared" si="86"/>
        <v>750.67315811856133</v>
      </c>
      <c r="Q977" s="123">
        <f t="shared" si="87"/>
        <v>0.18864335370265373</v>
      </c>
      <c r="R977" s="123">
        <f t="shared" ref="R977:R1016" si="90">M977*willingness_to_pay-L977</f>
        <v>143120.13948996973</v>
      </c>
      <c r="S977" s="123">
        <f t="shared" ref="S977:S1016" si="91">O977*willingness_to_pay-N977</f>
        <v>140097.9455740352</v>
      </c>
      <c r="T977" s="123">
        <f t="shared" si="88"/>
        <v>1</v>
      </c>
      <c r="U977" s="123">
        <f t="shared" si="89"/>
        <v>0</v>
      </c>
    </row>
    <row r="978" spans="11:21" x14ac:dyDescent="0.25">
      <c r="K978" s="123" t="s">
        <v>1087</v>
      </c>
      <c r="L978" s="126">
        <v>8435.9545694398566</v>
      </c>
      <c r="M978" s="126">
        <v>8.1406946538964</v>
      </c>
      <c r="N978" s="126">
        <v>6652.7722747352091</v>
      </c>
      <c r="O978" s="126">
        <v>6.5622251061474701</v>
      </c>
      <c r="P978" s="123">
        <f t="shared" ref="P978:P1016" si="92">L978-N978</f>
        <v>1783.1822947046476</v>
      </c>
      <c r="Q978" s="123">
        <f t="shared" ref="Q978:Q1016" si="93">M978-O978</f>
        <v>1.5784695477489299</v>
      </c>
      <c r="R978" s="123">
        <f t="shared" si="90"/>
        <v>154377.93850848812</v>
      </c>
      <c r="S978" s="123">
        <f t="shared" si="91"/>
        <v>124591.72984821419</v>
      </c>
      <c r="T978" s="123">
        <f t="shared" ref="T978:T1016" si="94">IF(L978="", "",IF(R978=MAX(R978:S978),1,0))</f>
        <v>1</v>
      </c>
      <c r="U978" s="123">
        <f t="shared" ref="U978:U1016" si="95">IF(N978="", "", IF(S978=MAX(R978:S978),1,0))</f>
        <v>0</v>
      </c>
    </row>
    <row r="979" spans="11:21" x14ac:dyDescent="0.25">
      <c r="K979" s="123" t="s">
        <v>1088</v>
      </c>
      <c r="L979" s="126">
        <v>4192.3801784336292</v>
      </c>
      <c r="M979" s="126">
        <v>3.9319560032301446</v>
      </c>
      <c r="N979" s="126">
        <v>6499.7306575739858</v>
      </c>
      <c r="O979" s="126">
        <v>6.8566995884076505</v>
      </c>
      <c r="P979" s="123">
        <f t="shared" si="92"/>
        <v>-2307.3504791403566</v>
      </c>
      <c r="Q979" s="123">
        <f t="shared" si="93"/>
        <v>-2.9247435851775059</v>
      </c>
      <c r="R979" s="123">
        <f t="shared" si="90"/>
        <v>74446.739886169264</v>
      </c>
      <c r="S979" s="123">
        <f t="shared" si="91"/>
        <v>130634.26111057901</v>
      </c>
      <c r="T979" s="123">
        <f t="shared" si="94"/>
        <v>0</v>
      </c>
      <c r="U979" s="123">
        <f t="shared" si="95"/>
        <v>1</v>
      </c>
    </row>
    <row r="980" spans="11:21" x14ac:dyDescent="0.25">
      <c r="K980" s="123" t="s">
        <v>1089</v>
      </c>
      <c r="L980" s="126">
        <v>4786.7365422787971</v>
      </c>
      <c r="M980" s="126">
        <v>4.6565598242943986</v>
      </c>
      <c r="N980" s="126">
        <v>5649.3528069366675</v>
      </c>
      <c r="O980" s="126">
        <v>6.4323696295886306</v>
      </c>
      <c r="P980" s="123">
        <f t="shared" si="92"/>
        <v>-862.61626465787049</v>
      </c>
      <c r="Q980" s="123">
        <f t="shared" si="93"/>
        <v>-1.7758098052942319</v>
      </c>
      <c r="R980" s="123">
        <f t="shared" si="90"/>
        <v>88344.459943609167</v>
      </c>
      <c r="S980" s="123">
        <f t="shared" si="91"/>
        <v>122998.03978483594</v>
      </c>
      <c r="T980" s="123">
        <f t="shared" si="94"/>
        <v>0</v>
      </c>
      <c r="U980" s="123">
        <f t="shared" si="95"/>
        <v>1</v>
      </c>
    </row>
    <row r="981" spans="11:21" x14ac:dyDescent="0.25">
      <c r="K981" s="123" t="s">
        <v>1090</v>
      </c>
      <c r="L981" s="126">
        <v>6625.1818235431001</v>
      </c>
      <c r="M981" s="126">
        <v>6.261748464586641</v>
      </c>
      <c r="N981" s="126">
        <v>8897.836367045993</v>
      </c>
      <c r="O981" s="126">
        <v>8.8247596539509594</v>
      </c>
      <c r="P981" s="123">
        <f t="shared" si="92"/>
        <v>-2272.6545435028929</v>
      </c>
      <c r="Q981" s="123">
        <f t="shared" si="93"/>
        <v>-2.5630111893643184</v>
      </c>
      <c r="R981" s="123">
        <f t="shared" si="90"/>
        <v>118609.78746818972</v>
      </c>
      <c r="S981" s="123">
        <f t="shared" si="91"/>
        <v>167597.3567119732</v>
      </c>
      <c r="T981" s="123">
        <f t="shared" si="94"/>
        <v>0</v>
      </c>
      <c r="U981" s="123">
        <f t="shared" si="95"/>
        <v>1</v>
      </c>
    </row>
    <row r="982" spans="11:21" x14ac:dyDescent="0.25">
      <c r="K982" s="123" t="s">
        <v>1091</v>
      </c>
      <c r="L982" s="126">
        <v>7333.0275696862172</v>
      </c>
      <c r="M982" s="126">
        <v>6.7480449563504958</v>
      </c>
      <c r="N982" s="126">
        <v>6068.1973745217547</v>
      </c>
      <c r="O982" s="126">
        <v>5.9961686960220932</v>
      </c>
      <c r="P982" s="123">
        <f t="shared" si="92"/>
        <v>1264.8301951644626</v>
      </c>
      <c r="Q982" s="123">
        <f t="shared" si="93"/>
        <v>0.7518762603284026</v>
      </c>
      <c r="R982" s="123">
        <f t="shared" si="90"/>
        <v>127627.87155732368</v>
      </c>
      <c r="S982" s="123">
        <f t="shared" si="91"/>
        <v>113855.17654592011</v>
      </c>
      <c r="T982" s="123">
        <f t="shared" si="94"/>
        <v>1</v>
      </c>
      <c r="U982" s="123">
        <f t="shared" si="95"/>
        <v>0</v>
      </c>
    </row>
    <row r="983" spans="11:21" x14ac:dyDescent="0.25">
      <c r="K983" s="123" t="s">
        <v>1092</v>
      </c>
      <c r="L983" s="126">
        <v>7661.354424775247</v>
      </c>
      <c r="M983" s="126">
        <v>7.3924155324073757</v>
      </c>
      <c r="N983" s="126">
        <v>4758.1023789235724</v>
      </c>
      <c r="O983" s="126">
        <v>5.1943776767576031</v>
      </c>
      <c r="P983" s="123">
        <f t="shared" si="92"/>
        <v>2903.2520458516747</v>
      </c>
      <c r="Q983" s="123">
        <f t="shared" si="93"/>
        <v>2.1980378556497726</v>
      </c>
      <c r="R983" s="123">
        <f t="shared" si="90"/>
        <v>140186.95622337225</v>
      </c>
      <c r="S983" s="123">
        <f t="shared" si="91"/>
        <v>99129.45115622849</v>
      </c>
      <c r="T983" s="123">
        <f t="shared" si="94"/>
        <v>1</v>
      </c>
      <c r="U983" s="123">
        <f t="shared" si="95"/>
        <v>0</v>
      </c>
    </row>
    <row r="984" spans="11:21" x14ac:dyDescent="0.25">
      <c r="K984" s="123" t="s">
        <v>1093</v>
      </c>
      <c r="L984" s="126">
        <v>8710.971160031344</v>
      </c>
      <c r="M984" s="126">
        <v>8.2072859149463344</v>
      </c>
      <c r="N984" s="126">
        <v>6887.754081053291</v>
      </c>
      <c r="O984" s="126">
        <v>6.7122247093198988</v>
      </c>
      <c r="P984" s="123">
        <f t="shared" si="92"/>
        <v>1823.217078978053</v>
      </c>
      <c r="Q984" s="123">
        <f t="shared" si="93"/>
        <v>1.4950612056264356</v>
      </c>
      <c r="R984" s="123">
        <f t="shared" si="90"/>
        <v>155434.74713889536</v>
      </c>
      <c r="S984" s="123">
        <f t="shared" si="91"/>
        <v>127356.74010534467</v>
      </c>
      <c r="T984" s="123">
        <f t="shared" si="94"/>
        <v>1</v>
      </c>
      <c r="U984" s="123">
        <f t="shared" si="95"/>
        <v>0</v>
      </c>
    </row>
    <row r="985" spans="11:21" x14ac:dyDescent="0.25">
      <c r="K985" s="123" t="s">
        <v>1094</v>
      </c>
      <c r="L985" s="126">
        <v>9105.154555337238</v>
      </c>
      <c r="M985" s="126">
        <v>7.8467771788449197</v>
      </c>
      <c r="N985" s="126">
        <v>8361.1611578504308</v>
      </c>
      <c r="O985" s="126">
        <v>8.3506916651641845</v>
      </c>
      <c r="P985" s="123">
        <f t="shared" si="92"/>
        <v>743.99339748680723</v>
      </c>
      <c r="Q985" s="123">
        <f t="shared" si="93"/>
        <v>-0.50391448631926483</v>
      </c>
      <c r="R985" s="123">
        <f t="shared" si="90"/>
        <v>147830.38902156116</v>
      </c>
      <c r="S985" s="123">
        <f t="shared" si="91"/>
        <v>158652.67214543326</v>
      </c>
      <c r="T985" s="123">
        <f t="shared" si="94"/>
        <v>0</v>
      </c>
      <c r="U985" s="123">
        <f t="shared" si="95"/>
        <v>1</v>
      </c>
    </row>
    <row r="986" spans="11:21" x14ac:dyDescent="0.25">
      <c r="K986" s="123" t="s">
        <v>1095</v>
      </c>
      <c r="L986" s="126">
        <v>7894.7448416625248</v>
      </c>
      <c r="M986" s="126">
        <v>7.2471366209918422</v>
      </c>
      <c r="N986" s="126">
        <v>5509.748882522581</v>
      </c>
      <c r="O986" s="126">
        <v>5.2824118089841008</v>
      </c>
      <c r="P986" s="123">
        <f t="shared" si="92"/>
        <v>2384.9959591399438</v>
      </c>
      <c r="Q986" s="123">
        <f t="shared" si="93"/>
        <v>1.9647248120077414</v>
      </c>
      <c r="R986" s="123">
        <f t="shared" si="90"/>
        <v>137047.9875781743</v>
      </c>
      <c r="S986" s="123">
        <f t="shared" si="91"/>
        <v>100138.48729715945</v>
      </c>
      <c r="T986" s="123">
        <f t="shared" si="94"/>
        <v>1</v>
      </c>
      <c r="U986" s="123">
        <f t="shared" si="95"/>
        <v>0</v>
      </c>
    </row>
    <row r="987" spans="11:21" x14ac:dyDescent="0.25">
      <c r="K987" s="123" t="s">
        <v>1096</v>
      </c>
      <c r="L987" s="126">
        <v>5389.8898746095419</v>
      </c>
      <c r="M987" s="126">
        <v>5.107279343176927</v>
      </c>
      <c r="N987" s="126">
        <v>8118.1932112276318</v>
      </c>
      <c r="O987" s="126">
        <v>8.1540874394788787</v>
      </c>
      <c r="P987" s="123">
        <f t="shared" si="92"/>
        <v>-2728.3033366180898</v>
      </c>
      <c r="Q987" s="123">
        <f t="shared" si="93"/>
        <v>-3.0468080963019517</v>
      </c>
      <c r="R987" s="123">
        <f t="shared" si="90"/>
        <v>96755.696988929005</v>
      </c>
      <c r="S987" s="123">
        <f t="shared" si="91"/>
        <v>154963.55557834994</v>
      </c>
      <c r="T987" s="123">
        <f t="shared" si="94"/>
        <v>0</v>
      </c>
      <c r="U987" s="123">
        <f t="shared" si="95"/>
        <v>1</v>
      </c>
    </row>
    <row r="988" spans="11:21" x14ac:dyDescent="0.25">
      <c r="K988" s="123" t="s">
        <v>1097</v>
      </c>
      <c r="L988" s="126">
        <v>10222.514114497211</v>
      </c>
      <c r="M988" s="126">
        <v>10.58993531600705</v>
      </c>
      <c r="N988" s="126">
        <v>6942.5205283780469</v>
      </c>
      <c r="O988" s="126">
        <v>7.3903836181698859</v>
      </c>
      <c r="P988" s="123">
        <f t="shared" si="92"/>
        <v>3279.9935861191643</v>
      </c>
      <c r="Q988" s="123">
        <f t="shared" si="93"/>
        <v>3.1995516978371645</v>
      </c>
      <c r="R988" s="123">
        <f t="shared" si="90"/>
        <v>201576.19220564381</v>
      </c>
      <c r="S988" s="123">
        <f t="shared" si="91"/>
        <v>140865.15183501967</v>
      </c>
      <c r="T988" s="123">
        <f t="shared" si="94"/>
        <v>1</v>
      </c>
      <c r="U988" s="123">
        <f t="shared" si="95"/>
        <v>0</v>
      </c>
    </row>
    <row r="989" spans="11:21" x14ac:dyDescent="0.25">
      <c r="K989" s="123" t="s">
        <v>1098</v>
      </c>
      <c r="L989" s="126">
        <v>9973.995383994461</v>
      </c>
      <c r="M989" s="126">
        <v>9.3665675928189209</v>
      </c>
      <c r="N989" s="126">
        <v>7434.9130292066684</v>
      </c>
      <c r="O989" s="126">
        <v>7.7361706248785875</v>
      </c>
      <c r="P989" s="123">
        <f t="shared" si="92"/>
        <v>2539.0823547877926</v>
      </c>
      <c r="Q989" s="123">
        <f t="shared" si="93"/>
        <v>1.6303969679403334</v>
      </c>
      <c r="R989" s="123">
        <f t="shared" si="90"/>
        <v>177357.35647238398</v>
      </c>
      <c r="S989" s="123">
        <f t="shared" si="91"/>
        <v>147288.4994683651</v>
      </c>
      <c r="T989" s="123">
        <f t="shared" si="94"/>
        <v>1</v>
      </c>
      <c r="U989" s="123">
        <f t="shared" si="95"/>
        <v>0</v>
      </c>
    </row>
    <row r="990" spans="11:21" x14ac:dyDescent="0.25">
      <c r="K990" s="123" t="s">
        <v>1099</v>
      </c>
      <c r="L990" s="126">
        <v>7018.5348431003122</v>
      </c>
      <c r="M990" s="126">
        <v>5.6407940086002606</v>
      </c>
      <c r="N990" s="126">
        <v>10130.927496897832</v>
      </c>
      <c r="O990" s="126">
        <v>8.8616708221258094</v>
      </c>
      <c r="P990" s="123">
        <f t="shared" si="92"/>
        <v>-3112.3926537975194</v>
      </c>
      <c r="Q990" s="123">
        <f t="shared" si="93"/>
        <v>-3.2208768135255488</v>
      </c>
      <c r="R990" s="123">
        <f t="shared" si="90"/>
        <v>105797.34532890491</v>
      </c>
      <c r="S990" s="123">
        <f t="shared" si="91"/>
        <v>167102.48894561836</v>
      </c>
      <c r="T990" s="123">
        <f t="shared" si="94"/>
        <v>0</v>
      </c>
      <c r="U990" s="123">
        <f t="shared" si="95"/>
        <v>1</v>
      </c>
    </row>
    <row r="991" spans="11:21" x14ac:dyDescent="0.25">
      <c r="K991" s="123" t="s">
        <v>1100</v>
      </c>
      <c r="L991" s="126">
        <v>6307.1746779145742</v>
      </c>
      <c r="M991" s="126">
        <v>5.7837630936149944</v>
      </c>
      <c r="N991" s="126">
        <v>7868.9930663697633</v>
      </c>
      <c r="O991" s="126">
        <v>7.7893936973632876</v>
      </c>
      <c r="P991" s="123">
        <f t="shared" si="92"/>
        <v>-1561.8183884551891</v>
      </c>
      <c r="Q991" s="123">
        <f t="shared" si="93"/>
        <v>-2.0056306037482932</v>
      </c>
      <c r="R991" s="123">
        <f t="shared" si="90"/>
        <v>109368.08719438531</v>
      </c>
      <c r="S991" s="123">
        <f t="shared" si="91"/>
        <v>147918.880880896</v>
      </c>
      <c r="T991" s="123">
        <f t="shared" si="94"/>
        <v>0</v>
      </c>
      <c r="U991" s="123">
        <f t="shared" si="95"/>
        <v>1</v>
      </c>
    </row>
    <row r="992" spans="11:21" x14ac:dyDescent="0.25">
      <c r="K992" s="123" t="s">
        <v>1101</v>
      </c>
      <c r="L992" s="126">
        <v>8502.9003765039724</v>
      </c>
      <c r="M992" s="126">
        <v>8.418786970079454</v>
      </c>
      <c r="N992" s="126">
        <v>5342.0047421213494</v>
      </c>
      <c r="O992" s="126">
        <v>5.5233813872904589</v>
      </c>
      <c r="P992" s="123">
        <f t="shared" si="92"/>
        <v>3160.895634382623</v>
      </c>
      <c r="Q992" s="123">
        <f t="shared" si="93"/>
        <v>2.8954055827889951</v>
      </c>
      <c r="R992" s="123">
        <f t="shared" si="90"/>
        <v>159872.83902508512</v>
      </c>
      <c r="S992" s="123">
        <f t="shared" si="91"/>
        <v>105125.62300368783</v>
      </c>
      <c r="T992" s="123">
        <f t="shared" si="94"/>
        <v>1</v>
      </c>
      <c r="U992" s="123">
        <f t="shared" si="95"/>
        <v>0</v>
      </c>
    </row>
    <row r="993" spans="11:21" x14ac:dyDescent="0.25">
      <c r="K993" s="123" t="s">
        <v>1102</v>
      </c>
      <c r="L993" s="126">
        <v>8646.3466618412858</v>
      </c>
      <c r="M993" s="126">
        <v>8.1529903274867976</v>
      </c>
      <c r="N993" s="126">
        <v>8209.8652757566197</v>
      </c>
      <c r="O993" s="126">
        <v>8.3740576293996547</v>
      </c>
      <c r="P993" s="123">
        <f t="shared" si="92"/>
        <v>436.48138608466616</v>
      </c>
      <c r="Q993" s="123">
        <f t="shared" si="93"/>
        <v>-0.22106730191285706</v>
      </c>
      <c r="R993" s="123">
        <f t="shared" si="90"/>
        <v>154413.45988789466</v>
      </c>
      <c r="S993" s="123">
        <f t="shared" si="91"/>
        <v>159271.28731223647</v>
      </c>
      <c r="T993" s="123">
        <f t="shared" si="94"/>
        <v>0</v>
      </c>
      <c r="U993" s="123">
        <f t="shared" si="95"/>
        <v>1</v>
      </c>
    </row>
    <row r="994" spans="11:21" x14ac:dyDescent="0.25">
      <c r="K994" s="123" t="s">
        <v>1103</v>
      </c>
      <c r="L994" s="126">
        <v>8582.4547592186846</v>
      </c>
      <c r="M994" s="126">
        <v>8.778933846541296</v>
      </c>
      <c r="N994" s="126">
        <v>5403.0661712072242</v>
      </c>
      <c r="O994" s="126">
        <v>5.7234326339888639</v>
      </c>
      <c r="P994" s="123">
        <f t="shared" si="92"/>
        <v>3179.3885880114603</v>
      </c>
      <c r="Q994" s="123">
        <f t="shared" si="93"/>
        <v>3.0555012125524321</v>
      </c>
      <c r="R994" s="123">
        <f t="shared" si="90"/>
        <v>166996.22217160725</v>
      </c>
      <c r="S994" s="123">
        <f t="shared" si="91"/>
        <v>109065.58650857006</v>
      </c>
      <c r="T994" s="123">
        <f t="shared" si="94"/>
        <v>1</v>
      </c>
      <c r="U994" s="123">
        <f t="shared" si="95"/>
        <v>0</v>
      </c>
    </row>
    <row r="995" spans="11:21" x14ac:dyDescent="0.25">
      <c r="K995" s="123" t="s">
        <v>1104</v>
      </c>
      <c r="L995" s="126">
        <v>5973.6916704780124</v>
      </c>
      <c r="M995" s="126">
        <v>2.9401336789984742</v>
      </c>
      <c r="N995" s="126">
        <v>10416.463298861399</v>
      </c>
      <c r="O995" s="126">
        <v>6.3675065290348218</v>
      </c>
      <c r="P995" s="123">
        <f t="shared" si="92"/>
        <v>-4442.771628383387</v>
      </c>
      <c r="Q995" s="123">
        <f t="shared" si="93"/>
        <v>-3.4273728500363476</v>
      </c>
      <c r="R995" s="123">
        <f t="shared" si="90"/>
        <v>52828.981909491471</v>
      </c>
      <c r="S995" s="123">
        <f t="shared" si="91"/>
        <v>116933.66728183503</v>
      </c>
      <c r="T995" s="123">
        <f t="shared" si="94"/>
        <v>0</v>
      </c>
      <c r="U995" s="123">
        <f t="shared" si="95"/>
        <v>1</v>
      </c>
    </row>
    <row r="996" spans="11:21" x14ac:dyDescent="0.25">
      <c r="K996" s="123" t="s">
        <v>1105</v>
      </c>
      <c r="L996" s="126">
        <v>7199.4579916225466</v>
      </c>
      <c r="M996" s="126">
        <v>6.5046837264158466</v>
      </c>
      <c r="N996" s="126">
        <v>7434.46164325069</v>
      </c>
      <c r="O996" s="126">
        <v>7.5829165425294924</v>
      </c>
      <c r="P996" s="123">
        <f t="shared" si="92"/>
        <v>-235.00365162814342</v>
      </c>
      <c r="Q996" s="123">
        <f t="shared" si="93"/>
        <v>-1.0782328161136459</v>
      </c>
      <c r="R996" s="123">
        <f t="shared" si="90"/>
        <v>122894.21653669438</v>
      </c>
      <c r="S996" s="123">
        <f t="shared" si="91"/>
        <v>144223.86920733916</v>
      </c>
      <c r="T996" s="123">
        <f t="shared" si="94"/>
        <v>0</v>
      </c>
      <c r="U996" s="123">
        <f t="shared" si="95"/>
        <v>1</v>
      </c>
    </row>
    <row r="997" spans="11:21" x14ac:dyDescent="0.25">
      <c r="K997" s="123" t="s">
        <v>1106</v>
      </c>
      <c r="L997" s="126">
        <v>9634.0622556387862</v>
      </c>
      <c r="M997" s="126">
        <v>8.138001505508484</v>
      </c>
      <c r="N997" s="126">
        <v>6568.3615851128934</v>
      </c>
      <c r="O997" s="126">
        <v>6.0635910604928203</v>
      </c>
      <c r="P997" s="123">
        <f t="shared" si="92"/>
        <v>3065.7006705258927</v>
      </c>
      <c r="Q997" s="123">
        <f t="shared" si="93"/>
        <v>2.0744104450156637</v>
      </c>
      <c r="R997" s="123">
        <f t="shared" si="90"/>
        <v>153125.96785453087</v>
      </c>
      <c r="S997" s="123">
        <f t="shared" si="91"/>
        <v>114703.45962474351</v>
      </c>
      <c r="T997" s="123">
        <f t="shared" si="94"/>
        <v>1</v>
      </c>
      <c r="U997" s="123">
        <f t="shared" si="95"/>
        <v>0</v>
      </c>
    </row>
    <row r="998" spans="11:21" x14ac:dyDescent="0.25">
      <c r="K998" s="123" t="s">
        <v>1107</v>
      </c>
      <c r="L998" s="126">
        <v>6637.0465383966348</v>
      </c>
      <c r="M998" s="126">
        <v>6.079946213859035</v>
      </c>
      <c r="N998" s="126">
        <v>4571.6931169963518</v>
      </c>
      <c r="O998" s="126">
        <v>4.2935811385286948</v>
      </c>
      <c r="P998" s="123">
        <f t="shared" si="92"/>
        <v>2065.353421400283</v>
      </c>
      <c r="Q998" s="123">
        <f t="shared" si="93"/>
        <v>1.7863650753303402</v>
      </c>
      <c r="R998" s="123">
        <f t="shared" si="90"/>
        <v>114961.87773878407</v>
      </c>
      <c r="S998" s="123">
        <f t="shared" si="91"/>
        <v>81299.92965357755</v>
      </c>
      <c r="T998" s="123">
        <f t="shared" si="94"/>
        <v>1</v>
      </c>
      <c r="U998" s="123">
        <f t="shared" si="95"/>
        <v>0</v>
      </c>
    </row>
    <row r="999" spans="11:21" x14ac:dyDescent="0.25">
      <c r="K999" s="123" t="s">
        <v>1108</v>
      </c>
      <c r="L999" s="126">
        <v>6499.7649849606059</v>
      </c>
      <c r="M999" s="126">
        <v>5.6792906515353723</v>
      </c>
      <c r="N999" s="126">
        <v>5644.915620521866</v>
      </c>
      <c r="O999" s="126">
        <v>5.3968364198279941</v>
      </c>
      <c r="P999" s="123">
        <f t="shared" si="92"/>
        <v>854.84936443873994</v>
      </c>
      <c r="Q999" s="123">
        <f t="shared" si="93"/>
        <v>0.28245423170737816</v>
      </c>
      <c r="R999" s="123">
        <f t="shared" si="90"/>
        <v>107086.04804574684</v>
      </c>
      <c r="S999" s="123">
        <f t="shared" si="91"/>
        <v>102291.81277603802</v>
      </c>
      <c r="T999" s="123">
        <f t="shared" si="94"/>
        <v>1</v>
      </c>
      <c r="U999" s="123">
        <f t="shared" si="95"/>
        <v>0</v>
      </c>
    </row>
    <row r="1000" spans="11:21" x14ac:dyDescent="0.25">
      <c r="K1000" s="123" t="s">
        <v>1109</v>
      </c>
      <c r="L1000" s="126">
        <v>9392.4120150894469</v>
      </c>
      <c r="M1000" s="126">
        <v>8.8639591847958474</v>
      </c>
      <c r="N1000" s="126">
        <v>7166.5785678950924</v>
      </c>
      <c r="O1000" s="126">
        <v>6.8550414111055202</v>
      </c>
      <c r="P1000" s="123">
        <f t="shared" si="92"/>
        <v>2225.8334471943544</v>
      </c>
      <c r="Q1000" s="123">
        <f t="shared" si="93"/>
        <v>2.0089177736903272</v>
      </c>
      <c r="R1000" s="123">
        <f t="shared" si="90"/>
        <v>167886.77168082751</v>
      </c>
      <c r="S1000" s="123">
        <f t="shared" si="91"/>
        <v>129934.24965421531</v>
      </c>
      <c r="T1000" s="123">
        <f t="shared" si="94"/>
        <v>1</v>
      </c>
      <c r="U1000" s="123">
        <f t="shared" si="95"/>
        <v>0</v>
      </c>
    </row>
    <row r="1001" spans="11:21" x14ac:dyDescent="0.25">
      <c r="K1001" s="123" t="s">
        <v>1110</v>
      </c>
      <c r="L1001" s="126">
        <v>6599.5429929546499</v>
      </c>
      <c r="M1001" s="126">
        <v>5.9614869312220264</v>
      </c>
      <c r="N1001" s="126">
        <v>8709.3320953501334</v>
      </c>
      <c r="O1001" s="126">
        <v>8.5058925538936574</v>
      </c>
      <c r="P1001" s="123">
        <f t="shared" si="92"/>
        <v>-2109.7891023954835</v>
      </c>
      <c r="Q1001" s="123">
        <f t="shared" si="93"/>
        <v>-2.544405622671631</v>
      </c>
      <c r="R1001" s="123">
        <f t="shared" si="90"/>
        <v>112630.19563148588</v>
      </c>
      <c r="S1001" s="123">
        <f t="shared" si="91"/>
        <v>161408.518982523</v>
      </c>
      <c r="T1001" s="123">
        <f t="shared" si="94"/>
        <v>0</v>
      </c>
      <c r="U1001" s="123">
        <f t="shared" si="95"/>
        <v>1</v>
      </c>
    </row>
    <row r="1002" spans="11:21" x14ac:dyDescent="0.25">
      <c r="K1002" s="123" t="s">
        <v>1111</v>
      </c>
      <c r="L1002" s="126">
        <v>10119.775337510189</v>
      </c>
      <c r="M1002" s="126">
        <v>11.508162633533628</v>
      </c>
      <c r="N1002" s="126">
        <v>8547.8378068640177</v>
      </c>
      <c r="O1002" s="126">
        <v>11.718168354738278</v>
      </c>
      <c r="P1002" s="123">
        <f t="shared" si="92"/>
        <v>1571.9375306461716</v>
      </c>
      <c r="Q1002" s="123">
        <f t="shared" si="93"/>
        <v>-0.21000572120465044</v>
      </c>
      <c r="R1002" s="123">
        <f t="shared" si="90"/>
        <v>220043.47733316236</v>
      </c>
      <c r="S1002" s="123">
        <f t="shared" si="91"/>
        <v>225815.52928790153</v>
      </c>
      <c r="T1002" s="123">
        <f t="shared" si="94"/>
        <v>0</v>
      </c>
      <c r="U1002" s="123">
        <f t="shared" si="95"/>
        <v>1</v>
      </c>
    </row>
    <row r="1003" spans="11:21" x14ac:dyDescent="0.25">
      <c r="K1003" s="123" t="s">
        <v>1112</v>
      </c>
      <c r="L1003" s="126">
        <v>9496.910574857453</v>
      </c>
      <c r="M1003" s="126">
        <v>8.9953075635712789</v>
      </c>
      <c r="N1003" s="126">
        <v>5765.2949484715527</v>
      </c>
      <c r="O1003" s="126">
        <v>6.1556911382050927</v>
      </c>
      <c r="P1003" s="123">
        <f t="shared" si="92"/>
        <v>3731.6156263859002</v>
      </c>
      <c r="Q1003" s="123">
        <f t="shared" si="93"/>
        <v>2.8396164253661862</v>
      </c>
      <c r="R1003" s="123">
        <f t="shared" si="90"/>
        <v>170409.2406965681</v>
      </c>
      <c r="S1003" s="123">
        <f t="shared" si="91"/>
        <v>117348.52781563031</v>
      </c>
      <c r="T1003" s="123">
        <f t="shared" si="94"/>
        <v>1</v>
      </c>
      <c r="U1003" s="123">
        <f t="shared" si="95"/>
        <v>0</v>
      </c>
    </row>
    <row r="1004" spans="11:21" x14ac:dyDescent="0.25">
      <c r="K1004" s="123" t="s">
        <v>1113</v>
      </c>
      <c r="L1004" s="126">
        <v>6454.0863628407205</v>
      </c>
      <c r="M1004" s="126">
        <v>6.6436985235596344</v>
      </c>
      <c r="N1004" s="126">
        <v>6544.9083530099142</v>
      </c>
      <c r="O1004" s="126">
        <v>7.5524063813393063</v>
      </c>
      <c r="P1004" s="123">
        <f t="shared" si="92"/>
        <v>-90.821990169193668</v>
      </c>
      <c r="Q1004" s="123">
        <f t="shared" si="93"/>
        <v>-0.90870785777967189</v>
      </c>
      <c r="R1004" s="123">
        <f t="shared" si="90"/>
        <v>126419.88410835195</v>
      </c>
      <c r="S1004" s="123">
        <f t="shared" si="91"/>
        <v>144503.21927377622</v>
      </c>
      <c r="T1004" s="123">
        <f t="shared" si="94"/>
        <v>0</v>
      </c>
      <c r="U1004" s="123">
        <f t="shared" si="95"/>
        <v>1</v>
      </c>
    </row>
    <row r="1005" spans="11:21" x14ac:dyDescent="0.25">
      <c r="K1005" s="123" t="s">
        <v>1114</v>
      </c>
      <c r="L1005" s="126">
        <v>10380.539163315138</v>
      </c>
      <c r="M1005" s="126">
        <v>11.476659668748628</v>
      </c>
      <c r="N1005" s="126">
        <v>5078.44116442014</v>
      </c>
      <c r="O1005" s="126">
        <v>6.5312897613425367</v>
      </c>
      <c r="P1005" s="123">
        <f t="shared" si="92"/>
        <v>5302.0979988949975</v>
      </c>
      <c r="Q1005" s="123">
        <f t="shared" si="93"/>
        <v>4.9453699074060911</v>
      </c>
      <c r="R1005" s="123">
        <f t="shared" si="90"/>
        <v>219152.65421165741</v>
      </c>
      <c r="S1005" s="123">
        <f t="shared" si="91"/>
        <v>125547.35406243059</v>
      </c>
      <c r="T1005" s="123">
        <f t="shared" si="94"/>
        <v>1</v>
      </c>
      <c r="U1005" s="123">
        <f t="shared" si="95"/>
        <v>0</v>
      </c>
    </row>
    <row r="1006" spans="11:21" x14ac:dyDescent="0.25">
      <c r="K1006" s="123" t="s">
        <v>1115</v>
      </c>
      <c r="L1006" s="126">
        <v>8285.1004677791479</v>
      </c>
      <c r="M1006" s="126">
        <v>8.538379991998104</v>
      </c>
      <c r="N1006" s="126">
        <v>7438.9079935952677</v>
      </c>
      <c r="O1006" s="126">
        <v>7.7511937500696408</v>
      </c>
      <c r="P1006" s="123">
        <f t="shared" si="92"/>
        <v>846.19247418388022</v>
      </c>
      <c r="Q1006" s="123">
        <f t="shared" si="93"/>
        <v>0.7871862419284632</v>
      </c>
      <c r="R1006" s="123">
        <f t="shared" si="90"/>
        <v>162482.49937218294</v>
      </c>
      <c r="S1006" s="123">
        <f t="shared" si="91"/>
        <v>147584.96700779756</v>
      </c>
      <c r="T1006" s="123">
        <f t="shared" si="94"/>
        <v>1</v>
      </c>
      <c r="U1006" s="123">
        <f t="shared" si="95"/>
        <v>0</v>
      </c>
    </row>
    <row r="1007" spans="11:21" x14ac:dyDescent="0.25">
      <c r="K1007" s="123" t="s">
        <v>1116</v>
      </c>
      <c r="L1007" s="126">
        <v>7079.466141248693</v>
      </c>
      <c r="M1007" s="126">
        <v>5.5975106375944828</v>
      </c>
      <c r="N1007" s="126">
        <v>10256.885327642125</v>
      </c>
      <c r="O1007" s="126">
        <v>8.49435960005464</v>
      </c>
      <c r="P1007" s="123">
        <f t="shared" si="92"/>
        <v>-3177.419186393432</v>
      </c>
      <c r="Q1007" s="123">
        <f t="shared" si="93"/>
        <v>-2.8968489624601572</v>
      </c>
      <c r="R1007" s="123">
        <f t="shared" si="90"/>
        <v>104870.74661064097</v>
      </c>
      <c r="S1007" s="123">
        <f t="shared" si="91"/>
        <v>159630.30667345069</v>
      </c>
      <c r="T1007" s="123">
        <f t="shared" si="94"/>
        <v>0</v>
      </c>
      <c r="U1007" s="123">
        <f t="shared" si="95"/>
        <v>1</v>
      </c>
    </row>
    <row r="1008" spans="11:21" x14ac:dyDescent="0.25">
      <c r="K1008" s="123" t="s">
        <v>1117</v>
      </c>
      <c r="L1008" s="126">
        <v>11179.387274856717</v>
      </c>
      <c r="M1008" s="126">
        <v>10.658777659400091</v>
      </c>
      <c r="N1008" s="126">
        <v>6573.0924619715197</v>
      </c>
      <c r="O1008" s="126">
        <v>7.199264157760112</v>
      </c>
      <c r="P1008" s="123">
        <f t="shared" si="92"/>
        <v>4606.2948128851976</v>
      </c>
      <c r="Q1008" s="123">
        <f t="shared" si="93"/>
        <v>3.4595135016399787</v>
      </c>
      <c r="R1008" s="123">
        <f t="shared" si="90"/>
        <v>201996.16591314512</v>
      </c>
      <c r="S1008" s="123">
        <f t="shared" si="91"/>
        <v>137412.19069323072</v>
      </c>
      <c r="T1008" s="123">
        <f t="shared" si="94"/>
        <v>1</v>
      </c>
      <c r="U1008" s="123">
        <f t="shared" si="95"/>
        <v>0</v>
      </c>
    </row>
    <row r="1009" spans="11:21" x14ac:dyDescent="0.25">
      <c r="K1009" s="123" t="s">
        <v>1118</v>
      </c>
      <c r="L1009" s="126">
        <v>8858.9343658920989</v>
      </c>
      <c r="M1009" s="126">
        <v>8.5027754318105764</v>
      </c>
      <c r="N1009" s="126">
        <v>6874.0879440437329</v>
      </c>
      <c r="O1009" s="126">
        <v>8.2978648595993469</v>
      </c>
      <c r="P1009" s="123">
        <f t="shared" si="92"/>
        <v>1984.8464218483659</v>
      </c>
      <c r="Q1009" s="123">
        <f t="shared" si="93"/>
        <v>0.20491057221122944</v>
      </c>
      <c r="R1009" s="123">
        <f t="shared" si="90"/>
        <v>161196.57427031943</v>
      </c>
      <c r="S1009" s="123">
        <f t="shared" si="91"/>
        <v>159083.20924794319</v>
      </c>
      <c r="T1009" s="123">
        <f t="shared" si="94"/>
        <v>1</v>
      </c>
      <c r="U1009" s="123">
        <f t="shared" si="95"/>
        <v>0</v>
      </c>
    </row>
    <row r="1010" spans="11:21" x14ac:dyDescent="0.25">
      <c r="K1010" s="123" t="s">
        <v>1119</v>
      </c>
      <c r="L1010" s="126">
        <v>11206.582886276599</v>
      </c>
      <c r="M1010" s="126">
        <v>10.864065594962312</v>
      </c>
      <c r="N1010" s="126">
        <v>6685.790947104615</v>
      </c>
      <c r="O1010" s="126">
        <v>6.7496307348583553</v>
      </c>
      <c r="P1010" s="123">
        <f t="shared" si="92"/>
        <v>4520.7919391719843</v>
      </c>
      <c r="Q1010" s="123">
        <f t="shared" si="93"/>
        <v>4.1144348601039571</v>
      </c>
      <c r="R1010" s="123">
        <f t="shared" si="90"/>
        <v>206074.72901296965</v>
      </c>
      <c r="S1010" s="123">
        <f t="shared" si="91"/>
        <v>128306.82375006248</v>
      </c>
      <c r="T1010" s="123">
        <f t="shared" si="94"/>
        <v>1</v>
      </c>
      <c r="U1010" s="123">
        <f t="shared" si="95"/>
        <v>0</v>
      </c>
    </row>
    <row r="1011" spans="11:21" x14ac:dyDescent="0.25">
      <c r="K1011" s="123" t="s">
        <v>1120</v>
      </c>
      <c r="L1011" s="126">
        <v>7844.2743401545486</v>
      </c>
      <c r="M1011" s="126">
        <v>8.2706743299709284</v>
      </c>
      <c r="N1011" s="126">
        <v>8351.9701218382961</v>
      </c>
      <c r="O1011" s="126">
        <v>9.9307030440199178</v>
      </c>
      <c r="P1011" s="123">
        <f t="shared" si="92"/>
        <v>-507.69578168374755</v>
      </c>
      <c r="Q1011" s="123">
        <f t="shared" si="93"/>
        <v>-1.6600287140489893</v>
      </c>
      <c r="R1011" s="123">
        <f t="shared" si="90"/>
        <v>157569.21225926402</v>
      </c>
      <c r="S1011" s="123">
        <f t="shared" si="91"/>
        <v>190262.09075856005</v>
      </c>
      <c r="T1011" s="123">
        <f t="shared" si="94"/>
        <v>0</v>
      </c>
      <c r="U1011" s="123">
        <f t="shared" si="95"/>
        <v>1</v>
      </c>
    </row>
    <row r="1012" spans="11:21" x14ac:dyDescent="0.25">
      <c r="K1012" s="123" t="s">
        <v>1121</v>
      </c>
      <c r="L1012" s="126">
        <v>10180.859709140979</v>
      </c>
      <c r="M1012" s="126">
        <v>9.1319556589189066</v>
      </c>
      <c r="N1012" s="126">
        <v>7525.535390979373</v>
      </c>
      <c r="O1012" s="126">
        <v>6.9906664601134132</v>
      </c>
      <c r="P1012" s="123">
        <f t="shared" si="92"/>
        <v>2655.3243181616062</v>
      </c>
      <c r="Q1012" s="123">
        <f t="shared" si="93"/>
        <v>2.1412891988054934</v>
      </c>
      <c r="R1012" s="123">
        <f t="shared" si="90"/>
        <v>172458.25346923716</v>
      </c>
      <c r="S1012" s="123">
        <f t="shared" si="91"/>
        <v>132287.7938112889</v>
      </c>
      <c r="T1012" s="123">
        <f t="shared" si="94"/>
        <v>1</v>
      </c>
      <c r="U1012" s="123">
        <f t="shared" si="95"/>
        <v>0</v>
      </c>
    </row>
    <row r="1013" spans="11:21" x14ac:dyDescent="0.25">
      <c r="K1013" s="123" t="s">
        <v>1122</v>
      </c>
      <c r="L1013" s="126">
        <v>8277.6305565784296</v>
      </c>
      <c r="M1013" s="126">
        <v>7.5774078359087991</v>
      </c>
      <c r="N1013" s="126">
        <v>6900.0357393683262</v>
      </c>
      <c r="O1013" s="126">
        <v>6.72345204347533</v>
      </c>
      <c r="P1013" s="123">
        <f t="shared" si="92"/>
        <v>1377.5948172101034</v>
      </c>
      <c r="Q1013" s="123">
        <f t="shared" si="93"/>
        <v>0.85395579243346909</v>
      </c>
      <c r="R1013" s="123">
        <f t="shared" si="90"/>
        <v>143270.52616159755</v>
      </c>
      <c r="S1013" s="123">
        <f t="shared" si="91"/>
        <v>127569.00513013828</v>
      </c>
      <c r="T1013" s="123">
        <f t="shared" si="94"/>
        <v>1</v>
      </c>
      <c r="U1013" s="123">
        <f t="shared" si="95"/>
        <v>0</v>
      </c>
    </row>
    <row r="1014" spans="11:21" x14ac:dyDescent="0.25">
      <c r="K1014" s="123" t="s">
        <v>1123</v>
      </c>
      <c r="L1014" s="126">
        <v>12093.484498221729</v>
      </c>
      <c r="M1014" s="126">
        <v>11.434363212324923</v>
      </c>
      <c r="N1014" s="126">
        <v>9451.4826812799947</v>
      </c>
      <c r="O1014" s="126">
        <v>9.6131553628743021</v>
      </c>
      <c r="P1014" s="123">
        <f t="shared" si="92"/>
        <v>2642.0018169417344</v>
      </c>
      <c r="Q1014" s="123">
        <f t="shared" si="93"/>
        <v>1.8212078494506212</v>
      </c>
      <c r="R1014" s="123">
        <f t="shared" si="90"/>
        <v>216593.77974827675</v>
      </c>
      <c r="S1014" s="123">
        <f t="shared" si="91"/>
        <v>182811.62457620603</v>
      </c>
      <c r="T1014" s="123">
        <f t="shared" si="94"/>
        <v>1</v>
      </c>
      <c r="U1014" s="123">
        <f t="shared" si="95"/>
        <v>0</v>
      </c>
    </row>
    <row r="1015" spans="11:21" x14ac:dyDescent="0.25">
      <c r="K1015" s="123" t="s">
        <v>1124</v>
      </c>
      <c r="L1015" s="126">
        <v>8336.4925260017335</v>
      </c>
      <c r="M1015" s="126">
        <v>8.0883996756953156</v>
      </c>
      <c r="N1015" s="126">
        <v>7362.9501318953389</v>
      </c>
      <c r="O1015" s="126">
        <v>7.5618160889346244</v>
      </c>
      <c r="P1015" s="123">
        <f t="shared" si="92"/>
        <v>973.54239410639457</v>
      </c>
      <c r="Q1015" s="123">
        <f t="shared" si="93"/>
        <v>0.52658358676069117</v>
      </c>
      <c r="R1015" s="123">
        <f t="shared" si="90"/>
        <v>153431.50098790458</v>
      </c>
      <c r="S1015" s="123">
        <f t="shared" si="91"/>
        <v>143873.37164679714</v>
      </c>
      <c r="T1015" s="123">
        <f t="shared" si="94"/>
        <v>1</v>
      </c>
      <c r="U1015" s="123">
        <f t="shared" si="95"/>
        <v>0</v>
      </c>
    </row>
    <row r="1016" spans="11:21" x14ac:dyDescent="0.25">
      <c r="K1016" s="123" t="s">
        <v>1125</v>
      </c>
      <c r="L1016" s="126">
        <v>6674.2258839459719</v>
      </c>
      <c r="M1016" s="126">
        <v>6.3854654926119867</v>
      </c>
      <c r="N1016" s="126">
        <v>8276.0187016474047</v>
      </c>
      <c r="O1016" s="126">
        <v>8.6903587254834367</v>
      </c>
      <c r="P1016" s="123">
        <f t="shared" si="92"/>
        <v>-1601.7928177014328</v>
      </c>
      <c r="Q1016" s="123">
        <f t="shared" si="93"/>
        <v>-2.30489323287145</v>
      </c>
      <c r="R1016" s="123">
        <f t="shared" si="90"/>
        <v>121035.08396829377</v>
      </c>
      <c r="S1016" s="123">
        <f t="shared" si="91"/>
        <v>165531.15580802131</v>
      </c>
      <c r="T1016" s="123">
        <f t="shared" si="94"/>
        <v>0</v>
      </c>
      <c r="U1016" s="123">
        <f t="shared" si="95"/>
        <v>1</v>
      </c>
    </row>
  </sheetData>
  <mergeCells count="7">
    <mergeCell ref="P12:P13"/>
    <mergeCell ref="Q12:Q13"/>
    <mergeCell ref="N12:O12"/>
    <mergeCell ref="L12:M12"/>
    <mergeCell ref="W13:Y13"/>
    <mergeCell ref="T12:U12"/>
    <mergeCell ref="R12:S12"/>
  </mergeCells>
  <phoneticPr fontId="13" type="noConversion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A9F28-9FC3-4F87-AC93-D32ADAA33EA1}">
  <sheetPr codeName="Sheet9"/>
  <dimension ref="C3:D4"/>
  <sheetViews>
    <sheetView showGridLines="0" workbookViewId="0">
      <selection activeCell="U28" sqref="U28"/>
    </sheetView>
  </sheetViews>
  <sheetFormatPr defaultRowHeight="15" x14ac:dyDescent="0.25"/>
  <cols>
    <col min="3" max="3" width="18" customWidth="1"/>
  </cols>
  <sheetData>
    <row r="3" spans="3:4" x14ac:dyDescent="0.25">
      <c r="C3" s="21" t="s">
        <v>25</v>
      </c>
      <c r="D3" s="23" t="s">
        <v>26</v>
      </c>
    </row>
    <row r="4" spans="3:4" x14ac:dyDescent="0.25">
      <c r="D4" s="22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41</vt:i4>
      </vt:variant>
    </vt:vector>
  </HeadingPairs>
  <TitlesOfParts>
    <vt:vector size="51" baseType="lpstr">
      <vt:lpstr>Cover</vt:lpstr>
      <vt:lpstr>Model overview</vt:lpstr>
      <vt:lpstr>Model settings</vt:lpstr>
      <vt:lpstr>Model parameters</vt:lpstr>
      <vt:lpstr>Model engine A</vt:lpstr>
      <vt:lpstr>Model engine B</vt:lpstr>
      <vt:lpstr>Results</vt:lpstr>
      <vt:lpstr>DSA</vt:lpstr>
      <vt:lpstr>PSA</vt:lpstr>
      <vt:lpstr>List</vt:lpstr>
      <vt:lpstr>Base_ICER</vt:lpstr>
      <vt:lpstr>CEAC_clear</vt:lpstr>
      <vt:lpstr>CEAC_current</vt:lpstr>
      <vt:lpstr>CEAC_paste</vt:lpstr>
      <vt:lpstr>deterministic_value</vt:lpstr>
      <vt:lpstr>discount_cost</vt:lpstr>
      <vt:lpstr>discount_healthOutcome</vt:lpstr>
      <vt:lpstr>DSA_results</vt:lpstr>
      <vt:lpstr>DSA_start</vt:lpstr>
      <vt:lpstr>Include_DSA</vt:lpstr>
      <vt:lpstr>Include_PSA</vt:lpstr>
      <vt:lpstr>Live_results</vt:lpstr>
      <vt:lpstr>lower_value</vt:lpstr>
      <vt:lpstr>NumSim</vt:lpstr>
      <vt:lpstr>OWSA_WTP</vt:lpstr>
      <vt:lpstr>p_c_A</vt:lpstr>
      <vt:lpstr>p_c_B</vt:lpstr>
      <vt:lpstr>p_c_h</vt:lpstr>
      <vt:lpstr>p_c_s</vt:lpstr>
      <vt:lpstr>p_control</vt:lpstr>
      <vt:lpstr>p_DSA_rows</vt:lpstr>
      <vt:lpstr>p_hh_A</vt:lpstr>
      <vt:lpstr>p_hh_B</vt:lpstr>
      <vt:lpstr>p_hs_A</vt:lpstr>
      <vt:lpstr>p_hs_B</vt:lpstr>
      <vt:lpstr>p_lower</vt:lpstr>
      <vt:lpstr>p_rows</vt:lpstr>
      <vt:lpstr>p_se</vt:lpstr>
      <vt:lpstr>p_ss_A</vt:lpstr>
      <vt:lpstr>p_ss_B</vt:lpstr>
      <vt:lpstr>p_u_h</vt:lpstr>
      <vt:lpstr>p_u_s</vt:lpstr>
      <vt:lpstr>p_upper</vt:lpstr>
      <vt:lpstr>parameter_name</vt:lpstr>
      <vt:lpstr>PSA_current</vt:lpstr>
      <vt:lpstr>PSA_simulation</vt:lpstr>
      <vt:lpstr>rng_ICER_Rank</vt:lpstr>
      <vt:lpstr>rng_Sort</vt:lpstr>
      <vt:lpstr>upper_value</vt:lpstr>
      <vt:lpstr>willingness_to_pay</vt:lpstr>
      <vt:lpstr>WTP_List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Qian Xin</dc:creator>
  <cp:lastModifiedBy>Michael O'Donnell</cp:lastModifiedBy>
  <dcterms:created xsi:type="dcterms:W3CDTF">2015-06-05T18:17:20Z</dcterms:created>
  <dcterms:modified xsi:type="dcterms:W3CDTF">2023-07-03T14:07:26Z</dcterms:modified>
</cp:coreProperties>
</file>