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0217A3DE-3D50-466A-9F53-C9EEB9875EE7}" xr6:coauthVersionLast="47" xr6:coauthVersionMax="47" xr10:uidLastSave="{00000000-0000-0000-0000-000000000000}"/>
  <bookViews>
    <workbookView xWindow="28680" yWindow="-120" windowWidth="29040" windowHeight="15720" xr2:uid="{51741016-DE60-49DF-9826-25EB96E04C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1" l="1"/>
  <c r="K35" i="1"/>
  <c r="K34" i="1"/>
  <c r="K33" i="1"/>
  <c r="K32" i="1"/>
  <c r="J32" i="1"/>
  <c r="J33" i="1"/>
  <c r="J34" i="1"/>
  <c r="J35" i="1"/>
  <c r="J36" i="1"/>
  <c r="I36" i="1"/>
  <c r="I35" i="1"/>
  <c r="I34" i="1"/>
  <c r="I33" i="1"/>
  <c r="I32" i="1"/>
  <c r="H36" i="1"/>
  <c r="H35" i="1"/>
  <c r="H34" i="1"/>
  <c r="H33" i="1"/>
  <c r="H32" i="1"/>
  <c r="G36" i="1"/>
  <c r="G35" i="1"/>
  <c r="G34" i="1"/>
  <c r="G33" i="1"/>
  <c r="G32" i="1"/>
  <c r="F36" i="1"/>
  <c r="F35" i="1"/>
  <c r="F34" i="1"/>
  <c r="F33" i="1"/>
  <c r="F32" i="1"/>
  <c r="E36" i="1"/>
  <c r="E35" i="1"/>
  <c r="E34" i="1"/>
  <c r="E33" i="1"/>
  <c r="E32" i="1"/>
  <c r="D36" i="1"/>
  <c r="D35" i="1"/>
  <c r="D34" i="1"/>
  <c r="D33" i="1"/>
  <c r="D32" i="1"/>
  <c r="C36" i="1"/>
  <c r="C35" i="1"/>
  <c r="C34" i="1"/>
  <c r="C33" i="1"/>
  <c r="C32" i="1"/>
  <c r="Q36" i="1"/>
  <c r="P36" i="1"/>
  <c r="O36" i="1"/>
  <c r="N36" i="1"/>
  <c r="M36" i="1"/>
  <c r="L36" i="1"/>
  <c r="Q35" i="1"/>
  <c r="P35" i="1"/>
  <c r="O35" i="1"/>
  <c r="N35" i="1"/>
  <c r="M35" i="1"/>
  <c r="L35" i="1"/>
  <c r="Q34" i="1"/>
  <c r="P34" i="1"/>
  <c r="O34" i="1"/>
  <c r="N34" i="1"/>
  <c r="M34" i="1"/>
  <c r="L34" i="1"/>
  <c r="Q33" i="1"/>
  <c r="P33" i="1"/>
  <c r="O33" i="1"/>
  <c r="N33" i="1"/>
  <c r="M33" i="1"/>
  <c r="L33" i="1"/>
  <c r="Q32" i="1"/>
  <c r="P32" i="1"/>
  <c r="O32" i="1"/>
  <c r="N32" i="1"/>
  <c r="M32" i="1"/>
  <c r="L32" i="1"/>
  <c r="L27" i="1"/>
  <c r="M27" i="1"/>
  <c r="N27" i="1"/>
  <c r="O27" i="1"/>
  <c r="P27" i="1"/>
  <c r="Q27" i="1"/>
  <c r="L28" i="1"/>
  <c r="M28" i="1"/>
  <c r="N28" i="1"/>
  <c r="O28" i="1"/>
  <c r="P28" i="1"/>
  <c r="Q28" i="1"/>
  <c r="L29" i="1"/>
  <c r="M29" i="1"/>
  <c r="N29" i="1"/>
  <c r="O29" i="1"/>
  <c r="P29" i="1"/>
  <c r="Q29" i="1"/>
  <c r="L30" i="1"/>
  <c r="M30" i="1"/>
  <c r="N30" i="1"/>
  <c r="O30" i="1"/>
  <c r="P30" i="1"/>
  <c r="Q30" i="1"/>
  <c r="L31" i="1"/>
  <c r="M31" i="1"/>
  <c r="N31" i="1"/>
  <c r="O31" i="1"/>
  <c r="P31" i="1"/>
  <c r="Q31" i="1"/>
  <c r="K31" i="1"/>
  <c r="J31" i="1"/>
  <c r="I31" i="1"/>
  <c r="H31" i="1"/>
  <c r="G31" i="1"/>
  <c r="F31" i="1"/>
  <c r="E31" i="1"/>
  <c r="D31" i="1"/>
  <c r="C31" i="1"/>
  <c r="K30" i="1"/>
  <c r="J30" i="1"/>
  <c r="I30" i="1"/>
  <c r="H30" i="1"/>
  <c r="G30" i="1"/>
  <c r="F30" i="1"/>
  <c r="E30" i="1"/>
  <c r="D30" i="1"/>
  <c r="C30" i="1"/>
  <c r="K29" i="1"/>
  <c r="J29" i="1"/>
  <c r="I29" i="1"/>
  <c r="H29" i="1"/>
  <c r="G29" i="1"/>
  <c r="F29" i="1"/>
  <c r="E29" i="1"/>
  <c r="D29" i="1"/>
  <c r="C29" i="1"/>
  <c r="K27" i="1"/>
  <c r="J27" i="1"/>
  <c r="I27" i="1"/>
  <c r="H27" i="1"/>
  <c r="G27" i="1"/>
  <c r="F27" i="1"/>
  <c r="E27" i="1"/>
  <c r="D27" i="1"/>
  <c r="C27" i="1"/>
  <c r="C28" i="1"/>
  <c r="D28" i="1"/>
  <c r="E28" i="1"/>
  <c r="F28" i="1"/>
  <c r="G28" i="1"/>
  <c r="H28" i="1"/>
  <c r="I28" i="1"/>
  <c r="J28" i="1"/>
  <c r="K28" i="1"/>
  <c r="L25" i="1"/>
  <c r="M25" i="1"/>
  <c r="N25" i="1"/>
  <c r="O25" i="1"/>
  <c r="P25" i="1"/>
  <c r="Q25" i="1"/>
  <c r="L26" i="1"/>
  <c r="M26" i="1"/>
  <c r="N26" i="1"/>
  <c r="O26" i="1"/>
  <c r="P26" i="1"/>
  <c r="Q26" i="1"/>
  <c r="K26" i="1"/>
  <c r="J26" i="1"/>
  <c r="I26" i="1"/>
  <c r="H26" i="1"/>
  <c r="G26" i="1"/>
  <c r="F26" i="1"/>
  <c r="E26" i="1"/>
  <c r="D26" i="1"/>
  <c r="C26" i="1"/>
  <c r="K25" i="1"/>
  <c r="K24" i="1"/>
  <c r="J25" i="1"/>
  <c r="I25" i="1"/>
  <c r="H25" i="1"/>
  <c r="G25" i="1"/>
  <c r="F25" i="1"/>
  <c r="E25" i="1"/>
  <c r="D25" i="1"/>
  <c r="C25" i="1"/>
  <c r="C24" i="1"/>
  <c r="R32" i="1" l="1"/>
  <c r="R33" i="1"/>
  <c r="R34" i="1"/>
  <c r="R35" i="1"/>
  <c r="R36" i="1"/>
  <c r="R30" i="1"/>
  <c r="R31" i="1"/>
  <c r="R29" i="1"/>
  <c r="R28" i="1"/>
  <c r="R27" i="1"/>
  <c r="R26" i="1"/>
  <c r="R25" i="1"/>
  <c r="L19" i="1" l="1"/>
  <c r="M19" i="1"/>
  <c r="N19" i="1"/>
  <c r="O19" i="1"/>
  <c r="P19" i="1"/>
  <c r="Q19" i="1"/>
  <c r="L20" i="1"/>
  <c r="M20" i="1"/>
  <c r="N20" i="1"/>
  <c r="O20" i="1"/>
  <c r="P20" i="1"/>
  <c r="Q20" i="1"/>
  <c r="L21" i="1"/>
  <c r="M21" i="1"/>
  <c r="N21" i="1"/>
  <c r="O21" i="1"/>
  <c r="P21" i="1"/>
  <c r="Q21" i="1"/>
  <c r="L22" i="1"/>
  <c r="M22" i="1"/>
  <c r="N22" i="1"/>
  <c r="O22" i="1"/>
  <c r="P22" i="1"/>
  <c r="Q22" i="1"/>
  <c r="L23" i="1"/>
  <c r="M23" i="1"/>
  <c r="N23" i="1"/>
  <c r="O23" i="1"/>
  <c r="P23" i="1"/>
  <c r="Q23" i="1"/>
  <c r="L24" i="1"/>
  <c r="M24" i="1"/>
  <c r="N24" i="1"/>
  <c r="O24" i="1"/>
  <c r="P24" i="1"/>
  <c r="Q24" i="1"/>
  <c r="K23" i="1"/>
  <c r="K22" i="1"/>
  <c r="K21" i="1"/>
  <c r="K20" i="1"/>
  <c r="K19" i="1"/>
  <c r="J24" i="1"/>
  <c r="I24" i="1"/>
  <c r="H24" i="1"/>
  <c r="G24" i="1"/>
  <c r="F24" i="1"/>
  <c r="E24" i="1"/>
  <c r="D24" i="1"/>
  <c r="J23" i="1"/>
  <c r="I23" i="1"/>
  <c r="H23" i="1"/>
  <c r="G23" i="1"/>
  <c r="F23" i="1"/>
  <c r="E23" i="1"/>
  <c r="D23" i="1"/>
  <c r="C23" i="1"/>
  <c r="J22" i="1"/>
  <c r="I22" i="1"/>
  <c r="H22" i="1"/>
  <c r="G22" i="1"/>
  <c r="F22" i="1"/>
  <c r="E22" i="1"/>
  <c r="D22" i="1"/>
  <c r="C22" i="1"/>
  <c r="J21" i="1"/>
  <c r="I21" i="1"/>
  <c r="H21" i="1"/>
  <c r="G21" i="1"/>
  <c r="F21" i="1"/>
  <c r="E21" i="1"/>
  <c r="D21" i="1"/>
  <c r="C21" i="1"/>
  <c r="J20" i="1"/>
  <c r="I20" i="1"/>
  <c r="H20" i="1"/>
  <c r="G20" i="1"/>
  <c r="F20" i="1"/>
  <c r="E20" i="1"/>
  <c r="D20" i="1"/>
  <c r="C20" i="1"/>
  <c r="J19" i="1"/>
  <c r="I19" i="1"/>
  <c r="H19" i="1"/>
  <c r="G19" i="1"/>
  <c r="F19" i="1"/>
  <c r="E19" i="1"/>
  <c r="D19" i="1"/>
  <c r="C19" i="1"/>
  <c r="C18" i="1"/>
  <c r="L17" i="1"/>
  <c r="M17" i="1"/>
  <c r="N17" i="1"/>
  <c r="O17" i="1"/>
  <c r="P17" i="1"/>
  <c r="Q17" i="1"/>
  <c r="L18" i="1"/>
  <c r="M18" i="1"/>
  <c r="N18" i="1"/>
  <c r="O18" i="1"/>
  <c r="P18" i="1"/>
  <c r="Q18" i="1"/>
  <c r="K18" i="1"/>
  <c r="J18" i="1"/>
  <c r="I18" i="1"/>
  <c r="H18" i="1"/>
  <c r="G18" i="1"/>
  <c r="F18" i="1"/>
  <c r="E18" i="1"/>
  <c r="D18" i="1"/>
  <c r="C17" i="1"/>
  <c r="K17" i="1"/>
  <c r="J17" i="1"/>
  <c r="I17" i="1"/>
  <c r="H17" i="1"/>
  <c r="G17" i="1"/>
  <c r="F17" i="1"/>
  <c r="E17" i="1"/>
  <c r="D17" i="1"/>
  <c r="C16" i="1"/>
  <c r="K15" i="1"/>
  <c r="L14" i="1"/>
  <c r="K16" i="1"/>
  <c r="J16" i="1"/>
  <c r="I16" i="1"/>
  <c r="H16" i="1"/>
  <c r="G16" i="1"/>
  <c r="F16" i="1"/>
  <c r="E16" i="1"/>
  <c r="D16" i="1"/>
  <c r="L16" i="1"/>
  <c r="M16" i="1"/>
  <c r="N16" i="1"/>
  <c r="O16" i="1"/>
  <c r="P16" i="1"/>
  <c r="Q16" i="1"/>
  <c r="L15" i="1"/>
  <c r="M15" i="1"/>
  <c r="N15" i="1"/>
  <c r="O15" i="1"/>
  <c r="P15" i="1"/>
  <c r="Q15" i="1"/>
  <c r="J15" i="1"/>
  <c r="I15" i="1"/>
  <c r="H15" i="1"/>
  <c r="G15" i="1"/>
  <c r="F15" i="1"/>
  <c r="E15" i="1"/>
  <c r="D15" i="1"/>
  <c r="C15" i="1"/>
  <c r="R24" i="1" l="1"/>
  <c r="R23" i="1"/>
  <c r="R22" i="1"/>
  <c r="R21" i="1"/>
  <c r="R20" i="1"/>
  <c r="R19" i="1"/>
  <c r="R18" i="1"/>
  <c r="R17" i="1"/>
  <c r="R16" i="1"/>
  <c r="R15" i="1"/>
  <c r="Q14" i="1" l="1"/>
  <c r="C14" i="1"/>
  <c r="D14" i="1"/>
  <c r="E14" i="1"/>
  <c r="F14" i="1"/>
  <c r="G14" i="1"/>
  <c r="H14" i="1"/>
  <c r="I14" i="1"/>
  <c r="J14" i="1"/>
  <c r="K14" i="1"/>
  <c r="M14" i="1"/>
  <c r="N14" i="1"/>
  <c r="O14" i="1"/>
  <c r="P14" i="1"/>
  <c r="J13" i="1"/>
  <c r="C13" i="1"/>
  <c r="K13" i="1"/>
  <c r="I13" i="1"/>
  <c r="H13" i="1"/>
  <c r="G13" i="1"/>
  <c r="F13" i="1"/>
  <c r="E13" i="1"/>
  <c r="D13" i="1"/>
  <c r="M13" i="1"/>
  <c r="N13" i="1"/>
  <c r="O13" i="1"/>
  <c r="P13" i="1"/>
  <c r="Q13" i="1"/>
  <c r="L13" i="1"/>
  <c r="R14" i="1" l="1"/>
  <c r="R13" i="1"/>
</calcChain>
</file>

<file path=xl/sharedStrings.xml><?xml version="1.0" encoding="utf-8"?>
<sst xmlns="http://schemas.openxmlformats.org/spreadsheetml/2006/main" count="29" uniqueCount="21">
  <si>
    <t>Functions</t>
  </si>
  <si>
    <t>Inputs</t>
  </si>
  <si>
    <t>Expected</t>
  </si>
  <si>
    <t>SUM</t>
  </si>
  <si>
    <t>PRODUCT</t>
  </si>
  <si>
    <t>AVERAGE</t>
  </si>
  <si>
    <t>Trigger Inputs</t>
  </si>
  <si>
    <t>Trigger function</t>
  </si>
  <si>
    <t>STDEV</t>
  </si>
  <si>
    <t>STDEV.S</t>
  </si>
  <si>
    <t>MEDIAN</t>
  </si>
  <si>
    <t>VAR</t>
  </si>
  <si>
    <t>VAR.S</t>
  </si>
  <si>
    <t>STDEVP</t>
  </si>
  <si>
    <t>STDEV.P</t>
  </si>
  <si>
    <t>VARP</t>
  </si>
  <si>
    <t>VAR.P</t>
  </si>
  <si>
    <t>MIN</t>
  </si>
  <si>
    <t>MAX</t>
  </si>
  <si>
    <t>QUARTILE</t>
  </si>
  <si>
    <t>QUARTILE.INC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</si>
</sst>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1:R36"/>
  <sheetViews>
    <sheetView tabSelected="1" topLeftCell="A10" workbookViewId="0">
      <selection activeCell="J39" sqref="J39"/>
    </sheetView>
  </sheetViews>
  <sheetFormatPr defaultRowHeight="15" x14ac:dyDescent="0.25"/>
  <cols>
    <col min="2" max="2" width="13" customWidth="1"/>
    <col min="3" max="3" width="12" bestFit="1" customWidth="1"/>
    <col min="4" max="10" width="8.7109375" customWidth="1"/>
    <col min="11" max="11" width="16.5703125" bestFit="1" customWidth="1"/>
    <col min="12" max="12" width="13.140625" bestFit="1" customWidth="1"/>
    <col min="13" max="16" width="12" bestFit="1" customWidth="1"/>
    <col min="17" max="17" width="22.42578125" bestFit="1" customWidth="1"/>
    <col min="22" max="22" width="12" bestFit="1" customWidth="1"/>
  </cols>
  <sheetData>
    <row r="1" spans="2:18" x14ac:dyDescent="0.25">
      <c r="C1" t="s">
        <v>1</v>
      </c>
    </row>
    <row r="2" spans="2:18" x14ac:dyDescent="0.25">
      <c r="C2">
        <v>0.1</v>
      </c>
      <c r="D2">
        <v>0.1</v>
      </c>
      <c r="E2">
        <v>0.1</v>
      </c>
      <c r="F2">
        <v>0.1</v>
      </c>
      <c r="G2">
        <v>0.1</v>
      </c>
      <c r="H2">
        <v>0.1</v>
      </c>
    </row>
    <row r="3" spans="2:18" x14ac:dyDescent="0.25">
      <c r="C3">
        <v>0.2</v>
      </c>
      <c r="D3">
        <v>0.2</v>
      </c>
      <c r="E3">
        <v>0.2</v>
      </c>
      <c r="F3">
        <v>0.2</v>
      </c>
      <c r="G3">
        <v>0.2</v>
      </c>
      <c r="H3">
        <v>0.2</v>
      </c>
    </row>
    <row r="4" spans="2:18" x14ac:dyDescent="0.25">
      <c r="C4">
        <v>0.3</v>
      </c>
      <c r="D4">
        <v>0.3</v>
      </c>
      <c r="E4">
        <v>0.3</v>
      </c>
      <c r="F4">
        <v>0.3</v>
      </c>
      <c r="G4">
        <v>0.3</v>
      </c>
      <c r="H4">
        <v>0.3</v>
      </c>
    </row>
    <row r="5" spans="2:18" x14ac:dyDescent="0.25">
      <c r="C5">
        <v>0.4</v>
      </c>
      <c r="D5">
        <v>0.4</v>
      </c>
      <c r="E5">
        <v>0.4</v>
      </c>
      <c r="F5">
        <v>0.4</v>
      </c>
      <c r="G5">
        <v>0.4</v>
      </c>
      <c r="H5">
        <v>0.4</v>
      </c>
    </row>
    <row r="6" spans="2:18" x14ac:dyDescent="0.25">
      <c r="C6">
        <v>0.5</v>
      </c>
      <c r="D6">
        <v>0.5</v>
      </c>
      <c r="E6">
        <v>0.5</v>
      </c>
      <c r="F6">
        <v>0.5</v>
      </c>
      <c r="G6">
        <v>0.5</v>
      </c>
      <c r="H6">
        <v>0.5</v>
      </c>
    </row>
    <row r="7" spans="2:18" x14ac:dyDescent="0.25">
      <c r="C7">
        <v>0.6</v>
      </c>
      <c r="D7">
        <v>0.6</v>
      </c>
      <c r="E7">
        <v>0.6</v>
      </c>
      <c r="F7">
        <v>0.6</v>
      </c>
      <c r="G7">
        <v>0.6</v>
      </c>
      <c r="H7">
        <v>0.6</v>
      </c>
    </row>
    <row r="8" spans="2:18" x14ac:dyDescent="0.25">
      <c r="C8">
        <v>0.7</v>
      </c>
      <c r="D8">
        <v>0.7</v>
      </c>
      <c r="E8">
        <v>0.7</v>
      </c>
      <c r="F8">
        <v>0.7</v>
      </c>
      <c r="G8">
        <v>0.7</v>
      </c>
      <c r="H8">
        <v>0.7</v>
      </c>
    </row>
    <row r="9" spans="2:18" x14ac:dyDescent="0.25">
      <c r="C9">
        <v>0.8</v>
      </c>
      <c r="D9">
        <v>0.8</v>
      </c>
      <c r="E9">
        <v>0.8</v>
      </c>
      <c r="F9">
        <v>0.8</v>
      </c>
      <c r="G9">
        <v>0.8</v>
      </c>
      <c r="H9">
        <v>0.8</v>
      </c>
    </row>
    <row r="10" spans="2:18" x14ac:dyDescent="0.25">
      <c r="C10">
        <v>0.9</v>
      </c>
      <c r="D10">
        <v>0.9</v>
      </c>
      <c r="E10">
        <v>0.9</v>
      </c>
      <c r="F10">
        <v>0.9</v>
      </c>
      <c r="G10">
        <v>0.9</v>
      </c>
      <c r="H10">
        <v>0.9</v>
      </c>
    </row>
    <row r="11" spans="2:18" ht="14.25" customHeight="1" x14ac:dyDescent="0.25"/>
    <row r="12" spans="2:18" x14ac:dyDescent="0.25">
      <c r="B12" t="s">
        <v>0</v>
      </c>
      <c r="C12" t="s">
        <v>2</v>
      </c>
      <c r="L12" t="s">
        <v>6</v>
      </c>
      <c r="R12" t="s">
        <v>7</v>
      </c>
    </row>
    <row r="13" spans="2:18" x14ac:dyDescent="0.25">
      <c r="B13" s="1" t="s">
        <v>3</v>
      </c>
      <c r="C13">
        <f>SUM($C$2:$H$2)</f>
        <v>0.6</v>
      </c>
      <c r="D13">
        <f>SUM($C$3:$H$3)</f>
        <v>1.2</v>
      </c>
      <c r="E13">
        <f>SUM($C$4:$H$4)</f>
        <v>1.8</v>
      </c>
      <c r="F13">
        <f>SUM($C$5:$H$5)</f>
        <v>2.4</v>
      </c>
      <c r="G13">
        <f>SUM($C$6:$H$6)</f>
        <v>3</v>
      </c>
      <c r="H13">
        <f>SUM($C$7:$H$7)</f>
        <v>3.6</v>
      </c>
      <c r="I13">
        <f>SUM($C$8:$H$8)</f>
        <v>4.2</v>
      </c>
      <c r="J13">
        <f>SUM($C$9:$H$9)</f>
        <v>4.8</v>
      </c>
      <c r="K13">
        <f>SUM($C$10:$H$10)</f>
        <v>5.4</v>
      </c>
      <c r="L13">
        <f ca="1">RAND()</f>
        <v>0.53771200874691416</v>
      </c>
      <c r="M13">
        <f t="shared" ref="M13:Q13" ca="1" si="0">RAND()</f>
        <v>0.24382702205801676</v>
      </c>
      <c r="N13">
        <f t="shared" ca="1" si="0"/>
        <v>0.65585902385711381</v>
      </c>
      <c r="O13">
        <f t="shared" ca="1" si="0"/>
        <v>0.82257109484472635</v>
      </c>
      <c r="P13">
        <f t="shared" ca="1" si="0"/>
        <v>0.80490889819571509</v>
      </c>
      <c r="Q13">
        <f t="shared" ca="1" si="0"/>
        <v>0.87723189031851767</v>
      </c>
      <c r="R13">
        <f ca="1">SUM(L13:Q13)</f>
        <v>3.9421099380210034</v>
      </c>
    </row>
    <row r="14" spans="2:18" x14ac:dyDescent="0.25">
      <c r="B14" s="1" t="s">
        <v>4</v>
      </c>
      <c r="C14">
        <f>PRODUCT($C$2:$H$2)</f>
        <v>1.0000000000000004E-6</v>
      </c>
      <c r="D14">
        <f>PRODUCT($C$3:$H$3)</f>
        <v>6.4000000000000024E-5</v>
      </c>
      <c r="E14">
        <f>PRODUCT($C$4:$H$4)</f>
        <v>7.2899999999999994E-4</v>
      </c>
      <c r="F14">
        <f>PRODUCT($C$5:$H$5)</f>
        <v>4.0960000000000015E-3</v>
      </c>
      <c r="G14">
        <f>PRODUCT($C$6:$H$6)</f>
        <v>1.5625E-2</v>
      </c>
      <c r="H14">
        <f>PRODUCT($C$7:$H$7)</f>
        <v>4.6655999999999996E-2</v>
      </c>
      <c r="I14">
        <f>PRODUCT($C$8:$H$8)</f>
        <v>0.11764899999999995</v>
      </c>
      <c r="J14">
        <f>PRODUCT($C$9:$H$9)</f>
        <v>0.2621440000000001</v>
      </c>
      <c r="K14">
        <f>PRODUCT($C$10:$H$10)</f>
        <v>0.53144100000000016</v>
      </c>
      <c r="L14">
        <f ca="1">RAND()</f>
        <v>0.728731964853501</v>
      </c>
      <c r="M14">
        <f t="shared" ref="M14:Q29" ca="1" si="1">RAND()</f>
        <v>0.40123624688009973</v>
      </c>
      <c r="N14">
        <f t="shared" ca="1" si="1"/>
        <v>0.19159142208004276</v>
      </c>
      <c r="O14">
        <f t="shared" ca="1" si="1"/>
        <v>0.15822044322604722</v>
      </c>
      <c r="P14">
        <f t="shared" ca="1" si="1"/>
        <v>0.34334730178694817</v>
      </c>
      <c r="Q14">
        <f ca="1">RAND()</f>
        <v>6.5466946656493885E-2</v>
      </c>
      <c r="R14">
        <f ca="1">PRODUCT(L14:Q14)</f>
        <v>1.9923349879898339E-4</v>
      </c>
    </row>
    <row r="15" spans="2:18" x14ac:dyDescent="0.25">
      <c r="B15" s="1" t="s">
        <v>10</v>
      </c>
      <c r="C15">
        <f>MEDIAN($C$2:$H$2)</f>
        <v>0.1</v>
      </c>
      <c r="D15">
        <f>MEDIAN($C$3:$H$3)</f>
        <v>0.2</v>
      </c>
      <c r="E15">
        <f>MEDIAN($C$4:$H$4)</f>
        <v>0.3</v>
      </c>
      <c r="F15">
        <f>MEDIAN($C$5:$H$5)</f>
        <v>0.4</v>
      </c>
      <c r="G15">
        <f>MEDIAN($C$6:$H$6)</f>
        <v>0.5</v>
      </c>
      <c r="H15">
        <f>MEDIAN($C$7:$H$7)</f>
        <v>0.6</v>
      </c>
      <c r="I15">
        <f>MEDIAN($C$8:$H$8)</f>
        <v>0.7</v>
      </c>
      <c r="J15">
        <f>MEDIAN($C$9:$H$9)</f>
        <v>0.8</v>
      </c>
      <c r="K15">
        <f>MEDIAN($C$10:$H$10)</f>
        <v>0.9</v>
      </c>
      <c r="L15">
        <f ca="1">RAND()</f>
        <v>0.60762316080027468</v>
      </c>
      <c r="M15">
        <f t="shared" ca="1" si="1"/>
        <v>0.69421062082367269</v>
      </c>
      <c r="N15">
        <f t="shared" ca="1" si="1"/>
        <v>0.60512193910008039</v>
      </c>
      <c r="O15">
        <f t="shared" ca="1" si="1"/>
        <v>6.3309148078184552E-2</v>
      </c>
      <c r="P15">
        <f t="shared" ca="1" si="1"/>
        <v>0.46097881258210005</v>
      </c>
      <c r="Q15">
        <f ca="1">RAND()</f>
        <v>0.66148674643803684</v>
      </c>
      <c r="R15">
        <f ca="1">MEDIAN(L15:Q15)</f>
        <v>0.60637254995017753</v>
      </c>
    </row>
    <row r="16" spans="2:18" x14ac:dyDescent="0.25">
      <c r="B16" s="1" t="s">
        <v>5</v>
      </c>
      <c r="C16">
        <f>AVERAGE($C$2:$H$2)</f>
        <v>9.9999999999999992E-2</v>
      </c>
      <c r="D16">
        <f>AVERAGE($C$3:$H$3)</f>
        <v>0.19999999999999998</v>
      </c>
      <c r="E16">
        <f>AVERAGE($C$4:$H$4)</f>
        <v>0.3</v>
      </c>
      <c r="F16">
        <f>AVERAGE($C$5:$H$5)</f>
        <v>0.39999999999999997</v>
      </c>
      <c r="G16">
        <f>AVERAGE($C$6:$H$6)</f>
        <v>0.5</v>
      </c>
      <c r="H16">
        <f>AVERAGE($C$7:$H$7)</f>
        <v>0.6</v>
      </c>
      <c r="I16">
        <f>AVERAGE($C$8:$H$8)</f>
        <v>0.70000000000000007</v>
      </c>
      <c r="J16">
        <f>AVERAGE($C$9:$H$9)</f>
        <v>0.79999999999999993</v>
      </c>
      <c r="K16">
        <f>AVERAGE($C$10:$H$10)</f>
        <v>0.9</v>
      </c>
      <c r="L16">
        <f ca="1">RAND()</f>
        <v>0.69812419098332845</v>
      </c>
      <c r="M16">
        <f t="shared" ca="1" si="1"/>
        <v>0.59948581504969067</v>
      </c>
      <c r="N16">
        <f t="shared" ca="1" si="1"/>
        <v>0.90330732783813061</v>
      </c>
      <c r="O16">
        <f t="shared" ca="1" si="1"/>
        <v>0.21271560561776015</v>
      </c>
      <c r="P16">
        <f t="shared" ca="1" si="1"/>
        <v>0.49098371267360619</v>
      </c>
      <c r="Q16">
        <f ca="1">RAND()</f>
        <v>0.19881869937027874</v>
      </c>
      <c r="R16">
        <f ca="1">AVERAGE(L16:Q16)</f>
        <v>0.51723922525546584</v>
      </c>
    </row>
    <row r="17" spans="2:18" x14ac:dyDescent="0.25">
      <c r="B17" s="1" t="s">
        <v>8</v>
      </c>
      <c r="C17">
        <f>STDEV($C$2:$H$2)</f>
        <v>1.5202354861220293E-17</v>
      </c>
      <c r="D17">
        <f>STDEV($C$3:$H$3)</f>
        <v>3.0404709722440586E-17</v>
      </c>
      <c r="E17">
        <f>STDEV($C$4:$H$4)</f>
        <v>0</v>
      </c>
      <c r="F17">
        <f>STDEV($C$5:$H$5)</f>
        <v>6.0809419444881171E-17</v>
      </c>
      <c r="G17">
        <f>STDEV($C$6:$H$6)</f>
        <v>0</v>
      </c>
      <c r="H17">
        <f>STDEV($C$7:$H$7)</f>
        <v>0</v>
      </c>
      <c r="I17">
        <f>STDEV($C$8:$H$8)</f>
        <v>1.2161883888976234E-16</v>
      </c>
      <c r="J17">
        <f>STDEV($C$9:$H$9)</f>
        <v>1.2161883888976234E-16</v>
      </c>
      <c r="K17">
        <f>STDEV($C$10:$H$10)</f>
        <v>0</v>
      </c>
      <c r="L17">
        <f t="shared" ref="L17:Q32" ca="1" si="2">RAND()</f>
        <v>0.74319524561346795</v>
      </c>
      <c r="M17">
        <f t="shared" ca="1" si="1"/>
        <v>0.10281234130998385</v>
      </c>
      <c r="N17">
        <f t="shared" ca="1" si="1"/>
        <v>0.47350593699254662</v>
      </c>
      <c r="O17">
        <f t="shared" ca="1" si="1"/>
        <v>0.22585050761622838</v>
      </c>
      <c r="P17">
        <f t="shared" ca="1" si="1"/>
        <v>0.62835662095682054</v>
      </c>
      <c r="Q17">
        <f t="shared" ca="1" si="1"/>
        <v>0.75123179201860024</v>
      </c>
      <c r="R17">
        <f ca="1">STDEV(L17:Q17)</f>
        <v>0.27254944118587915</v>
      </c>
    </row>
    <row r="18" spans="2:18" x14ac:dyDescent="0.25">
      <c r="B18" s="1" t="s">
        <v>9</v>
      </c>
      <c r="C18">
        <f>_xlfn.STDEV.S($C$2:$H$2)</f>
        <v>1.5202354861220293E-17</v>
      </c>
      <c r="D18">
        <f>_xlfn.STDEV.S($C$3:$H$3)</f>
        <v>3.0404709722440586E-17</v>
      </c>
      <c r="E18">
        <f>_xlfn.STDEV.S($C$4:$H$4)</f>
        <v>0</v>
      </c>
      <c r="F18">
        <f>_xlfn.STDEV.S($C$5:$H$5)</f>
        <v>6.0809419444881171E-17</v>
      </c>
      <c r="G18">
        <f>_xlfn.STDEV.S($C$6:$H$6)</f>
        <v>0</v>
      </c>
      <c r="H18">
        <f>_xlfn.STDEV.S($C$7:$H$7)</f>
        <v>0</v>
      </c>
      <c r="I18">
        <f>_xlfn.STDEV.S($C$8:$H$8)</f>
        <v>1.2161883888976234E-16</v>
      </c>
      <c r="J18">
        <f>_xlfn.STDEV.S($C$9:$H$9)</f>
        <v>1.2161883888976234E-16</v>
      </c>
      <c r="K18">
        <f>_xlfn.STDEV.S($C$10:$H$10)</f>
        <v>0</v>
      </c>
      <c r="L18">
        <f t="shared" ca="1" si="2"/>
        <v>0.87257663309120304</v>
      </c>
      <c r="M18">
        <f t="shared" ca="1" si="1"/>
        <v>1.8874933860347776E-3</v>
      </c>
      <c r="N18">
        <f t="shared" ca="1" si="1"/>
        <v>0.84696518320160508</v>
      </c>
      <c r="O18">
        <f t="shared" ca="1" si="1"/>
        <v>0.88452806672179562</v>
      </c>
      <c r="P18">
        <f t="shared" ca="1" si="1"/>
        <v>0.83800961505717531</v>
      </c>
      <c r="Q18">
        <f t="shared" ca="1" si="1"/>
        <v>0.17258134461120889</v>
      </c>
      <c r="R18">
        <f ca="1">_xlfn.STDEV.S(L18:Q18)</f>
        <v>0.40330491108784505</v>
      </c>
    </row>
    <row r="19" spans="2:18" x14ac:dyDescent="0.25">
      <c r="B19" s="1" t="s">
        <v>13</v>
      </c>
      <c r="C19">
        <f>STDEVP($C$2:$H$2)</f>
        <v>1.3877787807814457E-17</v>
      </c>
      <c r="D19">
        <f>STDEVP($C$3:$H$3)</f>
        <v>2.7755575615628914E-17</v>
      </c>
      <c r="E19">
        <f>STDEVP($C$4:$H$4)</f>
        <v>0</v>
      </c>
      <c r="F19">
        <f>STDEVP($C$5:$H$5)</f>
        <v>5.5511151231257827E-17</v>
      </c>
      <c r="G19">
        <f>STDEVP($C$6:$H$6)</f>
        <v>0</v>
      </c>
      <c r="H19">
        <f>STDEVP($C$7:$H$7)</f>
        <v>0</v>
      </c>
      <c r="I19">
        <f>STDEVP($C$8:$H$8)</f>
        <v>1.1102230246251565E-16</v>
      </c>
      <c r="J19">
        <f>STDEVP($C$9:$H$9)</f>
        <v>1.1102230246251565E-16</v>
      </c>
      <c r="K19">
        <f>STDEVP($C$10:$H$10)</f>
        <v>0</v>
      </c>
      <c r="L19">
        <f t="shared" ca="1" si="2"/>
        <v>0.75401172572055131</v>
      </c>
      <c r="M19">
        <f t="shared" ca="1" si="1"/>
        <v>0.54300131962780684</v>
      </c>
      <c r="N19">
        <f t="shared" ca="1" si="1"/>
        <v>0.76701913013620349</v>
      </c>
      <c r="O19">
        <f t="shared" ca="1" si="1"/>
        <v>0.10716357853170466</v>
      </c>
      <c r="P19">
        <f t="shared" ca="1" si="1"/>
        <v>0.2743649563539865</v>
      </c>
      <c r="Q19">
        <f t="shared" ca="1" si="1"/>
        <v>0.12012302783382256</v>
      </c>
      <c r="R19">
        <f ca="1">STDEVP(L19:Q19)</f>
        <v>0.27561143880788846</v>
      </c>
    </row>
    <row r="20" spans="2:18" x14ac:dyDescent="0.25">
      <c r="B20" s="1" t="s">
        <v>14</v>
      </c>
      <c r="C20">
        <f>_xlfn.STDEV.P($C$2:$H$2)</f>
        <v>1.3877787807814457E-17</v>
      </c>
      <c r="D20">
        <f>_xlfn.STDEV.P($C$3:$H$3)</f>
        <v>2.7755575615628914E-17</v>
      </c>
      <c r="E20">
        <f>_xlfn.STDEV.P($C$4:$H$4)</f>
        <v>0</v>
      </c>
      <c r="F20">
        <f>_xlfn.STDEV.P($C$5:$H$5)</f>
        <v>5.5511151231257827E-17</v>
      </c>
      <c r="G20">
        <f>_xlfn.STDEV.P($C$6:$H$6)</f>
        <v>0</v>
      </c>
      <c r="H20">
        <f>_xlfn.STDEV.P($C$7:$H$7)</f>
        <v>0</v>
      </c>
      <c r="I20">
        <f>_xlfn.STDEV.P($C$8:$H$8)</f>
        <v>1.1102230246251565E-16</v>
      </c>
      <c r="J20">
        <f>_xlfn.STDEV.P($C$9:$H$9)</f>
        <v>1.1102230246251565E-16</v>
      </c>
      <c r="K20">
        <f>_xlfn.STDEV.P($C$10:$H$10)</f>
        <v>0</v>
      </c>
      <c r="L20">
        <f t="shared" ca="1" si="2"/>
        <v>6.1203967680327653E-2</v>
      </c>
      <c r="M20">
        <f t="shared" ca="1" si="1"/>
        <v>0.4450659579912668</v>
      </c>
      <c r="N20">
        <f t="shared" ca="1" si="1"/>
        <v>0.42686001036285337</v>
      </c>
      <c r="O20">
        <f t="shared" ca="1" si="1"/>
        <v>0.83628070663214826</v>
      </c>
      <c r="P20">
        <f t="shared" ca="1" si="1"/>
        <v>0.84612823267556925</v>
      </c>
      <c r="Q20">
        <f t="shared" ca="1" si="1"/>
        <v>0.5621563815735231</v>
      </c>
      <c r="R20">
        <f ca="1">_xlfn.STDEV.P(L20:Q20)</f>
        <v>0.26845218295249124</v>
      </c>
    </row>
    <row r="21" spans="2:18" x14ac:dyDescent="0.25">
      <c r="B21" s="1" t="s">
        <v>11</v>
      </c>
      <c r="C21">
        <f>VAR($C$2:$H$2)</f>
        <v>2.3111159332646829E-34</v>
      </c>
      <c r="D21">
        <f>VAR($C$3:$H$3)</f>
        <v>9.2444637330587318E-34</v>
      </c>
      <c r="E21">
        <f>VAR($C$4:$H$4)</f>
        <v>0</v>
      </c>
      <c r="F21">
        <f>VAR($C$5:$H$5)</f>
        <v>3.6977854932234927E-33</v>
      </c>
      <c r="G21">
        <f>VAR($C$6:$H$6)</f>
        <v>0</v>
      </c>
      <c r="H21">
        <f>VAR($C$7:$H$7)</f>
        <v>0</v>
      </c>
      <c r="I21">
        <f>VAR($C$8:$H$8)</f>
        <v>1.4791141972893971E-32</v>
      </c>
      <c r="J21">
        <f>VAR($C$9:$H$9)</f>
        <v>1.4791141972893971E-32</v>
      </c>
      <c r="K21">
        <f>VAR($C$10:$H$10)</f>
        <v>0</v>
      </c>
      <c r="L21">
        <f t="shared" ca="1" si="2"/>
        <v>2.0864877563141371E-2</v>
      </c>
      <c r="M21">
        <f t="shared" ca="1" si="1"/>
        <v>0.88605687637068331</v>
      </c>
      <c r="N21">
        <f t="shared" ca="1" si="1"/>
        <v>0.26134428205677829</v>
      </c>
      <c r="O21">
        <f t="shared" ca="1" si="1"/>
        <v>0.71910338063699497</v>
      </c>
      <c r="P21">
        <f t="shared" ca="1" si="1"/>
        <v>4.0722437482814122E-2</v>
      </c>
      <c r="Q21">
        <f t="shared" ca="1" si="1"/>
        <v>0.96858605403978282</v>
      </c>
      <c r="R21">
        <f ca="1">VAR(L21:Q21)</f>
        <v>0.18246054949749851</v>
      </c>
    </row>
    <row r="22" spans="2:18" x14ac:dyDescent="0.25">
      <c r="B22" s="1" t="s">
        <v>12</v>
      </c>
      <c r="C22">
        <f>_xlfn.VAR.S($C$2:$H$2)</f>
        <v>2.3111159332646829E-34</v>
      </c>
      <c r="D22">
        <f>_xlfn.VAR.S($C$3:$H$3)</f>
        <v>9.2444637330587318E-34</v>
      </c>
      <c r="E22">
        <f>_xlfn.VAR.S($C$4:$H$4)</f>
        <v>0</v>
      </c>
      <c r="F22">
        <f>_xlfn.VAR.S($C$5:$H$5)</f>
        <v>3.6977854932234927E-33</v>
      </c>
      <c r="G22">
        <f>_xlfn.VAR.S($C$6:$H$6)</f>
        <v>0</v>
      </c>
      <c r="H22">
        <f>_xlfn.VAR.S($C$7:$H$7)</f>
        <v>0</v>
      </c>
      <c r="I22">
        <f>_xlfn.VAR.S($C$8:$H$8)</f>
        <v>1.4791141972893971E-32</v>
      </c>
      <c r="J22">
        <f>_xlfn.VAR.S($C$9:$H$9)</f>
        <v>1.4791141972893971E-32</v>
      </c>
      <c r="K22">
        <f>_xlfn.VAR.S($C$10:$H$10)</f>
        <v>0</v>
      </c>
      <c r="L22">
        <f t="shared" ca="1" si="2"/>
        <v>0.15967306989317354</v>
      </c>
      <c r="M22">
        <f t="shared" ca="1" si="1"/>
        <v>0.94061233081704465</v>
      </c>
      <c r="N22">
        <f t="shared" ca="1" si="1"/>
        <v>0.20111969925065054</v>
      </c>
      <c r="O22">
        <f t="shared" ca="1" si="1"/>
        <v>0.54535227876147496</v>
      </c>
      <c r="P22">
        <f t="shared" ca="1" si="1"/>
        <v>0.87741289896351815</v>
      </c>
      <c r="Q22">
        <f t="shared" ca="1" si="1"/>
        <v>0.28600586045294329</v>
      </c>
      <c r="R22">
        <f ca="1">_xlfn.VAR.S(L22:Q22)</f>
        <v>0.11791292757776146</v>
      </c>
    </row>
    <row r="23" spans="2:18" x14ac:dyDescent="0.25">
      <c r="B23" s="1" t="s">
        <v>15</v>
      </c>
      <c r="C23">
        <f>VARP($C$2:$H$2)</f>
        <v>1.9259299443872359E-34</v>
      </c>
      <c r="D23">
        <f>VARP($C$3:$H$3)</f>
        <v>7.7037197775489434E-34</v>
      </c>
      <c r="E23">
        <f>VARP($C$4:$H$4)</f>
        <v>0</v>
      </c>
      <c r="F23">
        <f>VARP($C$5:$H$5)</f>
        <v>3.0814879110195774E-33</v>
      </c>
      <c r="G23">
        <f>VARP($C$6:$H$6)</f>
        <v>0</v>
      </c>
      <c r="H23">
        <f>VARP($C$7:$H$7)</f>
        <v>0</v>
      </c>
      <c r="I23">
        <f>VARP($C$8:$H$8)</f>
        <v>1.2325951644078309E-32</v>
      </c>
      <c r="J23">
        <f>VARP($C$9:$H$9)</f>
        <v>1.2325951644078309E-32</v>
      </c>
      <c r="K23">
        <f>VARP($C$10:$H$10)</f>
        <v>0</v>
      </c>
      <c r="L23">
        <f t="shared" ca="1" si="2"/>
        <v>0.22038168386350532</v>
      </c>
      <c r="M23">
        <f t="shared" ca="1" si="1"/>
        <v>0.69484931111235648</v>
      </c>
      <c r="N23">
        <f t="shared" ca="1" si="1"/>
        <v>0.57619861405982464</v>
      </c>
      <c r="O23">
        <f t="shared" ca="1" si="1"/>
        <v>0.81028655787422821</v>
      </c>
      <c r="P23">
        <f t="shared" ca="1" si="1"/>
        <v>1.3780999886699008E-2</v>
      </c>
      <c r="Q23">
        <f t="shared" ca="1" si="1"/>
        <v>0.67705578366267594</v>
      </c>
      <c r="R23">
        <f ca="1">VARP(L23:Q23)</f>
        <v>8.0997509508413765E-2</v>
      </c>
    </row>
    <row r="24" spans="2:18" x14ac:dyDescent="0.25">
      <c r="B24" s="1" t="s">
        <v>16</v>
      </c>
      <c r="C24">
        <f>_xlfn.VAR.P($C$2:$H$2)</f>
        <v>1.9259299443872359E-34</v>
      </c>
      <c r="D24">
        <f>_xlfn.VAR.P($C$3:$H$3)</f>
        <v>7.7037197775489434E-34</v>
      </c>
      <c r="E24">
        <f>_xlfn.VAR.P($C$4:$H$4)</f>
        <v>0</v>
      </c>
      <c r="F24">
        <f>_xlfn.VAR.P($C$5:$H$5)</f>
        <v>3.0814879110195774E-33</v>
      </c>
      <c r="G24">
        <f>_xlfn.VAR.P($C$6:$H$6)</f>
        <v>0</v>
      </c>
      <c r="H24">
        <f>_xlfn.VAR.P($C$7:$H$7)</f>
        <v>0</v>
      </c>
      <c r="I24">
        <f>_xlfn.VAR.P($C$8:$H$8)</f>
        <v>1.2325951644078309E-32</v>
      </c>
      <c r="J24">
        <f>_xlfn.VAR.P($C$9:$H$9)</f>
        <v>1.2325951644078309E-32</v>
      </c>
      <c r="K24">
        <f>_xlfn.VAR.P($C$10:$H$10)</f>
        <v>0</v>
      </c>
      <c r="L24">
        <f t="shared" ca="1" si="2"/>
        <v>0.35886431828466414</v>
      </c>
      <c r="M24">
        <f t="shared" ca="1" si="1"/>
        <v>0.3206173937719089</v>
      </c>
      <c r="N24">
        <f t="shared" ca="1" si="1"/>
        <v>0.12493982038699325</v>
      </c>
      <c r="O24">
        <f t="shared" ca="1" si="1"/>
        <v>0.54104254477732427</v>
      </c>
      <c r="P24">
        <f t="shared" ca="1" si="1"/>
        <v>9.538655444055355E-2</v>
      </c>
      <c r="Q24">
        <f t="shared" ca="1" si="1"/>
        <v>0.77383210536008451</v>
      </c>
      <c r="R24">
        <f ca="1">_xlfn.VAR.P(L24:Q24)</f>
        <v>5.5060148424721955E-2</v>
      </c>
    </row>
    <row r="25" spans="2:18" x14ac:dyDescent="0.25">
      <c r="B25" s="1" t="s">
        <v>17</v>
      </c>
      <c r="C25">
        <f>MIN($C$2:$H$2)</f>
        <v>0.1</v>
      </c>
      <c r="D25">
        <f>MIN($C$3:$H$3)</f>
        <v>0.2</v>
      </c>
      <c r="E25">
        <f>MIN($C$4:$H$4)</f>
        <v>0.3</v>
      </c>
      <c r="F25">
        <f>MIN($C$5:$H$5)</f>
        <v>0.4</v>
      </c>
      <c r="G25">
        <f>MIN($C$6:$H$6)</f>
        <v>0.5</v>
      </c>
      <c r="H25">
        <f>MIN($C$7:$H$7)</f>
        <v>0.6</v>
      </c>
      <c r="I25">
        <f>MIN($C$8:$H$8)</f>
        <v>0.7</v>
      </c>
      <c r="J25">
        <f>MIN($C$9:$H$9)</f>
        <v>0.8</v>
      </c>
      <c r="K25">
        <f>MIN($C$10:$H$10)</f>
        <v>0.9</v>
      </c>
      <c r="L25">
        <f t="shared" ca="1" si="2"/>
        <v>1.723411083049986E-2</v>
      </c>
      <c r="M25">
        <f t="shared" ca="1" si="1"/>
        <v>0.83029555190765902</v>
      </c>
      <c r="N25">
        <f t="shared" ca="1" si="1"/>
        <v>0.91468368825624158</v>
      </c>
      <c r="O25">
        <f t="shared" ca="1" si="1"/>
        <v>0.46568813938404363</v>
      </c>
      <c r="P25">
        <f t="shared" ca="1" si="1"/>
        <v>0.21985605056145319</v>
      </c>
      <c r="Q25">
        <f t="shared" ca="1" si="1"/>
        <v>0.28543617181048042</v>
      </c>
      <c r="R25">
        <f ca="1">MIN(L25:Q25)</f>
        <v>1.723411083049986E-2</v>
      </c>
    </row>
    <row r="26" spans="2:18" x14ac:dyDescent="0.25">
      <c r="B26" s="1" t="s">
        <v>18</v>
      </c>
      <c r="C26">
        <f>MAX($C$2:$H$2)</f>
        <v>0.1</v>
      </c>
      <c r="D26">
        <f>MAX($C$3:$H$3)</f>
        <v>0.2</v>
      </c>
      <c r="E26">
        <f>MAX($C$4:$H$4)</f>
        <v>0.3</v>
      </c>
      <c r="F26">
        <f>MAX($C$5:$H$5)</f>
        <v>0.4</v>
      </c>
      <c r="G26">
        <f>MAX($C$6:$H$6)</f>
        <v>0.5</v>
      </c>
      <c r="H26">
        <f>MAX($C$7:$H$7)</f>
        <v>0.6</v>
      </c>
      <c r="I26">
        <f>MAX($C$8:$H$8)</f>
        <v>0.7</v>
      </c>
      <c r="J26">
        <f>MAX($C$9:$H$9)</f>
        <v>0.8</v>
      </c>
      <c r="K26">
        <f>MAX($C$10:$H$10)</f>
        <v>0.9</v>
      </c>
      <c r="L26">
        <f t="shared" ca="1" si="2"/>
        <v>0.91399413967176268</v>
      </c>
      <c r="M26">
        <f t="shared" ca="1" si="1"/>
        <v>0.68485950308779264</v>
      </c>
      <c r="N26">
        <f t="shared" ca="1" si="1"/>
        <v>0.63937626938086156</v>
      </c>
      <c r="O26">
        <f t="shared" ca="1" si="1"/>
        <v>0.68526117646729634</v>
      </c>
      <c r="P26">
        <f t="shared" ca="1" si="1"/>
        <v>0.19402336768461126</v>
      </c>
      <c r="Q26">
        <f t="shared" ca="1" si="1"/>
        <v>0.90469418499237442</v>
      </c>
      <c r="R26">
        <f ca="1">MAX(L26:Q26)</f>
        <v>0.91399413967176268</v>
      </c>
    </row>
    <row r="27" spans="2:18" x14ac:dyDescent="0.25">
      <c r="B27" s="1" t="s">
        <v>19</v>
      </c>
      <c r="C27">
        <f>QUARTILE($C$2:$H$2,0)</f>
        <v>0.1</v>
      </c>
      <c r="D27">
        <f>QUARTILE($C$3:$H$3,0)</f>
        <v>0.2</v>
      </c>
      <c r="E27">
        <f>QUARTILE($C$4:$H$4,0)</f>
        <v>0.3</v>
      </c>
      <c r="F27">
        <f>QUARTILE($C$5:$H$5,0)</f>
        <v>0.4</v>
      </c>
      <c r="G27">
        <f>QUARTILE($C$6:$H$6,0)</f>
        <v>0.5</v>
      </c>
      <c r="H27">
        <f>QUARTILE($C$7:$H$7,0)</f>
        <v>0.6</v>
      </c>
      <c r="I27">
        <f>QUARTILE($C$8:$H$8,0)</f>
        <v>0.7</v>
      </c>
      <c r="J27">
        <f>QUARTILE($C$9:$H$9,0)</f>
        <v>0.8</v>
      </c>
      <c r="K27">
        <f>QUARTILE($C$10:$H$10,0)</f>
        <v>0.9</v>
      </c>
      <c r="L27">
        <f t="shared" ca="1" si="2"/>
        <v>0.6215920053356111</v>
      </c>
      <c r="M27">
        <f t="shared" ca="1" si="1"/>
        <v>0.27520001104399039</v>
      </c>
      <c r="N27">
        <f t="shared" ca="1" si="1"/>
        <v>0.50674475482062487</v>
      </c>
      <c r="O27">
        <f t="shared" ca="1" si="1"/>
        <v>0.39618632713949664</v>
      </c>
      <c r="P27">
        <f t="shared" ca="1" si="1"/>
        <v>0.73657186158337384</v>
      </c>
      <c r="Q27">
        <f t="shared" ca="1" si="1"/>
        <v>0.44519058051127547</v>
      </c>
      <c r="R27">
        <f ca="1">QUARTILE(L27:Q27,0)</f>
        <v>0.27520001104399039</v>
      </c>
    </row>
    <row r="28" spans="2:18" x14ac:dyDescent="0.25">
      <c r="B28" s="1" t="s">
        <v>19</v>
      </c>
      <c r="C28">
        <f t="shared" ref="C28" si="3">QUARTILE($C$2:$H$2,1)</f>
        <v>0.1</v>
      </c>
      <c r="D28">
        <f t="shared" ref="D28" si="4">QUARTILE($C$3:$H$3,1)</f>
        <v>0.2</v>
      </c>
      <c r="E28">
        <f t="shared" ref="E28" si="5">QUARTILE($C$4:$H$4,1)</f>
        <v>0.3</v>
      </c>
      <c r="F28">
        <f t="shared" ref="F28" si="6">QUARTILE($C$5:$H$5,1)</f>
        <v>0.4</v>
      </c>
      <c r="G28">
        <f t="shared" ref="G28" si="7">QUARTILE($C$6:$H$6,1)</f>
        <v>0.5</v>
      </c>
      <c r="H28">
        <f t="shared" ref="H28" si="8">QUARTILE($C$7:$H$7,1)</f>
        <v>0.6</v>
      </c>
      <c r="I28">
        <f t="shared" ref="I28" si="9">QUARTILE($C$8:$H$8,1)</f>
        <v>0.7</v>
      </c>
      <c r="J28">
        <f t="shared" ref="J28" si="10">QUARTILE($C$9:$H$9,1)</f>
        <v>0.8</v>
      </c>
      <c r="K28">
        <f t="shared" ref="K28" si="11">QUARTILE($C$10:$H$10,1)</f>
        <v>0.9</v>
      </c>
      <c r="L28">
        <f t="shared" ca="1" si="2"/>
        <v>9.510348667728441E-2</v>
      </c>
      <c r="M28">
        <f t="shared" ca="1" si="1"/>
        <v>0.1543889315057031</v>
      </c>
      <c r="N28">
        <f t="shared" ca="1" si="1"/>
        <v>0.12641923405696742</v>
      </c>
      <c r="O28">
        <f t="shared" ca="1" si="1"/>
        <v>0.71393317011711055</v>
      </c>
      <c r="P28">
        <f t="shared" ca="1" si="1"/>
        <v>0.74590482720217277</v>
      </c>
      <c r="Q28">
        <f t="shared" ca="1" si="1"/>
        <v>0.32748859932640884</v>
      </c>
      <c r="R28">
        <f ca="1">QUARTILE(L28:Q28,1)</f>
        <v>0.13341165841915134</v>
      </c>
    </row>
    <row r="29" spans="2:18" x14ac:dyDescent="0.25">
      <c r="B29" s="1" t="s">
        <v>19</v>
      </c>
      <c r="C29">
        <f>QUARTILE($C$2:$H$2,2)</f>
        <v>0.1</v>
      </c>
      <c r="D29">
        <f>QUARTILE($C$3:$H$3,2)</f>
        <v>0.2</v>
      </c>
      <c r="E29">
        <f>QUARTILE($C$4:$H$4,2)</f>
        <v>0.3</v>
      </c>
      <c r="F29">
        <f>QUARTILE($C$5:$H$5,2)</f>
        <v>0.4</v>
      </c>
      <c r="G29">
        <f>QUARTILE($C$6:$H$6,2)</f>
        <v>0.5</v>
      </c>
      <c r="H29">
        <f>QUARTILE($C$7:$H$7,2)</f>
        <v>0.6</v>
      </c>
      <c r="I29">
        <f>QUARTILE($C$8:$H$8,2)</f>
        <v>0.7</v>
      </c>
      <c r="J29">
        <f>QUARTILE($C$9:$H$9,2)</f>
        <v>0.8</v>
      </c>
      <c r="K29">
        <f>QUARTILE($C$10:$H$10,2)</f>
        <v>0.9</v>
      </c>
      <c r="L29">
        <f t="shared" ca="1" si="2"/>
        <v>0.89161296894622399</v>
      </c>
      <c r="M29">
        <f t="shared" ca="1" si="1"/>
        <v>0.6375683670686112</v>
      </c>
      <c r="N29">
        <f t="shared" ca="1" si="1"/>
        <v>0.43811205560298483</v>
      </c>
      <c r="O29">
        <f t="shared" ca="1" si="1"/>
        <v>0.42540299786799229</v>
      </c>
      <c r="P29">
        <f t="shared" ca="1" si="1"/>
        <v>0.83002111217054841</v>
      </c>
      <c r="Q29">
        <f t="shared" ca="1" si="1"/>
        <v>0.78273644044518964</v>
      </c>
      <c r="R29">
        <f ca="1">QUARTILE(L29:Q29,2)</f>
        <v>0.71015240375690047</v>
      </c>
    </row>
    <row r="30" spans="2:18" x14ac:dyDescent="0.25">
      <c r="B30" s="1" t="s">
        <v>19</v>
      </c>
      <c r="C30">
        <f>QUARTILE($C$2:$H$2,3)</f>
        <v>0.1</v>
      </c>
      <c r="D30">
        <f>QUARTILE($C$3:$H$3,3)</f>
        <v>0.2</v>
      </c>
      <c r="E30">
        <f>QUARTILE($C$4:$H$4,3)</f>
        <v>0.3</v>
      </c>
      <c r="F30">
        <f>QUARTILE($C$5:$H$5,3)</f>
        <v>0.4</v>
      </c>
      <c r="G30">
        <f>QUARTILE($C$6:$H$6,3)</f>
        <v>0.5</v>
      </c>
      <c r="H30">
        <f>QUARTILE($C$7:$H$7,3)</f>
        <v>0.6</v>
      </c>
      <c r="I30">
        <f>QUARTILE($C$8:$H$8,3)</f>
        <v>0.7</v>
      </c>
      <c r="J30">
        <f>QUARTILE($C$9:$H$9,3)</f>
        <v>0.8</v>
      </c>
      <c r="K30">
        <f>QUARTILE($C$10:$H$10,3)</f>
        <v>0.9</v>
      </c>
      <c r="L30">
        <f t="shared" ca="1" si="2"/>
        <v>3.9142514872910428E-2</v>
      </c>
      <c r="M30">
        <f t="shared" ca="1" si="2"/>
        <v>0.15635132194217793</v>
      </c>
      <c r="N30">
        <f t="shared" ca="1" si="2"/>
        <v>0.56451413471137557</v>
      </c>
      <c r="O30">
        <f t="shared" ca="1" si="2"/>
        <v>5.2624368400380095E-2</v>
      </c>
      <c r="P30">
        <f t="shared" ca="1" si="2"/>
        <v>0.28999666725746776</v>
      </c>
      <c r="Q30">
        <f t="shared" ca="1" si="2"/>
        <v>0.78305958954150057</v>
      </c>
      <c r="R30">
        <f ca="1">QUARTILE(L30:Q30,3)</f>
        <v>0.49588476784789859</v>
      </c>
    </row>
    <row r="31" spans="2:18" x14ac:dyDescent="0.25">
      <c r="B31" s="1" t="s">
        <v>19</v>
      </c>
      <c r="C31">
        <f>QUARTILE($C$2:$H$2,4)</f>
        <v>0.1</v>
      </c>
      <c r="D31">
        <f>QUARTILE($C$3:$H$3,4)</f>
        <v>0.2</v>
      </c>
      <c r="E31">
        <f>QUARTILE($C$4:$H$4,4)</f>
        <v>0.3</v>
      </c>
      <c r="F31">
        <f>QUARTILE($C$5:$H$5,4)</f>
        <v>0.4</v>
      </c>
      <c r="G31">
        <f>QUARTILE($C$6:$H$6,4)</f>
        <v>0.5</v>
      </c>
      <c r="H31">
        <f>QUARTILE($C$7:$H$7,4)</f>
        <v>0.6</v>
      </c>
      <c r="I31">
        <f>QUARTILE($C$8:$H$8,4)</f>
        <v>0.7</v>
      </c>
      <c r="J31">
        <f>QUARTILE($C$9:$H$9,4)</f>
        <v>0.8</v>
      </c>
      <c r="K31">
        <f>QUARTILE($C$10:$H$10,4)</f>
        <v>0.9</v>
      </c>
      <c r="L31">
        <f t="shared" ca="1" si="2"/>
        <v>0.20063623891425697</v>
      </c>
      <c r="M31">
        <f t="shared" ca="1" si="2"/>
        <v>0.60108614845033348</v>
      </c>
      <c r="N31">
        <f t="shared" ca="1" si="2"/>
        <v>9.1585956390964118E-2</v>
      </c>
      <c r="O31">
        <f t="shared" ca="1" si="2"/>
        <v>0.62549087512458024</v>
      </c>
      <c r="P31">
        <f t="shared" ca="1" si="2"/>
        <v>0.8085189164686486</v>
      </c>
      <c r="Q31">
        <f t="shared" ca="1" si="2"/>
        <v>0.83845921557763625</v>
      </c>
      <c r="R31">
        <f ca="1">QUARTILE(L31:Q31,4)</f>
        <v>0.83845921557763625</v>
      </c>
    </row>
    <row r="32" spans="2:18" x14ac:dyDescent="0.25">
      <c r="B32" s="1" t="s">
        <v>20</v>
      </c>
      <c r="C32">
        <f>_xlfn.QUARTILE.INC($C$2:$H$2,0)</f>
        <v>0.1</v>
      </c>
      <c r="D32">
        <f>_xlfn.QUARTILE.INC($C$3:$H$3,0)</f>
        <v>0.2</v>
      </c>
      <c r="E32">
        <f>_xlfn.QUARTILE.INC($C$4:$H$4,0)</f>
        <v>0.3</v>
      </c>
      <c r="F32">
        <f>_xlfn.QUARTILE.INC($C$5:$H$5,0)</f>
        <v>0.4</v>
      </c>
      <c r="G32">
        <f>_xlfn.QUARTILE.INC($C$6:$H$6,0)</f>
        <v>0.5</v>
      </c>
      <c r="H32">
        <f>_xlfn.QUARTILE.INC($C$7:$H$7,0)</f>
        <v>0.6</v>
      </c>
      <c r="I32">
        <f>_xlfn.QUARTILE.INC($C$8:$H$8,0)</f>
        <v>0.7</v>
      </c>
      <c r="J32">
        <f>_xlfn.QUARTILE.INC($C$9:$H$9,0)</f>
        <v>0.8</v>
      </c>
      <c r="K32">
        <f>_xlfn.QUARTILE.INC($C$10:$H$10,0)</f>
        <v>0.9</v>
      </c>
      <c r="L32">
        <f t="shared" ca="1" si="2"/>
        <v>0.41440169440953301</v>
      </c>
      <c r="M32">
        <f t="shared" ca="1" si="2"/>
        <v>0.54896833378851695</v>
      </c>
      <c r="N32">
        <f t="shared" ca="1" si="2"/>
        <v>0.55571891567643006</v>
      </c>
      <c r="O32">
        <f t="shared" ca="1" si="2"/>
        <v>0.76004473532905814</v>
      </c>
      <c r="P32">
        <f t="shared" ca="1" si="2"/>
        <v>0.22349858028245795</v>
      </c>
      <c r="Q32">
        <f t="shared" ca="1" si="2"/>
        <v>0.83163938636404577</v>
      </c>
      <c r="R32">
        <f ca="1">_xlfn.QUARTILE.INC(L32:Q32,0)</f>
        <v>0.22349858028245795</v>
      </c>
    </row>
    <row r="33" spans="2:18" x14ac:dyDescent="0.25">
      <c r="B33" s="1" t="s">
        <v>20</v>
      </c>
      <c r="C33">
        <f>_xlfn.QUARTILE.INC($C$2:$H$2,1)</f>
        <v>0.1</v>
      </c>
      <c r="D33">
        <f>_xlfn.QUARTILE.INC($C$3:$H$3,1)</f>
        <v>0.2</v>
      </c>
      <c r="E33">
        <f>_xlfn.QUARTILE.INC($C$4:$H$4,1)</f>
        <v>0.3</v>
      </c>
      <c r="F33">
        <f>_xlfn.QUARTILE.INC($C$5:$H$5,1)</f>
        <v>0.4</v>
      </c>
      <c r="G33">
        <f>_xlfn.QUARTILE.INC($C$6:$H$6,1)</f>
        <v>0.5</v>
      </c>
      <c r="H33">
        <f>_xlfn.QUARTILE.INC($C$7:$H$7,1)</f>
        <v>0.6</v>
      </c>
      <c r="I33">
        <f>_xlfn.QUARTILE.INC($C$8:$H$8,1)</f>
        <v>0.7</v>
      </c>
      <c r="J33">
        <f>_xlfn.QUARTILE.INC($C$9:$H$9,1)</f>
        <v>0.8</v>
      </c>
      <c r="K33">
        <f>_xlfn.QUARTILE.INC($C$10:$H$10,1)</f>
        <v>0.9</v>
      </c>
      <c r="L33">
        <f t="shared" ref="L33:Q36" ca="1" si="12">RAND()</f>
        <v>3.4856280299050413E-2</v>
      </c>
      <c r="M33">
        <f t="shared" ca="1" si="12"/>
        <v>0.2870134274039895</v>
      </c>
      <c r="N33">
        <f t="shared" ca="1" si="12"/>
        <v>0.18721428663477535</v>
      </c>
      <c r="O33">
        <f t="shared" ca="1" si="12"/>
        <v>0.98728435101185363</v>
      </c>
      <c r="P33">
        <f t="shared" ca="1" si="12"/>
        <v>0.55870300880684642</v>
      </c>
      <c r="Q33">
        <f t="shared" ca="1" si="12"/>
        <v>0.64069609337514433</v>
      </c>
      <c r="R33">
        <f ca="1">_xlfn.QUARTILE.INC(L33:Q33,1)</f>
        <v>0.21216407182707889</v>
      </c>
    </row>
    <row r="34" spans="2:18" x14ac:dyDescent="0.25">
      <c r="B34" s="1" t="s">
        <v>20</v>
      </c>
      <c r="C34">
        <f>_xlfn.QUARTILE.INC($C$2:$H$2,2)</f>
        <v>0.1</v>
      </c>
      <c r="D34">
        <f>_xlfn.QUARTILE.INC($C$3:$H$3,2)</f>
        <v>0.2</v>
      </c>
      <c r="E34">
        <f>_xlfn.QUARTILE.INC($C$4:$H$4,2)</f>
        <v>0.3</v>
      </c>
      <c r="F34">
        <f>_xlfn.QUARTILE.INC($C$5:$H$5,2)</f>
        <v>0.4</v>
      </c>
      <c r="G34">
        <f>_xlfn.QUARTILE.INC($C$6:$H$6,2)</f>
        <v>0.5</v>
      </c>
      <c r="H34">
        <f>_xlfn.QUARTILE.INC($C$7:$H$7,2)</f>
        <v>0.6</v>
      </c>
      <c r="I34">
        <f>_xlfn.QUARTILE.INC($C$8:$H$8,2)</f>
        <v>0.7</v>
      </c>
      <c r="J34">
        <f>_xlfn.QUARTILE.INC($C$9:$H$9,2)</f>
        <v>0.8</v>
      </c>
      <c r="K34">
        <f>_xlfn.QUARTILE.INC($C$10:$H$10,2)</f>
        <v>0.9</v>
      </c>
      <c r="L34">
        <f t="shared" ca="1" si="12"/>
        <v>0.80059287983014227</v>
      </c>
      <c r="M34">
        <f t="shared" ca="1" si="12"/>
        <v>0.94593499838695083</v>
      </c>
      <c r="N34">
        <f t="shared" ca="1" si="12"/>
        <v>9.6983089064009431E-2</v>
      </c>
      <c r="O34">
        <f t="shared" ca="1" si="12"/>
        <v>1.7273104391884009E-2</v>
      </c>
      <c r="P34">
        <f t="shared" ca="1" si="12"/>
        <v>0.84816725612881905</v>
      </c>
      <c r="Q34">
        <f t="shared" ca="1" si="12"/>
        <v>7.6475815227309729E-2</v>
      </c>
      <c r="R34">
        <f ca="1">_xlfn.QUARTILE.INC(L34:Q34,2)</f>
        <v>0.44878798444707585</v>
      </c>
    </row>
    <row r="35" spans="2:18" x14ac:dyDescent="0.25">
      <c r="B35" s="1" t="s">
        <v>20</v>
      </c>
      <c r="C35">
        <f>_xlfn.QUARTILE.INC($C$2:$H$2,3)</f>
        <v>0.1</v>
      </c>
      <c r="D35">
        <f>_xlfn.QUARTILE.INC($C$3:$H$3,3)</f>
        <v>0.2</v>
      </c>
      <c r="E35">
        <f>_xlfn.QUARTILE.INC($C$4:$H$4,3)</f>
        <v>0.3</v>
      </c>
      <c r="F35">
        <f>_xlfn.QUARTILE.INC($C$5:$H$5,3)</f>
        <v>0.4</v>
      </c>
      <c r="G35">
        <f>_xlfn.QUARTILE.INC($C$6:$H$6,3)</f>
        <v>0.5</v>
      </c>
      <c r="H35">
        <f>_xlfn.QUARTILE.INC($C$7:$H$7,3)</f>
        <v>0.6</v>
      </c>
      <c r="I35">
        <f>_xlfn.QUARTILE.INC($C$8:$H$8,3)</f>
        <v>0.7</v>
      </c>
      <c r="J35">
        <f>_xlfn.QUARTILE.INC($C$9:$H$9,3)</f>
        <v>0.8</v>
      </c>
      <c r="K35">
        <f>_xlfn.QUARTILE.INC($C$10:$H$10,3)</f>
        <v>0.9</v>
      </c>
      <c r="L35">
        <f t="shared" ca="1" si="12"/>
        <v>0.16603632643761179</v>
      </c>
      <c r="M35">
        <f t="shared" ca="1" si="12"/>
        <v>0.50322338823962864</v>
      </c>
      <c r="N35">
        <f t="shared" ca="1" si="12"/>
        <v>0.23958881106713503</v>
      </c>
      <c r="O35">
        <f t="shared" ca="1" si="12"/>
        <v>0.95141763786814149</v>
      </c>
      <c r="P35">
        <f t="shared" ca="1" si="12"/>
        <v>7.4551327147749369E-2</v>
      </c>
      <c r="Q35">
        <f t="shared" ca="1" si="12"/>
        <v>0.86596073635016424</v>
      </c>
      <c r="R35">
        <f ca="1">_xlfn.QUARTILE.INC(L35:Q35,3)</f>
        <v>0.77527639932253034</v>
      </c>
    </row>
    <row r="36" spans="2:18" x14ac:dyDescent="0.25">
      <c r="B36" s="1" t="s">
        <v>20</v>
      </c>
      <c r="C36">
        <f>_xlfn.QUARTILE.INC($C$2:$H$2,4)</f>
        <v>0.1</v>
      </c>
      <c r="D36">
        <f>_xlfn.QUARTILE.INC($C$3:$H$3,4)</f>
        <v>0.2</v>
      </c>
      <c r="E36">
        <f>_xlfn.QUARTILE.INC($C$4:$H$4,4)</f>
        <v>0.3</v>
      </c>
      <c r="F36">
        <f>_xlfn.QUARTILE.INC($C$5:$H$5,4)</f>
        <v>0.4</v>
      </c>
      <c r="G36">
        <f>_xlfn.QUARTILE.INC($C$6:$H$6,4)</f>
        <v>0.5</v>
      </c>
      <c r="H36">
        <f>_xlfn.QUARTILE.INC($C$7:$H$7,4)</f>
        <v>0.6</v>
      </c>
      <c r="I36">
        <f>_xlfn.QUARTILE.INC($C$8:$H$8,4)</f>
        <v>0.7</v>
      </c>
      <c r="J36">
        <f>_xlfn.QUARTILE.INC($C$9:$H$9,4)</f>
        <v>0.8</v>
      </c>
      <c r="K36">
        <f>_xlfn.QUARTILE.INC($C$10:$H$10,4)</f>
        <v>0.9</v>
      </c>
      <c r="L36">
        <f t="shared" ca="1" si="12"/>
        <v>0.93524128767646297</v>
      </c>
      <c r="M36">
        <f t="shared" ca="1" si="12"/>
        <v>0.10017596562765596</v>
      </c>
      <c r="N36">
        <f t="shared" ca="1" si="12"/>
        <v>0.3281441837477056</v>
      </c>
      <c r="O36">
        <f t="shared" ca="1" si="12"/>
        <v>5.5895448038516427E-2</v>
      </c>
      <c r="P36">
        <f t="shared" ca="1" si="12"/>
        <v>0.65411837282946439</v>
      </c>
      <c r="Q36">
        <f t="shared" ca="1" si="12"/>
        <v>0.54445739484103783</v>
      </c>
      <c r="R36">
        <f ca="1">_xlfn.QUARTILE.INC(L36:Q36,4)</f>
        <v>0.93524128767646297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2026-02-05T20:54:07Z</dcterms:modified>
</cp:coreProperties>
</file>