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o14776\PycharmProjects\Excel-R-compiler\reeevr\test\excelunit\"/>
    </mc:Choice>
  </mc:AlternateContent>
  <xr:revisionPtr revIDLastSave="0" documentId="13_ncr:1_{80AF9B34-1A2C-4025-8482-F56B9ADED9E7}" xr6:coauthVersionLast="47" xr6:coauthVersionMax="47" xr10:uidLastSave="{00000000-0000-0000-0000-000000000000}"/>
  <bookViews>
    <workbookView xWindow="28680" yWindow="-120" windowWidth="29040" windowHeight="15720" xr2:uid="{51741016-DE60-49DF-9826-25EB96E04CF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7" i="1" l="1"/>
  <c r="M57" i="1"/>
  <c r="L57" i="1"/>
  <c r="K57" i="1"/>
  <c r="J57" i="1"/>
  <c r="I57" i="1"/>
  <c r="N56" i="1"/>
  <c r="M56" i="1"/>
  <c r="L56" i="1"/>
  <c r="K56" i="1"/>
  <c r="J56" i="1"/>
  <c r="I56" i="1"/>
  <c r="J52" i="1"/>
  <c r="K52" i="1"/>
  <c r="L52" i="1"/>
  <c r="M52" i="1"/>
  <c r="N52" i="1"/>
  <c r="J53" i="1"/>
  <c r="K53" i="1"/>
  <c r="L53" i="1"/>
  <c r="M53" i="1"/>
  <c r="N53" i="1"/>
  <c r="I53" i="1"/>
  <c r="I52" i="1"/>
  <c r="H52" i="1"/>
  <c r="G52" i="1"/>
  <c r="F52" i="1"/>
  <c r="E52" i="1"/>
  <c r="D52" i="1"/>
  <c r="C52" i="1"/>
  <c r="I54" i="1"/>
  <c r="J54" i="1" s="1"/>
  <c r="I55" i="1"/>
  <c r="J55" i="1" l="1"/>
  <c r="K55" i="1"/>
  <c r="K54" i="1"/>
  <c r="L54" i="1"/>
  <c r="M54" i="1" s="1"/>
  <c r="N51" i="1"/>
  <c r="M51" i="1"/>
  <c r="L51" i="1"/>
  <c r="K51" i="1"/>
  <c r="J51" i="1"/>
  <c r="I51" i="1"/>
  <c r="L42" i="1"/>
  <c r="J47" i="1"/>
  <c r="K47" i="1"/>
  <c r="L47" i="1"/>
  <c r="M47" i="1"/>
  <c r="N47" i="1"/>
  <c r="J48" i="1"/>
  <c r="K48" i="1"/>
  <c r="L48" i="1"/>
  <c r="M48" i="1"/>
  <c r="N48" i="1"/>
  <c r="J49" i="1"/>
  <c r="K49" i="1"/>
  <c r="L49" i="1"/>
  <c r="M49" i="1"/>
  <c r="N49" i="1"/>
  <c r="J50" i="1"/>
  <c r="K50" i="1"/>
  <c r="L50" i="1"/>
  <c r="M50" i="1"/>
  <c r="N50" i="1"/>
  <c r="I50" i="1"/>
  <c r="I49" i="1"/>
  <c r="I48" i="1"/>
  <c r="I47" i="1"/>
  <c r="J46" i="1"/>
  <c r="K46" i="1"/>
  <c r="L46" i="1"/>
  <c r="M46" i="1"/>
  <c r="N46" i="1"/>
  <c r="I46" i="1"/>
  <c r="J45" i="1"/>
  <c r="K45" i="1"/>
  <c r="L45" i="1"/>
  <c r="M45" i="1"/>
  <c r="N45" i="1"/>
  <c r="I45" i="1"/>
  <c r="J44" i="1"/>
  <c r="K44" i="1"/>
  <c r="L44" i="1"/>
  <c r="M44" i="1"/>
  <c r="N44" i="1"/>
  <c r="I44" i="1"/>
  <c r="J43" i="1"/>
  <c r="K43" i="1"/>
  <c r="L43" i="1"/>
  <c r="M43" i="1"/>
  <c r="N43" i="1"/>
  <c r="I43" i="1"/>
  <c r="I35" i="1"/>
  <c r="J39" i="1"/>
  <c r="K39" i="1"/>
  <c r="L39" i="1"/>
  <c r="M39" i="1"/>
  <c r="N39" i="1"/>
  <c r="J40" i="1"/>
  <c r="K40" i="1"/>
  <c r="L40" i="1"/>
  <c r="M40" i="1"/>
  <c r="N40" i="1"/>
  <c r="J41" i="1"/>
  <c r="K41" i="1"/>
  <c r="L41" i="1"/>
  <c r="M41" i="1"/>
  <c r="N41" i="1"/>
  <c r="J42" i="1"/>
  <c r="K42" i="1"/>
  <c r="M42" i="1"/>
  <c r="N42" i="1"/>
  <c r="I42" i="1"/>
  <c r="I41" i="1"/>
  <c r="I40" i="1"/>
  <c r="I39" i="1"/>
  <c r="M38" i="1"/>
  <c r="J38" i="1"/>
  <c r="K38" i="1"/>
  <c r="L38" i="1"/>
  <c r="N38" i="1"/>
  <c r="I38" i="1"/>
  <c r="N37" i="1"/>
  <c r="J37" i="1"/>
  <c r="K37" i="1"/>
  <c r="L37" i="1"/>
  <c r="M37" i="1"/>
  <c r="I37" i="1"/>
  <c r="J36" i="1"/>
  <c r="K36" i="1"/>
  <c r="L36" i="1"/>
  <c r="M36" i="1"/>
  <c r="N36" i="1"/>
  <c r="I36" i="1"/>
  <c r="N35" i="1"/>
  <c r="J35" i="1"/>
  <c r="K35" i="1"/>
  <c r="L35" i="1"/>
  <c r="M35" i="1"/>
  <c r="J34" i="1"/>
  <c r="K34" i="1"/>
  <c r="N34" i="1"/>
  <c r="M34" i="1"/>
  <c r="L34" i="1"/>
  <c r="I34" i="1"/>
  <c r="I30" i="1"/>
  <c r="I31" i="1"/>
  <c r="J31" i="1" s="1"/>
  <c r="K31" i="1" s="1"/>
  <c r="L31" i="1" s="1"/>
  <c r="I33" i="1"/>
  <c r="J33" i="1" s="1"/>
  <c r="N32" i="1"/>
  <c r="M32" i="1"/>
  <c r="L32" i="1"/>
  <c r="J32" i="1"/>
  <c r="I32" i="1"/>
  <c r="N30" i="1"/>
  <c r="M30" i="1"/>
  <c r="L30" i="1"/>
  <c r="J30" i="1"/>
  <c r="N54" i="1" l="1"/>
  <c r="L55" i="1"/>
  <c r="M55" i="1" s="1"/>
  <c r="M31" i="1"/>
  <c r="N31" i="1" s="1"/>
  <c r="K32" i="1" s="1"/>
  <c r="K33" i="1"/>
  <c r="L33" i="1" s="1"/>
  <c r="I29" i="1"/>
  <c r="I28" i="1"/>
  <c r="J28" i="1" s="1"/>
  <c r="K28" i="1" s="1"/>
  <c r="I27" i="1"/>
  <c r="J27" i="1" s="1"/>
  <c r="K27" i="1" s="1"/>
  <c r="L27" i="1" s="1"/>
  <c r="I26" i="1"/>
  <c r="J26" i="1" s="1"/>
  <c r="K26" i="1" s="1"/>
  <c r="I25" i="1"/>
  <c r="J25" i="1" s="1"/>
  <c r="K25" i="1" s="1"/>
  <c r="I24" i="1"/>
  <c r="J24" i="1" s="1"/>
  <c r="I23" i="1"/>
  <c r="I22" i="1"/>
  <c r="J22" i="1" s="1"/>
  <c r="I21" i="1"/>
  <c r="I20" i="1"/>
  <c r="J20" i="1" s="1"/>
  <c r="I19" i="1"/>
  <c r="J19" i="1" s="1"/>
  <c r="K19" i="1" s="1"/>
  <c r="I18" i="1"/>
  <c r="J18" i="1" s="1"/>
  <c r="K18" i="1" s="1"/>
  <c r="J16" i="1"/>
  <c r="K16" i="1" s="1"/>
  <c r="I17" i="1"/>
  <c r="J17" i="1" s="1"/>
  <c r="K17" i="1" s="1"/>
  <c r="I16" i="1"/>
  <c r="I14" i="1"/>
  <c r="I9" i="1"/>
  <c r="J9" i="1" s="1"/>
  <c r="K9" i="1" s="1"/>
  <c r="I7" i="1"/>
  <c r="J7" i="1" s="1"/>
  <c r="K7" i="1" s="1"/>
  <c r="I15" i="1"/>
  <c r="J15" i="1" s="1"/>
  <c r="K15" i="1" s="1"/>
  <c r="I13" i="1"/>
  <c r="J13" i="1" s="1"/>
  <c r="I11" i="1"/>
  <c r="J11" i="1" s="1"/>
  <c r="K11" i="1" s="1"/>
  <c r="I12" i="1"/>
  <c r="I10" i="1"/>
  <c r="J21" i="1" l="1"/>
  <c r="J23" i="1"/>
  <c r="K23" i="1" s="1"/>
  <c r="N55" i="1"/>
  <c r="L24" i="1"/>
  <c r="K22" i="1"/>
  <c r="K20" i="1"/>
  <c r="L20" i="1" s="1"/>
  <c r="M20" i="1" s="1"/>
  <c r="J29" i="1"/>
  <c r="K29" i="1" s="1"/>
  <c r="L26" i="1"/>
  <c r="M26" i="1" s="1"/>
  <c r="K24" i="1"/>
  <c r="M33" i="1"/>
  <c r="N33" i="1" s="1"/>
  <c r="L28" i="1"/>
  <c r="L25" i="1"/>
  <c r="M25" i="1" s="1"/>
  <c r="M27" i="1"/>
  <c r="N27" i="1" s="1"/>
  <c r="L19" i="1"/>
  <c r="M19" i="1" s="1"/>
  <c r="N19" i="1" s="1"/>
  <c r="L18" i="1"/>
  <c r="L16" i="1"/>
  <c r="L17" i="1"/>
  <c r="M17" i="1" s="1"/>
  <c r="N17" i="1" s="1"/>
  <c r="L9" i="1"/>
  <c r="M9" i="1" s="1"/>
  <c r="L7" i="1"/>
  <c r="L15" i="1"/>
  <c r="M15" i="1" s="1"/>
  <c r="N15" i="1" s="1"/>
  <c r="K13" i="1"/>
  <c r="L13" i="1" s="1"/>
  <c r="L11" i="1"/>
  <c r="M11" i="1" s="1"/>
  <c r="J12" i="1"/>
  <c r="K12" i="1" s="1"/>
  <c r="L23" i="1" l="1"/>
  <c r="M23" i="1"/>
  <c r="L22" i="1"/>
  <c r="M22" i="1" s="1"/>
  <c r="N22" i="1" s="1"/>
  <c r="L29" i="1"/>
  <c r="M29" i="1" s="1"/>
  <c r="K21" i="1"/>
  <c r="L21" i="1" s="1"/>
  <c r="M24" i="1"/>
  <c r="N24" i="1" s="1"/>
  <c r="N23" i="1"/>
  <c r="M28" i="1"/>
  <c r="N28" i="1" s="1"/>
  <c r="M18" i="1"/>
  <c r="N18" i="1" s="1"/>
  <c r="N26" i="1"/>
  <c r="M7" i="1"/>
  <c r="N7" i="1" s="1"/>
  <c r="N25" i="1"/>
  <c r="N20" i="1"/>
  <c r="M16" i="1"/>
  <c r="N16" i="1" s="1"/>
  <c r="N9" i="1"/>
  <c r="M13" i="1"/>
  <c r="N13" i="1" s="1"/>
  <c r="N11" i="1"/>
  <c r="L12" i="1"/>
  <c r="M12" i="1"/>
  <c r="N12" i="1" s="1"/>
  <c r="M21" i="1" l="1"/>
  <c r="N21" i="1" s="1"/>
  <c r="N29" i="1"/>
  <c r="K30" i="1" s="1"/>
  <c r="J10" i="1"/>
  <c r="K10" i="1" s="1"/>
  <c r="J8" i="1"/>
  <c r="I8" i="1"/>
  <c r="J6" i="1"/>
  <c r="I6" i="1"/>
  <c r="M5" i="1"/>
  <c r="L5" i="1"/>
  <c r="K5" i="1"/>
  <c r="J5" i="1"/>
  <c r="I5" i="1"/>
  <c r="N5" i="1" s="1"/>
  <c r="N4" i="1"/>
  <c r="J4" i="1"/>
  <c r="K4" i="1"/>
  <c r="L4" i="1"/>
  <c r="M4" i="1"/>
  <c r="I4" i="1"/>
  <c r="I3" i="1"/>
  <c r="J3" i="1"/>
  <c r="K3" i="1"/>
  <c r="L3" i="1"/>
  <c r="M3" i="1"/>
  <c r="N3" i="1"/>
  <c r="K8" i="1" l="1"/>
  <c r="L8" i="1" s="1"/>
  <c r="M8" i="1" s="1"/>
  <c r="N8" i="1" s="1"/>
  <c r="L10" i="1"/>
  <c r="K6" i="1"/>
  <c r="M10" i="1" l="1"/>
  <c r="N10" i="1" s="1"/>
  <c r="L6" i="1"/>
  <c r="M6" i="1" s="1"/>
  <c r="N6" i="1" s="1"/>
  <c r="J14" i="1"/>
  <c r="K14" i="1" l="1"/>
  <c r="L14" i="1" s="1"/>
  <c r="M14" i="1" l="1"/>
  <c r="N14" i="1" s="1"/>
</calcChain>
</file>

<file path=xl/sharedStrings.xml><?xml version="1.0" encoding="utf-8"?>
<sst xmlns="http://schemas.openxmlformats.org/spreadsheetml/2006/main" count="67" uniqueCount="36">
  <si>
    <t>Functions</t>
  </si>
  <si>
    <t>Inputs</t>
  </si>
  <si>
    <t>Tests</t>
  </si>
  <si>
    <t>Expected</t>
  </si>
  <si>
    <t>SUM</t>
  </si>
  <si>
    <t>COUNTA</t>
  </si>
  <si>
    <t>COUNTIF</t>
  </si>
  <si>
    <t>POWER</t>
  </si>
  <si>
    <t>PRODUCT</t>
  </si>
  <si>
    <t>FLOOR</t>
  </si>
  <si>
    <t>CEILING</t>
  </si>
  <si>
    <t>LOG</t>
  </si>
  <si>
    <t>AVERAGE</t>
  </si>
  <si>
    <t>MEDIAN</t>
  </si>
  <si>
    <t>STDEV</t>
  </si>
  <si>
    <t>STDEV.S</t>
  </si>
  <si>
    <t>STDEVP</t>
  </si>
  <si>
    <t>STDEV.P</t>
  </si>
  <si>
    <t>VAR</t>
  </si>
  <si>
    <t>VAR.S</t>
  </si>
  <si>
    <t>VARP</t>
  </si>
  <si>
    <t>VAR.P</t>
  </si>
  <si>
    <t>COUNT</t>
  </si>
  <si>
    <t>V</t>
  </si>
  <si>
    <t>c</t>
  </si>
  <si>
    <t>Test</t>
  </si>
  <si>
    <t>Val</t>
  </si>
  <si>
    <t>FLOOR.MATH</t>
  </si>
  <si>
    <t>CEILING.MATH</t>
  </si>
  <si>
    <t>CHOOSE</t>
  </si>
  <si>
    <t>MIN</t>
  </si>
  <si>
    <t>MAX</t>
  </si>
  <si>
    <t>DEGREES</t>
  </si>
  <si>
    <t>RADIANS</t>
  </si>
  <si>
    <t>QUARTILE</t>
  </si>
  <si>
    <t>QUARTILE.INC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</si>
</sst>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FF9ED-8125-4F1D-B85A-69D7CAC66BA2}">
  <dimension ref="B2:T58"/>
  <sheetViews>
    <sheetView tabSelected="1" topLeftCell="A37" workbookViewId="0">
      <selection activeCell="G65" sqref="G65"/>
    </sheetView>
  </sheetViews>
  <sheetFormatPr defaultRowHeight="15" x14ac:dyDescent="0.25"/>
  <cols>
    <col min="2" max="2" width="19.42578125" bestFit="1" customWidth="1"/>
    <col min="8" max="8" width="12.42578125" bestFit="1" customWidth="1"/>
    <col min="9" max="9" width="22.42578125" bestFit="1" customWidth="1"/>
    <col min="10" max="14" width="12" bestFit="1" customWidth="1"/>
    <col min="15" max="15" width="22.42578125" bestFit="1" customWidth="1"/>
  </cols>
  <sheetData>
    <row r="2" spans="2:20" x14ac:dyDescent="0.25">
      <c r="B2" t="s">
        <v>0</v>
      </c>
      <c r="C2" t="s">
        <v>1</v>
      </c>
      <c r="I2" t="s">
        <v>2</v>
      </c>
      <c r="O2" t="s">
        <v>3</v>
      </c>
    </row>
    <row r="3" spans="2:20" x14ac:dyDescent="0.25">
      <c r="B3" s="1" t="s">
        <v>11</v>
      </c>
      <c r="C3">
        <v>10</v>
      </c>
      <c r="D3">
        <v>10</v>
      </c>
      <c r="E3">
        <v>2</v>
      </c>
      <c r="F3">
        <v>16</v>
      </c>
      <c r="G3">
        <v>6</v>
      </c>
      <c r="H3">
        <v>9</v>
      </c>
      <c r="I3">
        <f>LOG(C3)</f>
        <v>1</v>
      </c>
      <c r="J3">
        <f t="shared" ref="J3:N3" si="0">LOG(D3)</f>
        <v>1</v>
      </c>
      <c r="K3">
        <f t="shared" si="0"/>
        <v>0.3010299956639812</v>
      </c>
      <c r="L3">
        <f t="shared" si="0"/>
        <v>1.2041199826559248</v>
      </c>
      <c r="M3">
        <f t="shared" si="0"/>
        <v>0.77815125038364363</v>
      </c>
      <c r="N3">
        <f t="shared" si="0"/>
        <v>0.95424250943932487</v>
      </c>
      <c r="O3">
        <v>1</v>
      </c>
      <c r="P3">
        <v>1</v>
      </c>
      <c r="Q3">
        <v>0.3010299956639812</v>
      </c>
      <c r="R3">
        <v>1.2041199826559248</v>
      </c>
      <c r="S3">
        <v>0.77815125038364363</v>
      </c>
      <c r="T3">
        <v>0.95424250943932487</v>
      </c>
    </row>
    <row r="4" spans="2:20" x14ac:dyDescent="0.25">
      <c r="B4" s="1" t="s">
        <v>11</v>
      </c>
      <c r="C4">
        <v>10</v>
      </c>
      <c r="D4">
        <v>10</v>
      </c>
      <c r="E4">
        <v>2</v>
      </c>
      <c r="F4">
        <v>16</v>
      </c>
      <c r="G4">
        <v>6</v>
      </c>
      <c r="H4">
        <v>9</v>
      </c>
      <c r="I4">
        <f>LOG(C4,D4)</f>
        <v>1</v>
      </c>
      <c r="J4">
        <f t="shared" ref="J4:M4" si="1">LOG(D4,E4)</f>
        <v>3.3219280948873626</v>
      </c>
      <c r="K4">
        <f t="shared" si="1"/>
        <v>0.25</v>
      </c>
      <c r="L4">
        <f t="shared" si="1"/>
        <v>1.5474112289381663</v>
      </c>
      <c r="M4">
        <f t="shared" si="1"/>
        <v>0.81546487678572865</v>
      </c>
      <c r="N4">
        <f>LOG(H4,F4)</f>
        <v>0.79248125036057815</v>
      </c>
      <c r="O4">
        <v>1</v>
      </c>
      <c r="P4">
        <v>3.3219280948873626</v>
      </c>
      <c r="Q4">
        <v>0.25</v>
      </c>
      <c r="R4">
        <v>1.5474112289381663</v>
      </c>
      <c r="S4">
        <v>0.81546487678572865</v>
      </c>
      <c r="T4">
        <v>0.79248125036057815</v>
      </c>
    </row>
    <row r="5" spans="2:20" x14ac:dyDescent="0.25">
      <c r="B5" s="1" t="s">
        <v>7</v>
      </c>
      <c r="C5">
        <v>1</v>
      </c>
      <c r="D5">
        <v>1.2</v>
      </c>
      <c r="E5">
        <v>-1</v>
      </c>
      <c r="F5">
        <v>6</v>
      </c>
      <c r="G5">
        <v>4</v>
      </c>
      <c r="H5">
        <v>0.5</v>
      </c>
      <c r="I5">
        <f>POWER(C5,D5)</f>
        <v>1</v>
      </c>
      <c r="J5">
        <f t="shared" ref="J5" si="2">POWER(D5,E5)</f>
        <v>0.83333333333333337</v>
      </c>
      <c r="K5">
        <f t="shared" ref="K5" si="3">POWER(E5,F5)</f>
        <v>1</v>
      </c>
      <c r="L5">
        <f t="shared" ref="L5" si="4">POWER(F5,G5)</f>
        <v>1296</v>
      </c>
      <c r="M5">
        <f t="shared" ref="M5" si="5">POWER(G5,H5)</f>
        <v>2</v>
      </c>
      <c r="N5">
        <f t="shared" ref="N5" si="6">POWER(H5,I5)</f>
        <v>0.5</v>
      </c>
      <c r="O5">
        <v>1</v>
      </c>
      <c r="P5">
        <v>0.83333333333333337</v>
      </c>
      <c r="Q5">
        <v>1</v>
      </c>
      <c r="R5">
        <v>1296</v>
      </c>
      <c r="S5">
        <v>2</v>
      </c>
      <c r="T5">
        <v>0.5</v>
      </c>
    </row>
    <row r="6" spans="2:20" x14ac:dyDescent="0.25">
      <c r="B6" s="1" t="s">
        <v>4</v>
      </c>
      <c r="C6">
        <v>1</v>
      </c>
      <c r="D6">
        <v>2</v>
      </c>
      <c r="E6">
        <v>3</v>
      </c>
      <c r="F6">
        <v>4</v>
      </c>
      <c r="G6">
        <v>5</v>
      </c>
      <c r="H6">
        <v>6</v>
      </c>
      <c r="I6">
        <f>SUM(C6:H6)</f>
        <v>21</v>
      </c>
      <c r="J6">
        <f>SUM(C5:H6)</f>
        <v>32.700000000000003</v>
      </c>
      <c r="K6">
        <f>SUM(I6:J6)</f>
        <v>53.7</v>
      </c>
      <c r="L6">
        <f t="shared" ref="L6:N6" si="7">SUM(J6:K6)</f>
        <v>86.4</v>
      </c>
      <c r="M6">
        <f t="shared" si="7"/>
        <v>140.10000000000002</v>
      </c>
      <c r="N6">
        <f t="shared" si="7"/>
        <v>226.50000000000003</v>
      </c>
      <c r="O6">
        <v>21</v>
      </c>
      <c r="P6">
        <v>32.700000000000003</v>
      </c>
      <c r="Q6">
        <v>53.7</v>
      </c>
      <c r="R6">
        <v>86.4</v>
      </c>
      <c r="S6">
        <v>140.10000000000002</v>
      </c>
      <c r="T6">
        <v>226.50000000000003</v>
      </c>
    </row>
    <row r="7" spans="2:20" x14ac:dyDescent="0.25">
      <c r="B7" s="1" t="s">
        <v>4</v>
      </c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f>SUM(C7,D7,E7,F7,G7,H7)</f>
        <v>21</v>
      </c>
      <c r="J7">
        <f t="shared" ref="J7:N7" si="8">SUM(D7,E7,F7,G7,H7,I7)</f>
        <v>41</v>
      </c>
      <c r="K7">
        <f t="shared" si="8"/>
        <v>80</v>
      </c>
      <c r="L7">
        <f t="shared" si="8"/>
        <v>157</v>
      </c>
      <c r="M7">
        <f t="shared" si="8"/>
        <v>310</v>
      </c>
      <c r="N7">
        <f t="shared" si="8"/>
        <v>615</v>
      </c>
      <c r="O7">
        <v>21</v>
      </c>
      <c r="P7">
        <v>41</v>
      </c>
      <c r="Q7">
        <v>80</v>
      </c>
      <c r="R7">
        <v>157</v>
      </c>
      <c r="S7">
        <v>310</v>
      </c>
      <c r="T7">
        <v>615</v>
      </c>
    </row>
    <row r="8" spans="2:20" x14ac:dyDescent="0.25">
      <c r="B8" s="1" t="s">
        <v>8</v>
      </c>
      <c r="C8">
        <v>1</v>
      </c>
      <c r="D8">
        <v>2</v>
      </c>
      <c r="E8">
        <v>3</v>
      </c>
      <c r="F8">
        <v>4</v>
      </c>
      <c r="G8">
        <v>5</v>
      </c>
      <c r="H8">
        <v>6</v>
      </c>
      <c r="I8">
        <f>PRODUCT(C8:H8)</f>
        <v>720</v>
      </c>
      <c r="J8">
        <f>PRODUCT(C6:H8)</f>
        <v>373248000</v>
      </c>
      <c r="K8">
        <f>PRODUCT(I8:J8)</f>
        <v>268738560000</v>
      </c>
      <c r="L8">
        <f t="shared" ref="L8:N8" si="9">PRODUCT(J8:K8)</f>
        <v>1.0030613004288E+20</v>
      </c>
      <c r="M8">
        <f t="shared" si="9"/>
        <v>2.6956124946896311E+31</v>
      </c>
      <c r="N8">
        <f t="shared" si="9"/>
        <v>2.7038645743755032E+51</v>
      </c>
      <c r="O8">
        <v>720</v>
      </c>
      <c r="P8">
        <v>373248000</v>
      </c>
      <c r="Q8">
        <v>268738560000</v>
      </c>
      <c r="R8">
        <v>1.0030613004288E+20</v>
      </c>
      <c r="S8">
        <v>2.6956124946896311E+31</v>
      </c>
      <c r="T8">
        <v>2.7038645743755032E+51</v>
      </c>
    </row>
    <row r="9" spans="2:20" x14ac:dyDescent="0.25">
      <c r="B9" s="1" t="s">
        <v>8</v>
      </c>
      <c r="C9">
        <v>1</v>
      </c>
      <c r="D9">
        <v>2</v>
      </c>
      <c r="E9">
        <v>3</v>
      </c>
      <c r="F9">
        <v>4</v>
      </c>
      <c r="G9">
        <v>5</v>
      </c>
      <c r="H9">
        <v>6</v>
      </c>
      <c r="I9">
        <f>PRODUCT(C9,D9,E9,F9,G9,H9)</f>
        <v>720</v>
      </c>
      <c r="J9">
        <f t="shared" ref="J9:N9" si="10">PRODUCT(D9,E9,F9,G9,H9,I9)</f>
        <v>518400</v>
      </c>
      <c r="K9">
        <f t="shared" si="10"/>
        <v>134369280000</v>
      </c>
      <c r="L9">
        <f t="shared" si="10"/>
        <v>6.0183678025728E+21</v>
      </c>
      <c r="M9">
        <f t="shared" si="10"/>
        <v>9.0551877517612379E+42</v>
      </c>
      <c r="N9">
        <f t="shared" si="10"/>
        <v>1.6399285043929349E+85</v>
      </c>
      <c r="O9">
        <v>720</v>
      </c>
      <c r="P9">
        <v>518400</v>
      </c>
      <c r="Q9">
        <v>134369280000</v>
      </c>
      <c r="R9">
        <v>6.0183678025728E+21</v>
      </c>
      <c r="S9">
        <v>9.0551877517612379E+42</v>
      </c>
      <c r="T9">
        <v>1.6399285043929349E+85</v>
      </c>
    </row>
    <row r="10" spans="2:20" x14ac:dyDescent="0.25">
      <c r="B10" s="1" t="s">
        <v>13</v>
      </c>
      <c r="C10">
        <v>1</v>
      </c>
      <c r="D10">
        <v>2</v>
      </c>
      <c r="E10">
        <v>3</v>
      </c>
      <c r="F10">
        <v>4</v>
      </c>
      <c r="G10">
        <v>5</v>
      </c>
      <c r="H10">
        <v>6</v>
      </c>
      <c r="I10">
        <f>MEDIAN(C10:H10)</f>
        <v>3.5</v>
      </c>
      <c r="J10">
        <f>MEDIAN(C8:H10)</f>
        <v>3.5</v>
      </c>
      <c r="K10">
        <f>MEDIAN(I10:J10)</f>
        <v>3.5</v>
      </c>
      <c r="L10">
        <f t="shared" ref="L10:N10" si="11">MEDIAN(F10:K10)</f>
        <v>3.75</v>
      </c>
      <c r="M10">
        <f t="shared" si="11"/>
        <v>3.625</v>
      </c>
      <c r="N10">
        <f t="shared" si="11"/>
        <v>3.5625</v>
      </c>
      <c r="O10">
        <v>3.5</v>
      </c>
      <c r="P10">
        <v>3.5</v>
      </c>
      <c r="Q10">
        <v>3.5</v>
      </c>
      <c r="R10">
        <v>3.75</v>
      </c>
      <c r="S10">
        <v>3.625</v>
      </c>
      <c r="T10">
        <v>3.5625</v>
      </c>
    </row>
    <row r="11" spans="2:20" x14ac:dyDescent="0.25">
      <c r="B11" s="1" t="s">
        <v>13</v>
      </c>
      <c r="C11">
        <v>1</v>
      </c>
      <c r="D11">
        <v>2</v>
      </c>
      <c r="E11">
        <v>3</v>
      </c>
      <c r="F11">
        <v>4</v>
      </c>
      <c r="G11">
        <v>5</v>
      </c>
      <c r="H11">
        <v>6</v>
      </c>
      <c r="I11">
        <f>MEDIAN(C11,D11,E11,F11,G11,H11)</f>
        <v>3.5</v>
      </c>
      <c r="J11">
        <f t="shared" ref="J11:N11" si="12">MEDIAN(D11,E11,F11,G11,H11,I11)</f>
        <v>3.75</v>
      </c>
      <c r="K11">
        <f t="shared" si="12"/>
        <v>3.875</v>
      </c>
      <c r="L11">
        <f t="shared" si="12"/>
        <v>3.9375</v>
      </c>
      <c r="M11">
        <f t="shared" si="12"/>
        <v>3.90625</v>
      </c>
      <c r="N11">
        <f t="shared" si="12"/>
        <v>3.890625</v>
      </c>
      <c r="O11">
        <v>3.5</v>
      </c>
      <c r="P11">
        <v>3.75</v>
      </c>
      <c r="Q11">
        <v>3.875</v>
      </c>
      <c r="R11">
        <v>3.9375</v>
      </c>
      <c r="S11">
        <v>3.90625</v>
      </c>
      <c r="T11">
        <v>3.890625</v>
      </c>
    </row>
    <row r="12" spans="2:20" x14ac:dyDescent="0.25">
      <c r="B12" s="1" t="s">
        <v>12</v>
      </c>
      <c r="C12">
        <v>1</v>
      </c>
      <c r="D12">
        <v>2</v>
      </c>
      <c r="E12">
        <v>3</v>
      </c>
      <c r="F12">
        <v>4</v>
      </c>
      <c r="G12">
        <v>5</v>
      </c>
      <c r="H12">
        <v>6</v>
      </c>
      <c r="I12">
        <f>AVERAGE(C12:H12)</f>
        <v>3.5</v>
      </c>
      <c r="J12">
        <f t="shared" ref="J12:N12" si="13">AVERAGE(D12:I12)</f>
        <v>3.9166666666666665</v>
      </c>
      <c r="K12">
        <f t="shared" si="13"/>
        <v>4.2361111111111116</v>
      </c>
      <c r="L12">
        <f t="shared" si="13"/>
        <v>4.4421296296296298</v>
      </c>
      <c r="M12">
        <f t="shared" si="13"/>
        <v>4.5158179012345681</v>
      </c>
      <c r="N12">
        <f t="shared" si="13"/>
        <v>4.4351208847736627</v>
      </c>
      <c r="O12">
        <v>3.5</v>
      </c>
      <c r="P12">
        <v>3.9166666666666665</v>
      </c>
      <c r="Q12">
        <v>4.2361111111111116</v>
      </c>
      <c r="R12">
        <v>4.4421296296296298</v>
      </c>
      <c r="S12">
        <v>4.5158179012345681</v>
      </c>
      <c r="T12">
        <v>4.4351208847736627</v>
      </c>
    </row>
    <row r="13" spans="2:20" x14ac:dyDescent="0.25">
      <c r="B13" s="1" t="s">
        <v>12</v>
      </c>
      <c r="C13">
        <v>1</v>
      </c>
      <c r="D13">
        <v>2</v>
      </c>
      <c r="E13">
        <v>3</v>
      </c>
      <c r="F13">
        <v>4</v>
      </c>
      <c r="G13">
        <v>5</v>
      </c>
      <c r="H13">
        <v>6</v>
      </c>
      <c r="I13">
        <f>AVERAGE(C13,E13,D13,F13,G13,H13)</f>
        <v>3.5</v>
      </c>
      <c r="J13">
        <f t="shared" ref="J13:N13" si="14">AVERAGE(D13,F13,E13,G13,H13,I13)</f>
        <v>3.9166666666666665</v>
      </c>
      <c r="K13">
        <f t="shared" si="14"/>
        <v>4.2361111111111116</v>
      </c>
      <c r="L13">
        <f t="shared" si="14"/>
        <v>4.4421296296296298</v>
      </c>
      <c r="M13">
        <f t="shared" si="14"/>
        <v>4.5158179012345681</v>
      </c>
      <c r="N13">
        <f t="shared" si="14"/>
        <v>4.4351208847736627</v>
      </c>
      <c r="O13">
        <v>3.5</v>
      </c>
      <c r="P13">
        <v>3.9166666666666665</v>
      </c>
      <c r="Q13">
        <v>4.2361111111111116</v>
      </c>
      <c r="R13">
        <v>4.4421296296296298</v>
      </c>
      <c r="S13">
        <v>4.5158179012345681</v>
      </c>
      <c r="T13">
        <v>4.4351208847736627</v>
      </c>
    </row>
    <row r="14" spans="2:20" x14ac:dyDescent="0.25">
      <c r="B14" s="1" t="s">
        <v>14</v>
      </c>
      <c r="C14">
        <v>1</v>
      </c>
      <c r="D14">
        <v>2</v>
      </c>
      <c r="E14">
        <v>3</v>
      </c>
      <c r="F14">
        <v>4</v>
      </c>
      <c r="G14">
        <v>5</v>
      </c>
      <c r="H14">
        <v>6</v>
      </c>
      <c r="I14">
        <f>STDEV(C14:H14)</f>
        <v>1.8708286933869707</v>
      </c>
      <c r="J14">
        <f t="shared" ref="J14:N14" si="15">STDEV(D14:I14)</f>
        <v>1.6599884765114195</v>
      </c>
      <c r="K14">
        <f t="shared" si="15"/>
        <v>1.7316397089590438</v>
      </c>
      <c r="L14">
        <f t="shared" si="15"/>
        <v>1.8881884455319407</v>
      </c>
      <c r="M14">
        <f t="shared" si="15"/>
        <v>1.9448259123979093</v>
      </c>
      <c r="N14">
        <f t="shared" si="15"/>
        <v>1.7101383539969579</v>
      </c>
      <c r="O14">
        <v>1.8708286933869707</v>
      </c>
      <c r="P14">
        <v>1.6599884765114195</v>
      </c>
      <c r="Q14">
        <v>1.7316397089590438</v>
      </c>
      <c r="R14">
        <v>1.8881884455319407</v>
      </c>
      <c r="S14">
        <v>1.9448259123979093</v>
      </c>
      <c r="T14">
        <v>1.7101383539969579</v>
      </c>
    </row>
    <row r="15" spans="2:20" x14ac:dyDescent="0.25">
      <c r="B15" s="1" t="s">
        <v>14</v>
      </c>
      <c r="C15">
        <v>1</v>
      </c>
      <c r="D15">
        <v>2</v>
      </c>
      <c r="E15">
        <v>3</v>
      </c>
      <c r="F15">
        <v>4</v>
      </c>
      <c r="G15">
        <v>5</v>
      </c>
      <c r="H15">
        <v>6</v>
      </c>
      <c r="I15">
        <f>STDEV(C15,D15,E15,F15,G15,H15)</f>
        <v>1.8708286933869707</v>
      </c>
      <c r="J15">
        <f t="shared" ref="J15:N15" si="16">STDEV(D15,E15,F15,G15,H15,I15)</f>
        <v>1.6599884765114195</v>
      </c>
      <c r="K15">
        <f t="shared" si="16"/>
        <v>1.7316397089590438</v>
      </c>
      <c r="L15">
        <f t="shared" si="16"/>
        <v>1.8881884455319407</v>
      </c>
      <c r="M15">
        <f t="shared" si="16"/>
        <v>1.9448259123979093</v>
      </c>
      <c r="N15">
        <f t="shared" si="16"/>
        <v>1.7101383539969579</v>
      </c>
      <c r="O15">
        <v>1.8708286933869707</v>
      </c>
      <c r="P15">
        <v>1.6599884765114195</v>
      </c>
      <c r="Q15">
        <v>1.7316397089590438</v>
      </c>
      <c r="R15">
        <v>1.8881884455319407</v>
      </c>
      <c r="S15">
        <v>1.9448259123979093</v>
      </c>
      <c r="T15">
        <v>1.7101383539969579</v>
      </c>
    </row>
    <row r="16" spans="2:20" x14ac:dyDescent="0.25">
      <c r="B16" s="1" t="s">
        <v>15</v>
      </c>
      <c r="C16">
        <v>1</v>
      </c>
      <c r="D16">
        <v>2</v>
      </c>
      <c r="E16">
        <v>3</v>
      </c>
      <c r="F16">
        <v>4</v>
      </c>
      <c r="G16">
        <v>5</v>
      </c>
      <c r="H16">
        <v>6</v>
      </c>
      <c r="I16">
        <f>_xlfn.STDEV.S(C16:H16)</f>
        <v>1.8708286933869707</v>
      </c>
      <c r="J16">
        <f t="shared" ref="J16:N16" si="17">_xlfn.STDEV.S(D16:I16)</f>
        <v>1.6599884765114195</v>
      </c>
      <c r="K16">
        <f t="shared" si="17"/>
        <v>1.7316397089590438</v>
      </c>
      <c r="L16">
        <f t="shared" si="17"/>
        <v>1.8881884455319407</v>
      </c>
      <c r="M16">
        <f t="shared" si="17"/>
        <v>1.9448259123979093</v>
      </c>
      <c r="N16">
        <f t="shared" si="17"/>
        <v>1.7101383539969579</v>
      </c>
      <c r="O16">
        <v>1.8708286933869707</v>
      </c>
      <c r="P16">
        <v>1.6599884765114195</v>
      </c>
      <c r="Q16">
        <v>1.7316397089590438</v>
      </c>
      <c r="R16">
        <v>1.8881884455319407</v>
      </c>
      <c r="S16">
        <v>1.9448259123979093</v>
      </c>
      <c r="T16">
        <v>1.7101383539969579</v>
      </c>
    </row>
    <row r="17" spans="2:20" x14ac:dyDescent="0.25">
      <c r="B17" s="1" t="s">
        <v>15</v>
      </c>
      <c r="C17">
        <v>1</v>
      </c>
      <c r="D17">
        <v>2</v>
      </c>
      <c r="E17">
        <v>3</v>
      </c>
      <c r="F17">
        <v>4</v>
      </c>
      <c r="G17">
        <v>5</v>
      </c>
      <c r="H17">
        <v>6</v>
      </c>
      <c r="I17">
        <f>_xlfn.STDEV.S(C17,D17,E17,F17,G17,H17)</f>
        <v>1.8708286933869707</v>
      </c>
      <c r="J17">
        <f t="shared" ref="J17:N17" si="18">_xlfn.STDEV.S(D17,E17,F17,G17,H17,I17)</f>
        <v>1.6599884765114195</v>
      </c>
      <c r="K17">
        <f t="shared" si="18"/>
        <v>1.7316397089590438</v>
      </c>
      <c r="L17">
        <f t="shared" si="18"/>
        <v>1.8881884455319407</v>
      </c>
      <c r="M17">
        <f t="shared" si="18"/>
        <v>1.9448259123979093</v>
      </c>
      <c r="N17">
        <f t="shared" si="18"/>
        <v>1.7101383539969579</v>
      </c>
      <c r="O17">
        <v>1.8708286933869707</v>
      </c>
      <c r="P17">
        <v>1.6599884765114195</v>
      </c>
      <c r="Q17">
        <v>1.7316397089590438</v>
      </c>
      <c r="R17">
        <v>1.8881884455319407</v>
      </c>
      <c r="S17">
        <v>1.9448259123979093</v>
      </c>
      <c r="T17">
        <v>1.7101383539969579</v>
      </c>
    </row>
    <row r="18" spans="2:20" x14ac:dyDescent="0.25">
      <c r="B18" s="1" t="s">
        <v>16</v>
      </c>
      <c r="C18">
        <v>1</v>
      </c>
      <c r="D18">
        <v>2</v>
      </c>
      <c r="E18">
        <v>3</v>
      </c>
      <c r="F18">
        <v>4</v>
      </c>
      <c r="G18">
        <v>5</v>
      </c>
      <c r="H18">
        <v>6</v>
      </c>
      <c r="I18">
        <f>STDEVP(C18:H18)</f>
        <v>1.707825127659933</v>
      </c>
      <c r="J18">
        <f t="shared" ref="J18:N18" si="19">STDEVP(D18:I18)</f>
        <v>1.5480303634954249</v>
      </c>
      <c r="K18">
        <f t="shared" si="19"/>
        <v>1.6335628697297018</v>
      </c>
      <c r="L18">
        <f t="shared" si="19"/>
        <v>1.7818575762986797</v>
      </c>
      <c r="M18">
        <f t="shared" si="19"/>
        <v>1.8307986965254079</v>
      </c>
      <c r="N18">
        <f t="shared" si="19"/>
        <v>1.6050305205542423</v>
      </c>
      <c r="O18">
        <v>1.707825127659933</v>
      </c>
      <c r="P18">
        <v>1.5480303634954249</v>
      </c>
      <c r="Q18">
        <v>1.6335628697297018</v>
      </c>
      <c r="R18">
        <v>1.7818575762986797</v>
      </c>
      <c r="S18">
        <v>1.8307986965254079</v>
      </c>
      <c r="T18">
        <v>1.6050305205542423</v>
      </c>
    </row>
    <row r="19" spans="2:20" x14ac:dyDescent="0.25">
      <c r="B19" s="1" t="s">
        <v>16</v>
      </c>
      <c r="C19">
        <v>1</v>
      </c>
      <c r="D19">
        <v>2</v>
      </c>
      <c r="E19">
        <v>3</v>
      </c>
      <c r="F19">
        <v>4</v>
      </c>
      <c r="G19">
        <v>5</v>
      </c>
      <c r="H19">
        <v>6</v>
      </c>
      <c r="I19">
        <f>STDEVP(C19,D19,E19,F19,G19,H19)</f>
        <v>1.707825127659933</v>
      </c>
      <c r="J19">
        <f t="shared" ref="J19:N19" si="20">STDEVP(D19,E19,F19,G19,H19,I19)</f>
        <v>1.5480303634954249</v>
      </c>
      <c r="K19">
        <f t="shared" si="20"/>
        <v>1.6335628697297018</v>
      </c>
      <c r="L19">
        <f t="shared" si="20"/>
        <v>1.7818575762986797</v>
      </c>
      <c r="M19">
        <f t="shared" si="20"/>
        <v>1.8307986965254079</v>
      </c>
      <c r="N19">
        <f t="shared" si="20"/>
        <v>1.6050305205542423</v>
      </c>
      <c r="O19">
        <v>1.707825127659933</v>
      </c>
      <c r="P19">
        <v>1.5480303634954249</v>
      </c>
      <c r="Q19">
        <v>1.6335628697297018</v>
      </c>
      <c r="R19">
        <v>1.7818575762986797</v>
      </c>
      <c r="S19">
        <v>1.8307986965254079</v>
      </c>
      <c r="T19">
        <v>1.6050305205542423</v>
      </c>
    </row>
    <row r="20" spans="2:20" x14ac:dyDescent="0.25">
      <c r="B20" s="1" t="s">
        <v>17</v>
      </c>
      <c r="C20">
        <v>1</v>
      </c>
      <c r="D20">
        <v>2</v>
      </c>
      <c r="E20">
        <v>3</v>
      </c>
      <c r="F20">
        <v>4</v>
      </c>
      <c r="G20">
        <v>5</v>
      </c>
      <c r="H20">
        <v>6</v>
      </c>
      <c r="I20">
        <f>_xlfn.STDEV.P(C20:H20)</f>
        <v>1.707825127659933</v>
      </c>
      <c r="J20">
        <f t="shared" ref="J20:N20" si="21">_xlfn.STDEV.P(D20:I20)</f>
        <v>1.5480303634954249</v>
      </c>
      <c r="K20">
        <f t="shared" si="21"/>
        <v>1.6335628697297018</v>
      </c>
      <c r="L20">
        <f t="shared" si="21"/>
        <v>1.7818575762986797</v>
      </c>
      <c r="M20">
        <f t="shared" si="21"/>
        <v>1.8307986965254079</v>
      </c>
      <c r="N20">
        <f t="shared" si="21"/>
        <v>1.6050305205542423</v>
      </c>
      <c r="O20">
        <v>1.707825127659933</v>
      </c>
      <c r="P20">
        <v>1.5480303634954249</v>
      </c>
      <c r="Q20">
        <v>1.6335628697297018</v>
      </c>
      <c r="R20">
        <v>1.7818575762986797</v>
      </c>
      <c r="S20">
        <v>1.8307986965254079</v>
      </c>
      <c r="T20">
        <v>1.6050305205542423</v>
      </c>
    </row>
    <row r="21" spans="2:20" x14ac:dyDescent="0.25">
      <c r="B21" s="1" t="s">
        <v>17</v>
      </c>
      <c r="C21">
        <v>1</v>
      </c>
      <c r="D21">
        <v>2</v>
      </c>
      <c r="E21">
        <v>3</v>
      </c>
      <c r="F21">
        <v>4</v>
      </c>
      <c r="G21">
        <v>5</v>
      </c>
      <c r="H21">
        <v>6</v>
      </c>
      <c r="I21">
        <f>_xlfn.STDEV.P(C21,D21,E21,F21,G21,H21)</f>
        <v>1.707825127659933</v>
      </c>
      <c r="J21">
        <f t="shared" ref="J21:N21" si="22">_xlfn.STDEV.P(D21,E21,F21,G21,H21,I21)</f>
        <v>1.5480303634954249</v>
      </c>
      <c r="K21">
        <f t="shared" si="22"/>
        <v>1.6335628697297018</v>
      </c>
      <c r="L21">
        <f t="shared" si="22"/>
        <v>1.7818575762986797</v>
      </c>
      <c r="M21">
        <f t="shared" si="22"/>
        <v>1.8307986965254079</v>
      </c>
      <c r="N21">
        <f t="shared" si="22"/>
        <v>1.6050305205542423</v>
      </c>
      <c r="O21">
        <v>1.707825127659933</v>
      </c>
      <c r="P21">
        <v>1.5480303634954249</v>
      </c>
      <c r="Q21">
        <v>1.6335628697297018</v>
      </c>
      <c r="R21">
        <v>1.7818575762986797</v>
      </c>
      <c r="S21">
        <v>1.8307986965254079</v>
      </c>
      <c r="T21">
        <v>1.6050305205542423</v>
      </c>
    </row>
    <row r="22" spans="2:20" x14ac:dyDescent="0.25">
      <c r="B22" s="1" t="s">
        <v>18</v>
      </c>
      <c r="C22">
        <v>1</v>
      </c>
      <c r="D22">
        <v>2</v>
      </c>
      <c r="E22">
        <v>3</v>
      </c>
      <c r="F22">
        <v>4</v>
      </c>
      <c r="G22">
        <v>5</v>
      </c>
      <c r="H22">
        <v>6</v>
      </c>
      <c r="I22">
        <f>VAR(C22:H22)</f>
        <v>3.5</v>
      </c>
      <c r="J22">
        <f t="shared" ref="J22:N22" si="23">VAR(D22:I22)</f>
        <v>2.0416666666666656</v>
      </c>
      <c r="K22">
        <f t="shared" si="23"/>
        <v>2.0100115740740763</v>
      </c>
      <c r="L22">
        <f t="shared" si="23"/>
        <v>2.5391034786745879</v>
      </c>
      <c r="M22">
        <f t="shared" si="23"/>
        <v>2.7537500383539224</v>
      </c>
      <c r="N22">
        <f t="shared" si="23"/>
        <v>2.2605344386491013</v>
      </c>
      <c r="O22">
        <v>3.5</v>
      </c>
      <c r="P22">
        <v>2.0416666666666656</v>
      </c>
      <c r="Q22">
        <v>2.0100115740740763</v>
      </c>
      <c r="R22">
        <v>2.5391034786745879</v>
      </c>
      <c r="S22">
        <v>2.7537500383539224</v>
      </c>
      <c r="T22">
        <v>2.2605344386491013</v>
      </c>
    </row>
    <row r="23" spans="2:20" x14ac:dyDescent="0.25">
      <c r="B23" s="1" t="s">
        <v>18</v>
      </c>
      <c r="C23">
        <v>1</v>
      </c>
      <c r="D23">
        <v>2</v>
      </c>
      <c r="E23">
        <v>3</v>
      </c>
      <c r="F23">
        <v>4</v>
      </c>
      <c r="G23">
        <v>5</v>
      </c>
      <c r="H23">
        <v>6</v>
      </c>
      <c r="I23">
        <f>VAR(C23,D23,E23,F23,G23,H23)</f>
        <v>3.5</v>
      </c>
      <c r="J23">
        <f t="shared" ref="J23:N23" si="24">VAR(D23,E23,F23,G23,H23,I23)</f>
        <v>2.0416666666666656</v>
      </c>
      <c r="K23">
        <f t="shared" si="24"/>
        <v>2.0100115740740763</v>
      </c>
      <c r="L23">
        <f t="shared" si="24"/>
        <v>2.5391034786745879</v>
      </c>
      <c r="M23">
        <f t="shared" si="24"/>
        <v>2.7537500383539224</v>
      </c>
      <c r="N23">
        <f t="shared" si="24"/>
        <v>2.2605344386491013</v>
      </c>
      <c r="O23">
        <v>3.5</v>
      </c>
      <c r="P23">
        <v>2.0416666666666656</v>
      </c>
      <c r="Q23">
        <v>2.0100115740740763</v>
      </c>
      <c r="R23">
        <v>2.5391034786745879</v>
      </c>
      <c r="S23">
        <v>2.7537500383539224</v>
      </c>
      <c r="T23">
        <v>2.2605344386491013</v>
      </c>
    </row>
    <row r="24" spans="2:20" x14ac:dyDescent="0.25">
      <c r="B24" s="1" t="s">
        <v>19</v>
      </c>
      <c r="C24">
        <v>1</v>
      </c>
      <c r="D24">
        <v>2</v>
      </c>
      <c r="E24">
        <v>3</v>
      </c>
      <c r="F24">
        <v>4</v>
      </c>
      <c r="G24">
        <v>5</v>
      </c>
      <c r="H24">
        <v>6</v>
      </c>
      <c r="I24">
        <f>_xlfn.VAR.S(C24:H24)</f>
        <v>3.5</v>
      </c>
      <c r="J24">
        <f t="shared" ref="J24:N24" si="25">_xlfn.VAR.S(D24:I24)</f>
        <v>2.0416666666666656</v>
      </c>
      <c r="K24">
        <f t="shared" si="25"/>
        <v>2.0100115740740763</v>
      </c>
      <c r="L24">
        <f t="shared" si="25"/>
        <v>2.5391034786745879</v>
      </c>
      <c r="M24">
        <f t="shared" si="25"/>
        <v>2.7537500383539224</v>
      </c>
      <c r="N24">
        <f t="shared" si="25"/>
        <v>2.2605344386491013</v>
      </c>
      <c r="O24">
        <v>3.5</v>
      </c>
      <c r="P24">
        <v>2.0416666666666656</v>
      </c>
      <c r="Q24">
        <v>2.0100115740740763</v>
      </c>
      <c r="R24">
        <v>2.5391034786745879</v>
      </c>
      <c r="S24">
        <v>2.7537500383539224</v>
      </c>
      <c r="T24">
        <v>2.2605344386491013</v>
      </c>
    </row>
    <row r="25" spans="2:20" x14ac:dyDescent="0.25">
      <c r="B25" s="1" t="s">
        <v>19</v>
      </c>
      <c r="C25">
        <v>1</v>
      </c>
      <c r="D25">
        <v>2</v>
      </c>
      <c r="E25">
        <v>3</v>
      </c>
      <c r="F25">
        <v>4</v>
      </c>
      <c r="G25">
        <v>5</v>
      </c>
      <c r="H25">
        <v>6</v>
      </c>
      <c r="I25">
        <f>_xlfn.VAR.S(C25,D25,E25,F25,G25,H25)</f>
        <v>3.5</v>
      </c>
      <c r="J25">
        <f t="shared" ref="J25:N25" si="26">_xlfn.VAR.S(D25,E25,F25,G25,H25,I25)</f>
        <v>2.0416666666666656</v>
      </c>
      <c r="K25">
        <f t="shared" si="26"/>
        <v>2.0100115740740763</v>
      </c>
      <c r="L25">
        <f t="shared" si="26"/>
        <v>2.5391034786745879</v>
      </c>
      <c r="M25">
        <f t="shared" si="26"/>
        <v>2.7537500383539224</v>
      </c>
      <c r="N25">
        <f t="shared" si="26"/>
        <v>2.2605344386491013</v>
      </c>
      <c r="O25">
        <v>3.5</v>
      </c>
      <c r="P25">
        <v>2.0416666666666656</v>
      </c>
      <c r="Q25">
        <v>2.0100115740740763</v>
      </c>
      <c r="R25">
        <v>2.5391034786745879</v>
      </c>
      <c r="S25">
        <v>2.7537500383539224</v>
      </c>
      <c r="T25">
        <v>2.2605344386491013</v>
      </c>
    </row>
    <row r="26" spans="2:20" x14ac:dyDescent="0.25">
      <c r="B26" s="1" t="s">
        <v>20</v>
      </c>
      <c r="C26">
        <v>1</v>
      </c>
      <c r="D26">
        <v>2</v>
      </c>
      <c r="E26">
        <v>3</v>
      </c>
      <c r="F26">
        <v>4</v>
      </c>
      <c r="G26">
        <v>5</v>
      </c>
      <c r="H26">
        <v>6</v>
      </c>
      <c r="I26">
        <f>VARP(C26:H26)</f>
        <v>2.9166666666666665</v>
      </c>
      <c r="J26">
        <f t="shared" ref="J26:N26" si="27">VARP(D26:I26)</f>
        <v>1.8296682098765398</v>
      </c>
      <c r="K26">
        <f t="shared" si="27"/>
        <v>1.9370008583393787</v>
      </c>
      <c r="L26">
        <f t="shared" si="27"/>
        <v>2.3742379604353436</v>
      </c>
      <c r="M26">
        <f t="shared" si="27"/>
        <v>2.532094110578667</v>
      </c>
      <c r="N26">
        <f t="shared" si="27"/>
        <v>2.014840014197484</v>
      </c>
      <c r="O26">
        <v>2.9166666666666665</v>
      </c>
      <c r="P26">
        <v>1.8296682098765398</v>
      </c>
      <c r="Q26">
        <v>1.9370008583393787</v>
      </c>
      <c r="R26">
        <v>2.3742379604353436</v>
      </c>
      <c r="S26">
        <v>2.532094110578667</v>
      </c>
      <c r="T26">
        <v>2.014840014197484</v>
      </c>
    </row>
    <row r="27" spans="2:20" x14ac:dyDescent="0.25">
      <c r="B27" s="1" t="s">
        <v>20</v>
      </c>
      <c r="C27">
        <v>1</v>
      </c>
      <c r="D27">
        <v>2</v>
      </c>
      <c r="E27">
        <v>3</v>
      </c>
      <c r="F27">
        <v>4</v>
      </c>
      <c r="G27">
        <v>5</v>
      </c>
      <c r="H27">
        <v>6</v>
      </c>
      <c r="I27">
        <f>VARP(C27,D27,E27,F27,G27,H27)</f>
        <v>2.9166666666666665</v>
      </c>
      <c r="J27">
        <f t="shared" ref="J27:N27" si="28">VARP(D27,E27,F27,G27,H27,I27)</f>
        <v>1.8296682098765398</v>
      </c>
      <c r="K27">
        <f t="shared" si="28"/>
        <v>1.9370008583393787</v>
      </c>
      <c r="L27">
        <f t="shared" si="28"/>
        <v>2.3742379604353436</v>
      </c>
      <c r="M27">
        <f t="shared" si="28"/>
        <v>2.532094110578667</v>
      </c>
      <c r="N27">
        <f t="shared" si="28"/>
        <v>2.014840014197484</v>
      </c>
      <c r="O27">
        <v>2.9166666666666665</v>
      </c>
      <c r="P27">
        <v>1.8296682098765398</v>
      </c>
      <c r="Q27">
        <v>1.9370008583393787</v>
      </c>
      <c r="R27">
        <v>2.3742379604353436</v>
      </c>
      <c r="S27">
        <v>2.532094110578667</v>
      </c>
      <c r="T27">
        <v>2.014840014197484</v>
      </c>
    </row>
    <row r="28" spans="2:20" x14ac:dyDescent="0.25">
      <c r="B28" s="1" t="s">
        <v>21</v>
      </c>
      <c r="C28">
        <v>1</v>
      </c>
      <c r="D28">
        <v>2</v>
      </c>
      <c r="E28">
        <v>3</v>
      </c>
      <c r="F28">
        <v>4</v>
      </c>
      <c r="G28">
        <v>5</v>
      </c>
      <c r="H28">
        <v>6</v>
      </c>
      <c r="I28">
        <f>_xlfn.VAR.P(C28:H28)</f>
        <v>2.9166666666666665</v>
      </c>
      <c r="J28">
        <f t="shared" ref="J28:N28" si="29">_xlfn.VAR.P(D28:I28)</f>
        <v>1.8296682098765398</v>
      </c>
      <c r="K28">
        <f t="shared" si="29"/>
        <v>1.9370008583393787</v>
      </c>
      <c r="L28">
        <f t="shared" si="29"/>
        <v>2.3742379604353436</v>
      </c>
      <c r="M28">
        <f t="shared" si="29"/>
        <v>2.532094110578667</v>
      </c>
      <c r="N28">
        <f t="shared" si="29"/>
        <v>2.014840014197484</v>
      </c>
      <c r="O28">
        <v>2.9166666666666665</v>
      </c>
      <c r="P28">
        <v>1.8296682098765398</v>
      </c>
      <c r="Q28">
        <v>1.9370008583393787</v>
      </c>
      <c r="R28">
        <v>2.3742379604353436</v>
      </c>
      <c r="S28">
        <v>2.532094110578667</v>
      </c>
      <c r="T28">
        <v>2.014840014197484</v>
      </c>
    </row>
    <row r="29" spans="2:20" x14ac:dyDescent="0.25">
      <c r="B29" s="1" t="s">
        <v>21</v>
      </c>
      <c r="C29">
        <v>1</v>
      </c>
      <c r="D29">
        <v>2</v>
      </c>
      <c r="E29">
        <v>3</v>
      </c>
      <c r="F29">
        <v>4</v>
      </c>
      <c r="G29">
        <v>5</v>
      </c>
      <c r="H29">
        <v>6</v>
      </c>
      <c r="I29">
        <f>_xlfn.VAR.P(C29,D29,E29,F29,G29,H29)</f>
        <v>2.9166666666666665</v>
      </c>
      <c r="J29">
        <f t="shared" ref="J29:N29" si="30">_xlfn.VAR.P(D29,E29,F29,G29,H29,I29)</f>
        <v>1.8296682098765398</v>
      </c>
      <c r="K29">
        <f t="shared" si="30"/>
        <v>1.9370008583393787</v>
      </c>
      <c r="L29">
        <f t="shared" si="30"/>
        <v>2.3742379604353436</v>
      </c>
      <c r="M29">
        <f t="shared" si="30"/>
        <v>2.532094110578667</v>
      </c>
      <c r="N29">
        <f t="shared" si="30"/>
        <v>2.014840014197484</v>
      </c>
      <c r="O29">
        <v>2.9166666666666665</v>
      </c>
      <c r="P29">
        <v>1.8296682098765398</v>
      </c>
      <c r="Q29">
        <v>1.9370008583393787</v>
      </c>
      <c r="R29">
        <v>2.3742379604353436</v>
      </c>
      <c r="S29">
        <v>2.532094110578667</v>
      </c>
      <c r="T29">
        <v>2.014840014197484</v>
      </c>
    </row>
    <row r="30" spans="2:20" x14ac:dyDescent="0.25">
      <c r="B30" s="1" t="s">
        <v>22</v>
      </c>
      <c r="C30">
        <v>1</v>
      </c>
      <c r="D30" t="s">
        <v>23</v>
      </c>
      <c r="E30">
        <v>3</v>
      </c>
      <c r="G30">
        <v>5</v>
      </c>
      <c r="H30">
        <v>6</v>
      </c>
      <c r="I30">
        <f>COUNT(C30:H30)</f>
        <v>4</v>
      </c>
      <c r="J30">
        <f>COUNT(B30:G30)</f>
        <v>3</v>
      </c>
      <c r="K30">
        <f>COUNT(I29:N29)</f>
        <v>6</v>
      </c>
      <c r="L30">
        <f>COUNT(B27:B31)</f>
        <v>0</v>
      </c>
      <c r="M30">
        <f>COUNT(B3:H31)</f>
        <v>170</v>
      </c>
      <c r="N30">
        <f>COUNT(B29:G29)</f>
        <v>5</v>
      </c>
      <c r="O30">
        <v>4</v>
      </c>
      <c r="P30">
        <v>3</v>
      </c>
      <c r="Q30">
        <v>6</v>
      </c>
      <c r="R30">
        <v>0</v>
      </c>
      <c r="S30">
        <v>170</v>
      </c>
      <c r="T30">
        <v>5</v>
      </c>
    </row>
    <row r="31" spans="2:20" x14ac:dyDescent="0.25">
      <c r="B31" s="1" t="s">
        <v>22</v>
      </c>
      <c r="C31">
        <v>2</v>
      </c>
      <c r="D31" t="s">
        <v>23</v>
      </c>
      <c r="E31">
        <v>4</v>
      </c>
      <c r="G31">
        <v>5</v>
      </c>
      <c r="H31">
        <v>6</v>
      </c>
      <c r="I31">
        <f>COUNT(C31,D31,E31,F31,G31,H31)</f>
        <v>4</v>
      </c>
      <c r="J31">
        <f t="shared" ref="J31:N31" si="31">COUNT(D31,E31,F31,G31,H31,I31)</f>
        <v>4</v>
      </c>
      <c r="K31">
        <f>COUNT(E31,F31,G31,H31,I31,J31)</f>
        <v>5</v>
      </c>
      <c r="L31">
        <f t="shared" si="31"/>
        <v>5</v>
      </c>
      <c r="M31">
        <f t="shared" si="31"/>
        <v>6</v>
      </c>
      <c r="N31">
        <f t="shared" si="31"/>
        <v>6</v>
      </c>
      <c r="O31">
        <v>4</v>
      </c>
      <c r="P31">
        <v>4</v>
      </c>
      <c r="Q31">
        <v>5</v>
      </c>
      <c r="R31">
        <v>5</v>
      </c>
      <c r="S31">
        <v>6</v>
      </c>
      <c r="T31">
        <v>6</v>
      </c>
    </row>
    <row r="32" spans="2:20" x14ac:dyDescent="0.25">
      <c r="B32" s="1" t="s">
        <v>5</v>
      </c>
      <c r="C32">
        <v>1</v>
      </c>
      <c r="D32" t="s">
        <v>23</v>
      </c>
      <c r="F32" t="s">
        <v>24</v>
      </c>
      <c r="G32">
        <v>5</v>
      </c>
      <c r="H32">
        <v>6</v>
      </c>
      <c r="I32">
        <f>COUNTA(C32:H32)</f>
        <v>5</v>
      </c>
      <c r="J32">
        <f>COUNTA(B32:G32)</f>
        <v>5</v>
      </c>
      <c r="K32">
        <f>COUNTA(I31:N31)</f>
        <v>6</v>
      </c>
      <c r="L32">
        <f>COUNTA(B29:B33)</f>
        <v>5</v>
      </c>
      <c r="M32">
        <f>COUNTA(B5:H33)</f>
        <v>199</v>
      </c>
      <c r="N32">
        <f>COUNTA(B31:G31)</f>
        <v>5</v>
      </c>
      <c r="O32">
        <v>5</v>
      </c>
      <c r="P32">
        <v>5</v>
      </c>
      <c r="Q32">
        <v>6</v>
      </c>
      <c r="R32">
        <v>5</v>
      </c>
      <c r="S32">
        <v>199</v>
      </c>
      <c r="T32">
        <v>5</v>
      </c>
    </row>
    <row r="33" spans="2:20" x14ac:dyDescent="0.25">
      <c r="B33" s="1" t="s">
        <v>5</v>
      </c>
      <c r="C33">
        <v>2</v>
      </c>
      <c r="D33" t="s">
        <v>23</v>
      </c>
      <c r="F33" t="s">
        <v>24</v>
      </c>
      <c r="G33">
        <v>5</v>
      </c>
      <c r="H33">
        <v>6</v>
      </c>
      <c r="I33">
        <f>COUNTA(C33,D33,E33,F33,G33,H33)</f>
        <v>5</v>
      </c>
      <c r="J33">
        <f t="shared" ref="J33:N33" si="32">COUNTA(D33,E33,F33,G33,H33,I33)</f>
        <v>5</v>
      </c>
      <c r="K33">
        <f t="shared" si="32"/>
        <v>5</v>
      </c>
      <c r="L33">
        <f t="shared" si="32"/>
        <v>6</v>
      </c>
      <c r="M33">
        <f t="shared" si="32"/>
        <v>6</v>
      </c>
      <c r="N33">
        <f t="shared" si="32"/>
        <v>6</v>
      </c>
      <c r="O33">
        <v>5</v>
      </c>
      <c r="P33">
        <v>5</v>
      </c>
      <c r="Q33">
        <v>5</v>
      </c>
      <c r="R33">
        <v>6</v>
      </c>
      <c r="S33">
        <v>6</v>
      </c>
      <c r="T33">
        <v>6</v>
      </c>
    </row>
    <row r="34" spans="2:20" x14ac:dyDescent="0.25">
      <c r="B34" s="1" t="s">
        <v>6</v>
      </c>
      <c r="C34">
        <v>2</v>
      </c>
      <c r="D34">
        <v>3</v>
      </c>
      <c r="E34">
        <v>5</v>
      </c>
      <c r="F34" t="s">
        <v>25</v>
      </c>
      <c r="G34" t="s">
        <v>26</v>
      </c>
      <c r="I34">
        <f>COUNTIF(C34:H34,"&gt;3")</f>
        <v>1</v>
      </c>
      <c r="J34">
        <f>COUNTIF(C34:H34,"&lt;&gt;3")</f>
        <v>5</v>
      </c>
      <c r="K34">
        <f>COUNTIF(C34:H34,"Test")</f>
        <v>1</v>
      </c>
      <c r="L34">
        <f>COUNTIF(C34:H34,"=3")</f>
        <v>1</v>
      </c>
      <c r="M34">
        <f>COUNTIF(C34:H34,"=Test")</f>
        <v>1</v>
      </c>
      <c r="N34">
        <f>COUNTIF(C34:H34,"&lt;6")</f>
        <v>3</v>
      </c>
      <c r="O34">
        <v>1</v>
      </c>
      <c r="P34">
        <v>5</v>
      </c>
      <c r="Q34">
        <v>1</v>
      </c>
      <c r="R34">
        <v>1</v>
      </c>
      <c r="S34">
        <v>1</v>
      </c>
      <c r="T34">
        <v>3</v>
      </c>
    </row>
    <row r="35" spans="2:20" x14ac:dyDescent="0.25">
      <c r="B35" s="1" t="s">
        <v>9</v>
      </c>
      <c r="C35">
        <v>0.1</v>
      </c>
      <c r="D35">
        <v>0.5</v>
      </c>
      <c r="E35">
        <v>0.9</v>
      </c>
      <c r="F35">
        <v>-0.5</v>
      </c>
      <c r="G35">
        <v>-0.1</v>
      </c>
      <c r="H35">
        <v>-0.9</v>
      </c>
      <c r="I35">
        <f>FLOOR(C35,2)</f>
        <v>0</v>
      </c>
      <c r="J35">
        <f t="shared" ref="J35:M35" si="33">FLOOR(D35,2)</f>
        <v>0</v>
      </c>
      <c r="K35">
        <f t="shared" si="33"/>
        <v>0</v>
      </c>
      <c r="L35">
        <f t="shared" si="33"/>
        <v>-2</v>
      </c>
      <c r="M35">
        <f t="shared" si="33"/>
        <v>-2</v>
      </c>
      <c r="N35">
        <f>FLOOR(H35,2)</f>
        <v>-2</v>
      </c>
      <c r="O35">
        <v>0</v>
      </c>
      <c r="P35">
        <v>0</v>
      </c>
      <c r="Q35">
        <v>0</v>
      </c>
      <c r="R35">
        <v>-2</v>
      </c>
      <c r="S35">
        <v>-2</v>
      </c>
      <c r="T35">
        <v>-2</v>
      </c>
    </row>
    <row r="36" spans="2:20" x14ac:dyDescent="0.25">
      <c r="B36" s="1" t="s">
        <v>9</v>
      </c>
      <c r="C36">
        <v>0.1</v>
      </c>
      <c r="D36">
        <v>0.5</v>
      </c>
      <c r="E36">
        <v>0.9</v>
      </c>
      <c r="F36">
        <v>-0.5</v>
      </c>
      <c r="G36">
        <v>-0.1</v>
      </c>
      <c r="H36">
        <v>-0.9</v>
      </c>
      <c r="I36">
        <f>FLOOR(C36,1)</f>
        <v>0</v>
      </c>
      <c r="J36">
        <f t="shared" ref="J36:N36" si="34">FLOOR(D36,1)</f>
        <v>0</v>
      </c>
      <c r="K36">
        <f t="shared" si="34"/>
        <v>0</v>
      </c>
      <c r="L36">
        <f t="shared" si="34"/>
        <v>-1</v>
      </c>
      <c r="M36">
        <f t="shared" si="34"/>
        <v>-1</v>
      </c>
      <c r="N36">
        <f t="shared" si="34"/>
        <v>-1</v>
      </c>
      <c r="O36">
        <v>0</v>
      </c>
      <c r="P36">
        <v>0</v>
      </c>
      <c r="Q36">
        <v>0</v>
      </c>
      <c r="R36">
        <v>-1</v>
      </c>
      <c r="S36">
        <v>-1</v>
      </c>
      <c r="T36">
        <v>-1</v>
      </c>
    </row>
    <row r="37" spans="2:20" x14ac:dyDescent="0.25">
      <c r="B37" s="1" t="s">
        <v>9</v>
      </c>
      <c r="C37">
        <v>0.1</v>
      </c>
      <c r="D37">
        <v>0.5</v>
      </c>
      <c r="E37">
        <v>0.9</v>
      </c>
      <c r="F37">
        <v>-0.5</v>
      </c>
      <c r="G37">
        <v>-0.1</v>
      </c>
      <c r="H37">
        <v>-0.9</v>
      </c>
      <c r="I37">
        <f>FLOOR(C37,3)</f>
        <v>0</v>
      </c>
      <c r="J37">
        <f t="shared" ref="J37:M37" si="35">FLOOR(D37,3)</f>
        <v>0</v>
      </c>
      <c r="K37">
        <f t="shared" si="35"/>
        <v>0</v>
      </c>
      <c r="L37">
        <f t="shared" si="35"/>
        <v>-3</v>
      </c>
      <c r="M37">
        <f t="shared" si="35"/>
        <v>-3</v>
      </c>
      <c r="N37">
        <f>FLOOR(H37,3)</f>
        <v>-3</v>
      </c>
      <c r="O37">
        <v>0</v>
      </c>
      <c r="P37">
        <v>0</v>
      </c>
      <c r="Q37">
        <v>0</v>
      </c>
      <c r="R37">
        <v>-3</v>
      </c>
      <c r="S37">
        <v>-3</v>
      </c>
      <c r="T37">
        <v>-3</v>
      </c>
    </row>
    <row r="38" spans="2:20" x14ac:dyDescent="0.25">
      <c r="B38" s="1" t="s">
        <v>9</v>
      </c>
      <c r="C38">
        <v>3.1</v>
      </c>
      <c r="D38">
        <v>5.5</v>
      </c>
      <c r="E38">
        <v>4.9000000000000004</v>
      </c>
      <c r="F38">
        <v>-2.5</v>
      </c>
      <c r="G38">
        <v>-8.1</v>
      </c>
      <c r="H38">
        <v>-6.9</v>
      </c>
      <c r="I38">
        <f>FLOOR(C38,2)</f>
        <v>2</v>
      </c>
      <c r="J38">
        <f t="shared" ref="J38:N38" si="36">FLOOR(D38,2)</f>
        <v>4</v>
      </c>
      <c r="K38">
        <f t="shared" si="36"/>
        <v>4</v>
      </c>
      <c r="L38">
        <f t="shared" si="36"/>
        <v>-4</v>
      </c>
      <c r="M38">
        <f>FLOOR(G38,2)</f>
        <v>-10</v>
      </c>
      <c r="N38">
        <f t="shared" si="36"/>
        <v>-8</v>
      </c>
      <c r="O38">
        <v>2</v>
      </c>
      <c r="P38">
        <v>4</v>
      </c>
      <c r="Q38">
        <v>4</v>
      </c>
      <c r="R38">
        <v>-4</v>
      </c>
      <c r="S38">
        <v>-10</v>
      </c>
      <c r="T38">
        <v>-8</v>
      </c>
    </row>
    <row r="39" spans="2:20" x14ac:dyDescent="0.25">
      <c r="B39" s="1" t="s">
        <v>10</v>
      </c>
      <c r="C39">
        <v>0.1</v>
      </c>
      <c r="D39">
        <v>0.5</v>
      </c>
      <c r="E39">
        <v>0.9</v>
      </c>
      <c r="F39">
        <v>-0.5</v>
      </c>
      <c r="G39">
        <v>-0.1</v>
      </c>
      <c r="H39">
        <v>-0.9</v>
      </c>
      <c r="I39">
        <f>CEILING(C39,2)</f>
        <v>2</v>
      </c>
      <c r="J39">
        <f t="shared" ref="J39:N39" si="37">CEILING(D39,2)</f>
        <v>2</v>
      </c>
      <c r="K39">
        <f t="shared" si="37"/>
        <v>2</v>
      </c>
      <c r="L39">
        <f t="shared" si="37"/>
        <v>0</v>
      </c>
      <c r="M39">
        <f t="shared" si="37"/>
        <v>0</v>
      </c>
      <c r="N39">
        <f t="shared" si="37"/>
        <v>0</v>
      </c>
      <c r="O39">
        <v>2</v>
      </c>
      <c r="P39">
        <v>2</v>
      </c>
      <c r="Q39">
        <v>2</v>
      </c>
      <c r="R39">
        <v>0</v>
      </c>
      <c r="S39">
        <v>0</v>
      </c>
      <c r="T39">
        <v>0</v>
      </c>
    </row>
    <row r="40" spans="2:20" x14ac:dyDescent="0.25">
      <c r="B40" s="1" t="s">
        <v>10</v>
      </c>
      <c r="C40">
        <v>0.1</v>
      </c>
      <c r="D40">
        <v>0.5</v>
      </c>
      <c r="E40">
        <v>0.9</v>
      </c>
      <c r="F40">
        <v>-0.5</v>
      </c>
      <c r="G40">
        <v>-0.1</v>
      </c>
      <c r="H40">
        <v>-0.9</v>
      </c>
      <c r="I40">
        <f>CEILING(C40,1)</f>
        <v>1</v>
      </c>
      <c r="J40">
        <f t="shared" ref="J40:N40" si="38">CEILING(D40,1)</f>
        <v>1</v>
      </c>
      <c r="K40">
        <f t="shared" si="38"/>
        <v>1</v>
      </c>
      <c r="L40">
        <f t="shared" si="38"/>
        <v>0</v>
      </c>
      <c r="M40">
        <f t="shared" si="38"/>
        <v>0</v>
      </c>
      <c r="N40">
        <f t="shared" si="38"/>
        <v>0</v>
      </c>
      <c r="O40">
        <v>1</v>
      </c>
      <c r="P40">
        <v>1</v>
      </c>
      <c r="Q40">
        <v>1</v>
      </c>
      <c r="R40">
        <v>0</v>
      </c>
      <c r="S40">
        <v>0</v>
      </c>
      <c r="T40">
        <v>0</v>
      </c>
    </row>
    <row r="41" spans="2:20" x14ac:dyDescent="0.25">
      <c r="B41" s="1" t="s">
        <v>10</v>
      </c>
      <c r="C41">
        <v>0.1</v>
      </c>
      <c r="D41">
        <v>0.5</v>
      </c>
      <c r="E41">
        <v>0.9</v>
      </c>
      <c r="F41">
        <v>-0.5</v>
      </c>
      <c r="G41">
        <v>-0.1</v>
      </c>
      <c r="H41">
        <v>-0.9</v>
      </c>
      <c r="I41">
        <f>CEILING(C41,3)</f>
        <v>3</v>
      </c>
      <c r="J41">
        <f t="shared" ref="J41:N41" si="39">CEILING(D41,3)</f>
        <v>3</v>
      </c>
      <c r="K41">
        <f t="shared" si="39"/>
        <v>3</v>
      </c>
      <c r="L41">
        <f t="shared" si="39"/>
        <v>0</v>
      </c>
      <c r="M41">
        <f t="shared" si="39"/>
        <v>0</v>
      </c>
      <c r="N41">
        <f t="shared" si="39"/>
        <v>0</v>
      </c>
      <c r="O41">
        <v>3</v>
      </c>
      <c r="P41">
        <v>3</v>
      </c>
      <c r="Q41">
        <v>3</v>
      </c>
      <c r="R41">
        <v>0</v>
      </c>
      <c r="S41">
        <v>0</v>
      </c>
      <c r="T41">
        <v>0</v>
      </c>
    </row>
    <row r="42" spans="2:20" x14ac:dyDescent="0.25">
      <c r="B42" s="1" t="s">
        <v>10</v>
      </c>
      <c r="C42">
        <v>3.1</v>
      </c>
      <c r="D42">
        <v>5.5</v>
      </c>
      <c r="E42">
        <v>4.9000000000000004</v>
      </c>
      <c r="F42">
        <v>-2.5</v>
      </c>
      <c r="G42">
        <v>-8.1</v>
      </c>
      <c r="H42">
        <v>-6.9</v>
      </c>
      <c r="I42">
        <f>CEILING(C42,2)</f>
        <v>4</v>
      </c>
      <c r="J42">
        <f t="shared" ref="J42:N42" si="40">CEILING(D42,2)</f>
        <v>6</v>
      </c>
      <c r="K42">
        <f t="shared" si="40"/>
        <v>6</v>
      </c>
      <c r="L42">
        <f t="shared" si="40"/>
        <v>-2</v>
      </c>
      <c r="M42">
        <f t="shared" si="40"/>
        <v>-8</v>
      </c>
      <c r="N42">
        <f t="shared" si="40"/>
        <v>-6</v>
      </c>
      <c r="O42">
        <v>4</v>
      </c>
      <c r="P42">
        <v>6</v>
      </c>
      <c r="Q42">
        <v>6</v>
      </c>
      <c r="R42">
        <v>-2</v>
      </c>
      <c r="S42">
        <v>-8</v>
      </c>
      <c r="T42">
        <v>-6</v>
      </c>
    </row>
    <row r="43" spans="2:20" x14ac:dyDescent="0.25">
      <c r="B43" s="1" t="s">
        <v>27</v>
      </c>
      <c r="C43">
        <v>0.1</v>
      </c>
      <c r="D43">
        <v>0.5</v>
      </c>
      <c r="E43">
        <v>0.9</v>
      </c>
      <c r="F43">
        <v>-0.5</v>
      </c>
      <c r="G43">
        <v>-0.1</v>
      </c>
      <c r="H43">
        <v>-0.9</v>
      </c>
      <c r="I43">
        <f>_xlfn.FLOOR.MATH(C43,2)</f>
        <v>0</v>
      </c>
      <c r="J43">
        <f t="shared" ref="J43:N43" si="41">_xlfn.FLOOR.MATH(D43,2)</f>
        <v>0</v>
      </c>
      <c r="K43">
        <f t="shared" si="41"/>
        <v>0</v>
      </c>
      <c r="L43">
        <f t="shared" si="41"/>
        <v>-2</v>
      </c>
      <c r="M43">
        <f t="shared" si="41"/>
        <v>-2</v>
      </c>
      <c r="N43">
        <f t="shared" si="41"/>
        <v>-2</v>
      </c>
      <c r="O43">
        <v>0</v>
      </c>
      <c r="P43">
        <v>0</v>
      </c>
      <c r="Q43">
        <v>0</v>
      </c>
      <c r="R43">
        <v>-2</v>
      </c>
      <c r="S43">
        <v>-2</v>
      </c>
      <c r="T43">
        <v>-2</v>
      </c>
    </row>
    <row r="44" spans="2:20" x14ac:dyDescent="0.25">
      <c r="B44" s="1" t="s">
        <v>27</v>
      </c>
      <c r="C44">
        <v>0.1</v>
      </c>
      <c r="D44">
        <v>0.5</v>
      </c>
      <c r="E44">
        <v>0.9</v>
      </c>
      <c r="F44">
        <v>-0.5</v>
      </c>
      <c r="G44">
        <v>-0.1</v>
      </c>
      <c r="H44">
        <v>-0.9</v>
      </c>
      <c r="I44">
        <f>_xlfn.FLOOR.MATH(C44,1,0)</f>
        <v>0</v>
      </c>
      <c r="J44">
        <f t="shared" ref="J44:N44" si="42">_xlfn.FLOOR.MATH(D44,1,0)</f>
        <v>0</v>
      </c>
      <c r="K44">
        <f t="shared" si="42"/>
        <v>0</v>
      </c>
      <c r="L44">
        <f t="shared" si="42"/>
        <v>-1</v>
      </c>
      <c r="M44">
        <f t="shared" si="42"/>
        <v>-1</v>
      </c>
      <c r="N44">
        <f t="shared" si="42"/>
        <v>-1</v>
      </c>
      <c r="O44">
        <v>0</v>
      </c>
      <c r="P44">
        <v>0</v>
      </c>
      <c r="Q44">
        <v>0</v>
      </c>
      <c r="R44">
        <v>-1</v>
      </c>
      <c r="S44">
        <v>-1</v>
      </c>
      <c r="T44">
        <v>-1</v>
      </c>
    </row>
    <row r="45" spans="2:20" x14ac:dyDescent="0.25">
      <c r="B45" s="1" t="s">
        <v>27</v>
      </c>
      <c r="C45">
        <v>0.1</v>
      </c>
      <c r="D45">
        <v>0.5</v>
      </c>
      <c r="E45">
        <v>0.9</v>
      </c>
      <c r="F45">
        <v>-0.5</v>
      </c>
      <c r="G45">
        <v>-0.1</v>
      </c>
      <c r="H45">
        <v>-0.9</v>
      </c>
      <c r="I45">
        <f>_xlfn.FLOOR.MATH(C45,3,1)</f>
        <v>0</v>
      </c>
      <c r="J45">
        <f t="shared" ref="J45:N45" si="43">_xlfn.FLOOR.MATH(D45,3,1)</f>
        <v>0</v>
      </c>
      <c r="K45">
        <f t="shared" si="43"/>
        <v>0</v>
      </c>
      <c r="L45">
        <f t="shared" si="43"/>
        <v>0</v>
      </c>
      <c r="M45">
        <f t="shared" si="43"/>
        <v>0</v>
      </c>
      <c r="N45">
        <f t="shared" si="43"/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</row>
    <row r="46" spans="2:20" x14ac:dyDescent="0.25">
      <c r="B46" s="1" t="s">
        <v>27</v>
      </c>
      <c r="C46">
        <v>3.1</v>
      </c>
      <c r="D46">
        <v>5.5</v>
      </c>
      <c r="E46">
        <v>4.9000000000000004</v>
      </c>
      <c r="F46">
        <v>-2.5</v>
      </c>
      <c r="G46">
        <v>-8.1</v>
      </c>
      <c r="H46">
        <v>-6.9</v>
      </c>
      <c r="I46">
        <f>_xlfn.FLOOR.MATH(C46,2,1)</f>
        <v>2</v>
      </c>
      <c r="J46">
        <f t="shared" ref="J46:N46" si="44">_xlfn.FLOOR.MATH(D46,2,1)</f>
        <v>4</v>
      </c>
      <c r="K46">
        <f t="shared" si="44"/>
        <v>4</v>
      </c>
      <c r="L46">
        <f t="shared" si="44"/>
        <v>-2</v>
      </c>
      <c r="M46">
        <f t="shared" si="44"/>
        <v>-8</v>
      </c>
      <c r="N46">
        <f t="shared" si="44"/>
        <v>-6</v>
      </c>
      <c r="O46">
        <v>2</v>
      </c>
      <c r="P46">
        <v>4</v>
      </c>
      <c r="Q46">
        <v>4</v>
      </c>
      <c r="R46">
        <v>-2</v>
      </c>
      <c r="S46">
        <v>-8</v>
      </c>
      <c r="T46">
        <v>-6</v>
      </c>
    </row>
    <row r="47" spans="2:20" x14ac:dyDescent="0.25">
      <c r="B47" s="1" t="s">
        <v>28</v>
      </c>
      <c r="C47">
        <v>0.1</v>
      </c>
      <c r="D47">
        <v>0.5</v>
      </c>
      <c r="E47">
        <v>0.9</v>
      </c>
      <c r="F47">
        <v>-0.5</v>
      </c>
      <c r="G47">
        <v>-0.1</v>
      </c>
      <c r="H47">
        <v>-0.9</v>
      </c>
      <c r="I47">
        <f>_xlfn.CEILING.MATH(C47,2)</f>
        <v>2</v>
      </c>
      <c r="J47">
        <f t="shared" ref="J47:N47" si="45">_xlfn.CEILING.MATH(D47,2)</f>
        <v>2</v>
      </c>
      <c r="K47">
        <f t="shared" si="45"/>
        <v>2</v>
      </c>
      <c r="L47">
        <f t="shared" si="45"/>
        <v>0</v>
      </c>
      <c r="M47">
        <f t="shared" si="45"/>
        <v>0</v>
      </c>
      <c r="N47">
        <f t="shared" si="45"/>
        <v>0</v>
      </c>
      <c r="O47">
        <v>2</v>
      </c>
      <c r="P47">
        <v>2</v>
      </c>
      <c r="Q47">
        <v>2</v>
      </c>
      <c r="R47">
        <v>0</v>
      </c>
      <c r="S47">
        <v>0</v>
      </c>
      <c r="T47">
        <v>0</v>
      </c>
    </row>
    <row r="48" spans="2:20" x14ac:dyDescent="0.25">
      <c r="B48" s="1" t="s">
        <v>28</v>
      </c>
      <c r="C48">
        <v>0.1</v>
      </c>
      <c r="D48">
        <v>0.5</v>
      </c>
      <c r="E48">
        <v>0.9</v>
      </c>
      <c r="F48">
        <v>-0.5</v>
      </c>
      <c r="G48">
        <v>-0.1</v>
      </c>
      <c r="H48">
        <v>-0.9</v>
      </c>
      <c r="I48">
        <f>_xlfn.CEILING.MATH(C48,1)</f>
        <v>1</v>
      </c>
      <c r="J48">
        <f t="shared" ref="J48:N48" si="46">_xlfn.CEILING.MATH(D48,1)</f>
        <v>1</v>
      </c>
      <c r="K48">
        <f t="shared" si="46"/>
        <v>1</v>
      </c>
      <c r="L48">
        <f t="shared" si="46"/>
        <v>0</v>
      </c>
      <c r="M48">
        <f t="shared" si="46"/>
        <v>0</v>
      </c>
      <c r="N48">
        <f t="shared" si="46"/>
        <v>0</v>
      </c>
      <c r="O48">
        <v>1</v>
      </c>
      <c r="P48">
        <v>1</v>
      </c>
      <c r="Q48">
        <v>1</v>
      </c>
      <c r="R48">
        <v>0</v>
      </c>
      <c r="S48">
        <v>0</v>
      </c>
      <c r="T48">
        <v>0</v>
      </c>
    </row>
    <row r="49" spans="2:20" x14ac:dyDescent="0.25">
      <c r="B49" s="1" t="s">
        <v>28</v>
      </c>
      <c r="C49">
        <v>0.1</v>
      </c>
      <c r="D49">
        <v>0.5</v>
      </c>
      <c r="E49">
        <v>0.9</v>
      </c>
      <c r="F49">
        <v>-0.5</v>
      </c>
      <c r="G49">
        <v>-0.1</v>
      </c>
      <c r="H49">
        <v>-0.9</v>
      </c>
      <c r="I49">
        <f>_xlfn.CEILING.MATH(C49,3,0)</f>
        <v>3</v>
      </c>
      <c r="J49">
        <f t="shared" ref="J49:N49" si="47">_xlfn.CEILING.MATH(D49,3,0)</f>
        <v>3</v>
      </c>
      <c r="K49">
        <f t="shared" si="47"/>
        <v>3</v>
      </c>
      <c r="L49">
        <f t="shared" si="47"/>
        <v>0</v>
      </c>
      <c r="M49">
        <f t="shared" si="47"/>
        <v>0</v>
      </c>
      <c r="N49">
        <f t="shared" si="47"/>
        <v>0</v>
      </c>
      <c r="O49">
        <v>3</v>
      </c>
      <c r="P49">
        <v>3</v>
      </c>
      <c r="Q49">
        <v>3</v>
      </c>
      <c r="R49">
        <v>0</v>
      </c>
      <c r="S49">
        <v>0</v>
      </c>
      <c r="T49">
        <v>0</v>
      </c>
    </row>
    <row r="50" spans="2:20" x14ac:dyDescent="0.25">
      <c r="B50" s="1" t="s">
        <v>28</v>
      </c>
      <c r="C50">
        <v>3.1</v>
      </c>
      <c r="D50">
        <v>5.5</v>
      </c>
      <c r="E50">
        <v>4.9000000000000004</v>
      </c>
      <c r="F50">
        <v>-2.5</v>
      </c>
      <c r="G50">
        <v>-8.1</v>
      </c>
      <c r="H50">
        <v>-6.9</v>
      </c>
      <c r="I50">
        <f>_xlfn.CEILING.MATH(C50,2,1)</f>
        <v>4</v>
      </c>
      <c r="J50">
        <f t="shared" ref="J50:N50" si="48">_xlfn.CEILING.MATH(D50,2,1)</f>
        <v>6</v>
      </c>
      <c r="K50">
        <f t="shared" si="48"/>
        <v>6</v>
      </c>
      <c r="L50">
        <f t="shared" si="48"/>
        <v>-4</v>
      </c>
      <c r="M50">
        <f t="shared" si="48"/>
        <v>-10</v>
      </c>
      <c r="N50">
        <f t="shared" si="48"/>
        <v>-8</v>
      </c>
      <c r="O50">
        <v>4</v>
      </c>
      <c r="P50">
        <v>6</v>
      </c>
      <c r="Q50">
        <v>6</v>
      </c>
      <c r="R50">
        <v>-4</v>
      </c>
      <c r="S50">
        <v>-10</v>
      </c>
      <c r="T50">
        <v>-8</v>
      </c>
    </row>
    <row r="51" spans="2:20" x14ac:dyDescent="0.25">
      <c r="B51" s="1" t="s">
        <v>29</v>
      </c>
      <c r="C51">
        <v>3.1</v>
      </c>
      <c r="D51">
        <v>5.5</v>
      </c>
      <c r="E51">
        <v>4.9000000000000004</v>
      </c>
      <c r="F51">
        <v>-2.5</v>
      </c>
      <c r="G51">
        <v>-8.1</v>
      </c>
      <c r="H51">
        <v>-6.9</v>
      </c>
      <c r="I51">
        <f>CHOOSE(1,$C51,$D51,$E51,$F51,$G51,$H51)</f>
        <v>3.1</v>
      </c>
      <c r="J51">
        <f>CHOOSE(2,$C51,$D51,$E51,$F51,$G51,$H51)</f>
        <v>5.5</v>
      </c>
      <c r="K51">
        <f>CHOOSE(3,$C51,$D51,$E51,$F51,$G51,$H51)</f>
        <v>4.9000000000000004</v>
      </c>
      <c r="L51">
        <f>CHOOSE(4,$C51,$D51,$E51,$F51,$G51,$H51)</f>
        <v>-2.5</v>
      </c>
      <c r="M51">
        <f>CHOOSE(5,$C51,$D51,$E51,$F51,$G51,$H51)</f>
        <v>-8.1</v>
      </c>
      <c r="N51">
        <f>CHOOSE(6,$C51,$D51,$E51,$F51,$G51,$H51)</f>
        <v>-6.9</v>
      </c>
      <c r="O51">
        <v>3.1</v>
      </c>
      <c r="P51">
        <v>5.5</v>
      </c>
      <c r="Q51">
        <v>4.9000000000000004</v>
      </c>
      <c r="R51">
        <v>-2.5</v>
      </c>
      <c r="S51">
        <v>-8.1</v>
      </c>
      <c r="T51">
        <v>-6.9</v>
      </c>
    </row>
    <row r="52" spans="2:20" x14ac:dyDescent="0.25">
      <c r="B52" s="1" t="s">
        <v>32</v>
      </c>
      <c r="C52">
        <f>PI()</f>
        <v>3.1415926535897931</v>
      </c>
      <c r="D52">
        <f>PI()/4</f>
        <v>0.78539816339744828</v>
      </c>
      <c r="E52">
        <f>PI()/3</f>
        <v>1.0471975511965976</v>
      </c>
      <c r="F52">
        <f>PI()*3</f>
        <v>9.4247779607693793</v>
      </c>
      <c r="G52">
        <f>PI()/6</f>
        <v>0.52359877559829882</v>
      </c>
      <c r="H52">
        <f>PI()/9</f>
        <v>0.3490658503988659</v>
      </c>
      <c r="I52">
        <f>DEGREES(C52)</f>
        <v>180</v>
      </c>
      <c r="J52">
        <f t="shared" ref="J52:N52" si="49">DEGREES(D52)</f>
        <v>45</v>
      </c>
      <c r="K52">
        <f t="shared" si="49"/>
        <v>59.999999999999993</v>
      </c>
      <c r="L52">
        <f t="shared" si="49"/>
        <v>540</v>
      </c>
      <c r="M52">
        <f t="shared" si="49"/>
        <v>29.999999999999996</v>
      </c>
      <c r="N52">
        <f t="shared" si="49"/>
        <v>20</v>
      </c>
      <c r="O52">
        <v>180</v>
      </c>
      <c r="P52">
        <v>45</v>
      </c>
      <c r="Q52">
        <v>59.999999999999993</v>
      </c>
      <c r="R52">
        <v>540</v>
      </c>
      <c r="S52">
        <v>29.999999999999996</v>
      </c>
      <c r="T52">
        <v>20</v>
      </c>
    </row>
    <row r="53" spans="2:20" x14ac:dyDescent="0.25">
      <c r="B53" s="1" t="s">
        <v>33</v>
      </c>
      <c r="C53">
        <v>90</v>
      </c>
      <c r="D53">
        <v>180</v>
      </c>
      <c r="E53">
        <v>60</v>
      </c>
      <c r="F53">
        <v>45</v>
      </c>
      <c r="G53">
        <v>270</v>
      </c>
      <c r="H53">
        <v>360</v>
      </c>
      <c r="I53">
        <f>RADIANS(C53)</f>
        <v>1.5707963267948966</v>
      </c>
      <c r="J53">
        <f t="shared" ref="J53:N53" si="50">RADIANS(D53)</f>
        <v>3.1415926535897931</v>
      </c>
      <c r="K53">
        <f t="shared" si="50"/>
        <v>1.0471975511965976</v>
      </c>
      <c r="L53">
        <f t="shared" si="50"/>
        <v>0.78539816339744828</v>
      </c>
      <c r="M53">
        <f t="shared" si="50"/>
        <v>4.7123889803846897</v>
      </c>
      <c r="N53">
        <f t="shared" si="50"/>
        <v>6.2831853071795862</v>
      </c>
      <c r="O53">
        <v>1.5707963267948966</v>
      </c>
      <c r="P53">
        <v>3.1415926535897931</v>
      </c>
      <c r="Q53">
        <v>1.0471975511965976</v>
      </c>
      <c r="R53">
        <v>0.78539816339744828</v>
      </c>
      <c r="S53">
        <v>4.7123889803846897</v>
      </c>
      <c r="T53">
        <v>6.2831853071795862</v>
      </c>
    </row>
    <row r="54" spans="2:20" x14ac:dyDescent="0.25">
      <c r="B54" t="s">
        <v>31</v>
      </c>
      <c r="C54">
        <v>1</v>
      </c>
      <c r="D54">
        <v>2</v>
      </c>
      <c r="E54">
        <v>-1</v>
      </c>
      <c r="F54">
        <v>1.2</v>
      </c>
      <c r="G54">
        <v>3.4</v>
      </c>
      <c r="H54">
        <v>5.6</v>
      </c>
      <c r="I54">
        <f t="shared" ref="I54:N54" si="51">MAX(C54:H54)</f>
        <v>5.6</v>
      </c>
      <c r="J54">
        <f t="shared" si="51"/>
        <v>5.6</v>
      </c>
      <c r="K54">
        <f t="shared" si="51"/>
        <v>5.6</v>
      </c>
      <c r="L54">
        <f t="shared" si="51"/>
        <v>5.6</v>
      </c>
      <c r="M54">
        <f t="shared" si="51"/>
        <v>5.6</v>
      </c>
      <c r="N54">
        <f t="shared" si="51"/>
        <v>5.6</v>
      </c>
      <c r="O54">
        <v>5.6</v>
      </c>
      <c r="P54">
        <v>5.6</v>
      </c>
      <c r="Q54">
        <v>5.6</v>
      </c>
      <c r="R54">
        <v>5.6</v>
      </c>
      <c r="S54">
        <v>5.6</v>
      </c>
      <c r="T54">
        <v>5.6</v>
      </c>
    </row>
    <row r="55" spans="2:20" x14ac:dyDescent="0.25">
      <c r="B55" t="s">
        <v>30</v>
      </c>
      <c r="C55">
        <v>12</v>
      </c>
      <c r="D55">
        <v>32</v>
      </c>
      <c r="E55">
        <v>12</v>
      </c>
      <c r="F55">
        <v>-1</v>
      </c>
      <c r="G55">
        <v>1</v>
      </c>
      <c r="H55">
        <v>3</v>
      </c>
      <c r="I55">
        <f t="shared" ref="I55:N55" si="52">MIN(C54:H55)</f>
        <v>-1</v>
      </c>
      <c r="J55">
        <f t="shared" si="52"/>
        <v>-1</v>
      </c>
      <c r="K55">
        <f t="shared" si="52"/>
        <v>-1</v>
      </c>
      <c r="L55">
        <f t="shared" si="52"/>
        <v>-1</v>
      </c>
      <c r="M55">
        <f t="shared" si="52"/>
        <v>-1</v>
      </c>
      <c r="N55">
        <f t="shared" si="52"/>
        <v>-1</v>
      </c>
      <c r="O55">
        <v>-1</v>
      </c>
      <c r="P55">
        <v>-1</v>
      </c>
      <c r="Q55">
        <v>-1</v>
      </c>
      <c r="R55">
        <v>-1</v>
      </c>
      <c r="S55">
        <v>-1</v>
      </c>
      <c r="T55">
        <v>-1</v>
      </c>
    </row>
    <row r="56" spans="2:20" x14ac:dyDescent="0.25">
      <c r="B56" s="1" t="s">
        <v>34</v>
      </c>
      <c r="C56">
        <v>12</v>
      </c>
      <c r="D56">
        <v>32</v>
      </c>
      <c r="E56">
        <v>12</v>
      </c>
      <c r="F56">
        <v>-1</v>
      </c>
      <c r="G56">
        <v>1</v>
      </c>
      <c r="H56">
        <v>3</v>
      </c>
      <c r="I56">
        <f>QUARTILE($C56:$H56,0)</f>
        <v>-1</v>
      </c>
      <c r="J56">
        <f>QUARTILE($C56:$H56,1)</f>
        <v>1.5</v>
      </c>
      <c r="K56">
        <f>QUARTILE($C56:$H56,2)</f>
        <v>7.5</v>
      </c>
      <c r="L56">
        <f>QUARTILE($C56:$H56,3)</f>
        <v>12</v>
      </c>
      <c r="M56">
        <f>QUARTILE($C56:$H56,4)</f>
        <v>32</v>
      </c>
      <c r="N56">
        <f>QUARTILE($C54:$H54,4)</f>
        <v>5.6</v>
      </c>
      <c r="O56">
        <v>-1</v>
      </c>
      <c r="P56">
        <v>1.5</v>
      </c>
      <c r="Q56">
        <v>7.5</v>
      </c>
      <c r="R56">
        <v>12</v>
      </c>
      <c r="S56">
        <v>32</v>
      </c>
      <c r="T56">
        <v>5.6</v>
      </c>
    </row>
    <row r="57" spans="2:20" x14ac:dyDescent="0.25">
      <c r="B57" s="1" t="s">
        <v>35</v>
      </c>
      <c r="C57">
        <v>12</v>
      </c>
      <c r="D57">
        <v>32</v>
      </c>
      <c r="E57">
        <v>12</v>
      </c>
      <c r="F57">
        <v>-1</v>
      </c>
      <c r="G57">
        <v>1</v>
      </c>
      <c r="H57">
        <v>3</v>
      </c>
      <c r="I57">
        <f>_xlfn.QUARTILE.INC($C57:$H57,0)</f>
        <v>-1</v>
      </c>
      <c r="J57">
        <f>_xlfn.QUARTILE.INC($C57:$H57,1)</f>
        <v>1.5</v>
      </c>
      <c r="K57">
        <f>_xlfn.QUARTILE.INC($C57:$H57,2)</f>
        <v>7.5</v>
      </c>
      <c r="L57">
        <f>_xlfn.QUARTILE.INC($C57:$H57,3)</f>
        <v>12</v>
      </c>
      <c r="M57">
        <f>_xlfn.QUARTILE.INC($C57:$H57,4)</f>
        <v>32</v>
      </c>
      <c r="N57">
        <f>_xlfn.QUARTILE.INC($C54:$H54,4)</f>
        <v>5.6</v>
      </c>
      <c r="O57">
        <v>-1</v>
      </c>
      <c r="P57">
        <v>1.5</v>
      </c>
      <c r="Q57">
        <v>7.5</v>
      </c>
      <c r="R57">
        <v>12</v>
      </c>
      <c r="S57">
        <v>32</v>
      </c>
      <c r="T57">
        <v>5.6</v>
      </c>
    </row>
    <row r="58" spans="2:20" x14ac:dyDescent="0.25">
      <c r="B58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O'Donnell</dc:creator>
  <cp:lastModifiedBy>Michael O'Donnell</cp:lastModifiedBy>
  <dcterms:created xsi:type="dcterms:W3CDTF">2026-01-23T17:16:52Z</dcterms:created>
  <dcterms:modified xsi:type="dcterms:W3CDTF">2026-02-05T20:53:48Z</dcterms:modified>
</cp:coreProperties>
</file>