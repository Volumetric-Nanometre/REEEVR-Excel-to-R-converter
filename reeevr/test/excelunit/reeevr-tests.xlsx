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14776\PycharmProjects\Excel-R-compiler\reeevr\test\excelunit\"/>
    </mc:Choice>
  </mc:AlternateContent>
  <xr:revisionPtr revIDLastSave="0" documentId="13_ncr:1_{C13D85F5-14B7-4F75-92EF-E7559D727B32}" xr6:coauthVersionLast="47" xr6:coauthVersionMax="47" xr10:uidLastSave="{00000000-0000-0000-0000-000000000000}"/>
  <bookViews>
    <workbookView xWindow="28680" yWindow="-120" windowWidth="29040" windowHeight="15720" xr2:uid="{51741016-DE60-49DF-9826-25EB96E04C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1" l="1"/>
  <c r="I34" i="1"/>
  <c r="N41" i="1"/>
  <c r="M41" i="1"/>
  <c r="L41" i="1"/>
  <c r="K41" i="1"/>
  <c r="J41" i="1"/>
  <c r="I41" i="1"/>
  <c r="N40" i="1"/>
  <c r="M40" i="1"/>
  <c r="K40" i="1"/>
  <c r="L40" i="1"/>
  <c r="J40" i="1"/>
  <c r="I40" i="1"/>
  <c r="N39" i="1"/>
  <c r="M39" i="1"/>
  <c r="L39" i="1"/>
  <c r="K39" i="1"/>
  <c r="J39" i="1"/>
  <c r="I39" i="1"/>
  <c r="I37" i="1"/>
  <c r="I38" i="1"/>
  <c r="N38" i="1" s="1"/>
  <c r="I30" i="1"/>
  <c r="I32" i="1"/>
  <c r="I33" i="1"/>
  <c r="I28" i="1"/>
  <c r="N28" i="1" s="1"/>
  <c r="L3" i="1"/>
  <c r="N33" i="1"/>
  <c r="J33" i="1"/>
  <c r="K33" i="1"/>
  <c r="L33" i="1"/>
  <c r="M33" i="1"/>
  <c r="N32" i="1"/>
  <c r="J32" i="1"/>
  <c r="K32" i="1"/>
  <c r="L32" i="1"/>
  <c r="M32" i="1"/>
  <c r="N31" i="1"/>
  <c r="J31" i="1"/>
  <c r="K31" i="1"/>
  <c r="L31" i="1"/>
  <c r="M31" i="1"/>
  <c r="I31" i="1"/>
  <c r="N30" i="1"/>
  <c r="J30" i="1"/>
  <c r="K30" i="1"/>
  <c r="L30" i="1"/>
  <c r="M30" i="1"/>
  <c r="J27" i="1"/>
  <c r="K27" i="1"/>
  <c r="L27" i="1"/>
  <c r="M27" i="1"/>
  <c r="I27" i="1"/>
  <c r="N27" i="1" s="1"/>
  <c r="L29" i="1"/>
  <c r="I29" i="1"/>
  <c r="N29" i="1" s="1"/>
  <c r="J29" i="1"/>
  <c r="K29" i="1"/>
  <c r="M29" i="1"/>
  <c r="M28" i="1"/>
  <c r="L28" i="1"/>
  <c r="K28" i="1"/>
  <c r="J28" i="1"/>
  <c r="J26" i="1"/>
  <c r="K26" i="1"/>
  <c r="L26" i="1"/>
  <c r="M26" i="1"/>
  <c r="I26" i="1"/>
  <c r="N26" i="1" s="1"/>
  <c r="M25" i="1"/>
  <c r="L25" i="1"/>
  <c r="J25" i="1"/>
  <c r="K25" i="1"/>
  <c r="I25" i="1"/>
  <c r="N25" i="1" s="1"/>
  <c r="N24" i="1"/>
  <c r="L24" i="1"/>
  <c r="J24" i="1"/>
  <c r="K24" i="1"/>
  <c r="M24" i="1"/>
  <c r="I24" i="1"/>
  <c r="I23" i="1"/>
  <c r="N23" i="1"/>
  <c r="J23" i="1"/>
  <c r="K23" i="1"/>
  <c r="L23" i="1"/>
  <c r="M23" i="1"/>
  <c r="N22" i="1"/>
  <c r="J22" i="1"/>
  <c r="K22" i="1"/>
  <c r="L22" i="1"/>
  <c r="M22" i="1"/>
  <c r="I22" i="1"/>
  <c r="N21" i="1"/>
  <c r="J21" i="1"/>
  <c r="K21" i="1"/>
  <c r="L21" i="1"/>
  <c r="M21" i="1"/>
  <c r="I21" i="1"/>
  <c r="N19" i="1"/>
  <c r="J19" i="1"/>
  <c r="K19" i="1"/>
  <c r="L19" i="1"/>
  <c r="M19" i="1"/>
  <c r="I19" i="1"/>
  <c r="I20" i="1"/>
  <c r="J20" i="1"/>
  <c r="K20" i="1"/>
  <c r="L20" i="1"/>
  <c r="M20" i="1"/>
  <c r="N20" i="1"/>
  <c r="I18" i="1"/>
  <c r="N18" i="1"/>
  <c r="J18" i="1"/>
  <c r="K18" i="1"/>
  <c r="L18" i="1"/>
  <c r="M18" i="1"/>
  <c r="I17" i="1"/>
  <c r="J17" i="1"/>
  <c r="K17" i="1"/>
  <c r="L17" i="1"/>
  <c r="M17" i="1"/>
  <c r="N17" i="1"/>
  <c r="N16" i="1"/>
  <c r="J16" i="1"/>
  <c r="K16" i="1"/>
  <c r="L16" i="1"/>
  <c r="M16" i="1"/>
  <c r="I16" i="1"/>
  <c r="N13" i="1"/>
  <c r="M13" i="1"/>
  <c r="L13" i="1"/>
  <c r="K13" i="1"/>
  <c r="J13" i="1"/>
  <c r="I13" i="1"/>
  <c r="N12" i="1"/>
  <c r="J12" i="1"/>
  <c r="K12" i="1"/>
  <c r="L12" i="1"/>
  <c r="M12" i="1"/>
  <c r="I12" i="1"/>
  <c r="N11" i="1"/>
  <c r="J11" i="1"/>
  <c r="K11" i="1"/>
  <c r="L11" i="1"/>
  <c r="M11" i="1"/>
  <c r="I11" i="1"/>
  <c r="N10" i="1"/>
  <c r="I10" i="1"/>
  <c r="L10" i="1"/>
  <c r="J10" i="1"/>
  <c r="K10" i="1"/>
  <c r="M10" i="1"/>
  <c r="I7" i="1"/>
  <c r="I9" i="1"/>
  <c r="J8" i="1"/>
  <c r="K8" i="1"/>
  <c r="L8" i="1"/>
  <c r="M8" i="1"/>
  <c r="N8" i="1"/>
  <c r="I8" i="1"/>
  <c r="N6" i="1"/>
  <c r="J6" i="1"/>
  <c r="K6" i="1"/>
  <c r="L6" i="1"/>
  <c r="M6" i="1"/>
  <c r="I6" i="1"/>
  <c r="I4" i="1"/>
  <c r="J4" i="1"/>
  <c r="K4" i="1"/>
  <c r="L4" i="1"/>
  <c r="M4" i="1"/>
  <c r="N4" i="1"/>
  <c r="J9" i="1"/>
  <c r="K9" i="1"/>
  <c r="L9" i="1"/>
  <c r="M9" i="1"/>
  <c r="N9" i="1"/>
  <c r="J7" i="1"/>
  <c r="K7" i="1"/>
  <c r="L7" i="1"/>
  <c r="M7" i="1"/>
  <c r="N7" i="1"/>
  <c r="N5" i="1"/>
  <c r="J5" i="1"/>
  <c r="K5" i="1"/>
  <c r="L5" i="1"/>
  <c r="M5" i="1"/>
  <c r="I5" i="1"/>
  <c r="J15" i="1"/>
  <c r="I3" i="1"/>
  <c r="J3" i="1"/>
  <c r="K3" i="1"/>
  <c r="N3" i="1"/>
  <c r="M3" i="1"/>
  <c r="K14" i="1"/>
  <c r="M38" i="1"/>
  <c r="L38" i="1"/>
  <c r="K38" i="1"/>
  <c r="J38" i="1"/>
  <c r="N36" i="1"/>
  <c r="M36" i="1"/>
  <c r="L36" i="1"/>
  <c r="K36" i="1"/>
  <c r="J36" i="1"/>
  <c r="I36" i="1"/>
  <c r="M15" i="1"/>
  <c r="L15" i="1"/>
  <c r="K15" i="1"/>
  <c r="I15" i="1"/>
  <c r="N15" i="1" s="1"/>
  <c r="M14" i="1"/>
  <c r="L14" i="1"/>
  <c r="J14" i="1"/>
  <c r="I14" i="1"/>
  <c r="N14" i="1" s="1"/>
  <c r="J37" i="1" l="1"/>
  <c r="K37" i="1" l="1"/>
  <c r="L37" i="1" s="1"/>
  <c r="M37" i="1" l="1"/>
  <c r="N37" i="1" s="1"/>
</calcChain>
</file>

<file path=xl/sharedStrings.xml><?xml version="1.0" encoding="utf-8"?>
<sst xmlns="http://schemas.openxmlformats.org/spreadsheetml/2006/main" count="112" uniqueCount="71">
  <si>
    <t>_xlfn.GAMMA.INV</t>
  </si>
  <si>
    <t>GAMMAINV</t>
  </si>
  <si>
    <t>_xlfn.BINOM.INV</t>
  </si>
  <si>
    <t>Functions</t>
  </si>
  <si>
    <t>Inputs</t>
  </si>
  <si>
    <t>Tests</t>
  </si>
  <si>
    <t>Expected</t>
  </si>
  <si>
    <t>_xlfn.CONCAT</t>
  </si>
  <si>
    <t>ABC</t>
  </si>
  <si>
    <t>aBC</t>
  </si>
  <si>
    <t>££$$</t>
  </si>
  <si>
    <t>test</t>
  </si>
  <si>
    <t>43ABCaBC££$$test21321</t>
  </si>
  <si>
    <t>ABCaBC££$$test2132143ABCaBC££$$test21321</t>
  </si>
  <si>
    <t>aBC££$$test2132143ABCaBC££$$test21321ABCaBC££$$test2132143ABCaBC££$$test21321</t>
  </si>
  <si>
    <t>££$$test2132143ABCaBC££$$test21321ABCaBC££$$test2132143ABCaBC££$$test21321aBC££$$test2132143ABCaBC££$$test21321ABCaBC££$$test2132143ABCaBC££$$test21321</t>
  </si>
  <si>
    <t>test2132143ABCaBC££$$test21321ABCaBC££$$test2132143ABCaBC££$$test21321aBC££$$test2132143ABCaBC££$$test21321ABCaBC££$$test2132143ABCaBC££$$test21321££$$test2132143ABCaBC££$$test21321ABCaBC££$$test2132143ABCaBC££$$test21321aBC££$$test2132143ABCaBC££$$test21321ABCaBC££$$test2132143ABCaBC££$$test21321</t>
  </si>
  <si>
    <t>2132143ABCaBC££$$test21321ABCaBC££$$test2132143ABCaBC££$$test21321aBC££$$test2132143ABCaBC££$$test21321ABCaBC££$$test2132143ABCaBC££$$test21321££$$test2132143ABCaBC££$$test21321ABCaBC££$$test2132143ABCaBC££$$test21321aBC££$$test2132143ABCaBC££$$test21321ABCaBC££$$test2132143ABCaBC££$$test21321test2132143ABCaBC££$$test21321ABCaBC££$$test2132143ABCaBC££$$test21321aBC££$$test2132143ABCaBC££$$test21321ABCaBC££$$test2132143ABCaBC££$$test21321££$$test2132143ABCaBC££$$test21321ABCaBC££$$test2132143ABCaBC££$$test21321aBC££$$test2132143ABCaBC££$$test21321ABCaBC££$$test2132143ABCaBC££$$test21321</t>
  </si>
  <si>
    <t>CONCATENATE</t>
  </si>
  <si>
    <t>43ABC</t>
  </si>
  <si>
    <t>ABCaBC</t>
  </si>
  <si>
    <t>aBC££$$</t>
  </si>
  <si>
    <t>££$$test</t>
  </si>
  <si>
    <t>test21321</t>
  </si>
  <si>
    <t>2132143ABC</t>
  </si>
  <si>
    <t>SUM</t>
  </si>
  <si>
    <t>INDEX</t>
  </si>
  <si>
    <t>CHOOSE</t>
  </si>
  <si>
    <t>COUNTA</t>
  </si>
  <si>
    <t>COUNTIF</t>
  </si>
  <si>
    <t>IFERROR</t>
  </si>
  <si>
    <t>AND</t>
  </si>
  <si>
    <t>_xlfn.IFS</t>
  </si>
  <si>
    <t>OFFSET</t>
  </si>
  <si>
    <t>POWER</t>
  </si>
  <si>
    <t>PRODUCT</t>
  </si>
  <si>
    <t>FLOOR</t>
  </si>
  <si>
    <t>CEILING</t>
  </si>
  <si>
    <t>LEFT</t>
  </si>
  <si>
    <t>RIGHT</t>
  </si>
  <si>
    <t>MID</t>
  </si>
  <si>
    <t>_xlfn.NORM.DIST</t>
  </si>
  <si>
    <t>NORMDIST</t>
  </si>
  <si>
    <t>_xlfn.NORM.S.DIST</t>
  </si>
  <si>
    <t>NORMSDIST</t>
  </si>
  <si>
    <t>_xlfn.GAMMA.DIST</t>
  </si>
  <si>
    <t>GAMMADIST</t>
  </si>
  <si>
    <t>_xlfn.LOGNORM.DIST</t>
  </si>
  <si>
    <t>LOGNORMDIST</t>
  </si>
  <si>
    <t>_xlfn.BINOM.DIST</t>
  </si>
  <si>
    <t>BINOMDIST</t>
  </si>
  <si>
    <t>_xlfn.BETA.DIST</t>
  </si>
  <si>
    <t>BETADIST</t>
  </si>
  <si>
    <t>_xlfn.WEIBULL.DIST</t>
  </si>
  <si>
    <t>WEIBULL</t>
  </si>
  <si>
    <t>MMULT</t>
  </si>
  <si>
    <t>Test</t>
  </si>
  <si>
    <t>Test and Test</t>
  </si>
  <si>
    <t xml:space="preserve">Test </t>
  </si>
  <si>
    <t>Test and T</t>
  </si>
  <si>
    <t>T</t>
  </si>
  <si>
    <t>Test and</t>
  </si>
  <si>
    <t>Te</t>
  </si>
  <si>
    <t xml:space="preserve"> Test</t>
  </si>
  <si>
    <t>t and Test</t>
  </si>
  <si>
    <t>t</t>
  </si>
  <si>
    <t>and Test</t>
  </si>
  <si>
    <t>st</t>
  </si>
  <si>
    <t>st a</t>
  </si>
  <si>
    <t>nd Test</t>
  </si>
  <si>
    <t>and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</si>
</sst>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FF9ED-8125-4F1D-B85A-69D7CAC66BA2}">
  <dimension ref="B2:T54"/>
  <sheetViews>
    <sheetView tabSelected="1" topLeftCell="A16" workbookViewId="0">
      <selection activeCell="K45" sqref="K45"/>
    </sheetView>
  </sheetViews>
  <sheetFormatPr defaultRowHeight="15" x14ac:dyDescent="0.25"/>
  <cols>
    <col min="2" max="2" width="19.42578125" bestFit="1" customWidth="1"/>
    <col min="8" max="8" width="12.42578125" bestFit="1" customWidth="1"/>
    <col min="9" max="9" width="22.42578125" bestFit="1" customWidth="1"/>
    <col min="11" max="12" width="12" bestFit="1" customWidth="1"/>
    <col min="14" max="14" width="12" bestFit="1" customWidth="1"/>
    <col min="15" max="15" width="22.42578125" bestFit="1" customWidth="1"/>
  </cols>
  <sheetData>
    <row r="2" spans="2:20" x14ac:dyDescent="0.25">
      <c r="B2" t="s">
        <v>3</v>
      </c>
      <c r="C2" t="s">
        <v>4</v>
      </c>
      <c r="I2" t="s">
        <v>5</v>
      </c>
      <c r="O2" t="s">
        <v>6</v>
      </c>
    </row>
    <row r="3" spans="2:20" x14ac:dyDescent="0.25">
      <c r="B3" s="1" t="s">
        <v>41</v>
      </c>
      <c r="C3">
        <v>3</v>
      </c>
      <c r="D3">
        <v>6</v>
      </c>
      <c r="E3">
        <v>5</v>
      </c>
      <c r="F3">
        <v>10</v>
      </c>
      <c r="G3">
        <v>2.5499999999999998</v>
      </c>
      <c r="H3">
        <v>9</v>
      </c>
      <c r="I3">
        <f>_xlfn.NORM.DIST(0.25,C3,D3,FALSE)</f>
        <v>5.9860841152801568E-2</v>
      </c>
      <c r="J3">
        <f>_xlfn.NORM.DIST(0.25,D3,E3,FALSE)</f>
        <v>4.1187253743994956E-2</v>
      </c>
      <c r="K3">
        <f>_xlfn.NORM.DIST(0.25,E3,F3,FALSE)</f>
        <v>3.5638237652018324E-2</v>
      </c>
      <c r="L3">
        <f>_xlfn.NORM.DIST(0.25,F3,G3,FALSE)</f>
        <v>1.0466764918086227E-4</v>
      </c>
      <c r="M3">
        <f t="shared" ref="M3" si="0">_xlfn.NORM.DIST(0.25,G3,H3,FALSE)</f>
        <v>4.2902832416690871E-2</v>
      </c>
      <c r="N3">
        <f>_xlfn.NORM.DIST(0.25,H3,F3,FALSE)</f>
        <v>2.7205499837854353E-2</v>
      </c>
      <c r="O3">
        <v>5.9860841152801568E-2</v>
      </c>
      <c r="P3">
        <v>4.1187253743994956E-2</v>
      </c>
      <c r="Q3">
        <v>3.5638237652018324E-2</v>
      </c>
      <c r="R3">
        <v>1.0466764918086227E-4</v>
      </c>
      <c r="S3">
        <v>4.2902832416690871E-2</v>
      </c>
      <c r="T3">
        <v>2.7205499837854353E-2</v>
      </c>
    </row>
    <row r="4" spans="2:20" x14ac:dyDescent="0.25">
      <c r="B4" s="1" t="s">
        <v>41</v>
      </c>
      <c r="C4">
        <v>3</v>
      </c>
      <c r="D4">
        <v>6</v>
      </c>
      <c r="E4">
        <v>5</v>
      </c>
      <c r="F4">
        <v>10</v>
      </c>
      <c r="G4">
        <v>2.5499999999999998</v>
      </c>
      <c r="H4">
        <v>9</v>
      </c>
      <c r="I4">
        <f>_xlfn.NORM.DIST(0.25,C4,D4,TRUE)</f>
        <v>0.32335648980795001</v>
      </c>
      <c r="J4">
        <f t="shared" ref="J4:L4" si="1">_xlfn.NORM.DIST(0.25,D4,E4,TRUE)</f>
        <v>0.12507193563715024</v>
      </c>
      <c r="K4">
        <f t="shared" si="1"/>
        <v>0.31739348664125899</v>
      </c>
      <c r="L4">
        <f t="shared" si="1"/>
        <v>6.5777445359412927E-5</v>
      </c>
      <c r="M4">
        <f>_xlfn.NORM.DIST(0.25,G4,H4,TRUE)</f>
        <v>0.39914702023599202</v>
      </c>
      <c r="N4">
        <f>_xlfn.NORM.DIST(0.25,H4,F4,TRUE)</f>
        <v>0.19078695285251063</v>
      </c>
      <c r="O4">
        <v>0.32335648980795001</v>
      </c>
      <c r="P4">
        <v>0.12507193563715024</v>
      </c>
      <c r="Q4">
        <v>0.31739348664125899</v>
      </c>
      <c r="R4">
        <v>6.5777445359412927E-5</v>
      </c>
      <c r="S4">
        <v>0.39914702023599202</v>
      </c>
      <c r="T4">
        <v>0.19078695285251063</v>
      </c>
    </row>
    <row r="5" spans="2:20" x14ac:dyDescent="0.25">
      <c r="B5" s="1" t="s">
        <v>42</v>
      </c>
      <c r="C5">
        <v>3</v>
      </c>
      <c r="D5">
        <v>6</v>
      </c>
      <c r="E5">
        <v>5</v>
      </c>
      <c r="F5">
        <v>10</v>
      </c>
      <c r="G5">
        <v>2.5499999999999998</v>
      </c>
      <c r="H5">
        <v>9</v>
      </c>
      <c r="I5">
        <f>NORMDIST(0.25,C5,D5,FALSE)</f>
        <v>5.9860841152801568E-2</v>
      </c>
      <c r="J5">
        <f t="shared" ref="J5:M5" si="2">NORMDIST(0.25,D5,E5,FALSE)</f>
        <v>4.1187253743994956E-2</v>
      </c>
      <c r="K5">
        <f t="shared" si="2"/>
        <v>3.5638237652018324E-2</v>
      </c>
      <c r="L5">
        <f t="shared" si="2"/>
        <v>1.0466764918086227E-4</v>
      </c>
      <c r="M5">
        <f t="shared" si="2"/>
        <v>4.2902832416690871E-2</v>
      </c>
      <c r="N5">
        <f>NORMDIST(0.25,H5,G5,FALSE)</f>
        <v>4.3411951679379565E-4</v>
      </c>
      <c r="O5">
        <v>5.9860841152801568E-2</v>
      </c>
      <c r="P5">
        <v>4.1187253743994956E-2</v>
      </c>
      <c r="Q5">
        <v>3.5638237652018324E-2</v>
      </c>
      <c r="R5">
        <v>1.0466764918086227E-4</v>
      </c>
      <c r="S5">
        <v>4.2902832416690871E-2</v>
      </c>
      <c r="T5">
        <v>4.3411951679379565E-4</v>
      </c>
    </row>
    <row r="6" spans="2:20" x14ac:dyDescent="0.25">
      <c r="B6" s="1" t="s">
        <v>42</v>
      </c>
      <c r="C6">
        <v>3</v>
      </c>
      <c r="D6">
        <v>6</v>
      </c>
      <c r="E6">
        <v>5</v>
      </c>
      <c r="F6">
        <v>10</v>
      </c>
      <c r="G6">
        <v>2.5499999999999998</v>
      </c>
      <c r="H6">
        <v>9</v>
      </c>
      <c r="I6">
        <f>NORMDIST(0.25,C6,D6,TRUE)</f>
        <v>0.32335648980795001</v>
      </c>
      <c r="J6">
        <f t="shared" ref="J6:M6" si="3">NORMDIST(0.25,D6,E6,TRUE)</f>
        <v>0.12507193563715024</v>
      </c>
      <c r="K6">
        <f t="shared" si="3"/>
        <v>0.31739348664125899</v>
      </c>
      <c r="L6">
        <f t="shared" si="3"/>
        <v>6.5777445359412927E-5</v>
      </c>
      <c r="M6">
        <f t="shared" si="3"/>
        <v>0.39914702023599202</v>
      </c>
      <c r="N6">
        <f>NORMDIST(0.25,H6,F6,TRUE)</f>
        <v>0.19078695285251063</v>
      </c>
      <c r="O6">
        <v>0.32335648980795001</v>
      </c>
      <c r="P6">
        <v>0.12507193563715024</v>
      </c>
      <c r="Q6">
        <v>0.31739348664125899</v>
      </c>
      <c r="R6">
        <v>6.5777445359412927E-5</v>
      </c>
      <c r="S6">
        <v>0.39914702023599202</v>
      </c>
      <c r="T6">
        <v>0.19078695285251063</v>
      </c>
    </row>
    <row r="7" spans="2:20" x14ac:dyDescent="0.25">
      <c r="B7" s="1" t="s">
        <v>43</v>
      </c>
      <c r="C7">
        <v>0.1</v>
      </c>
      <c r="D7">
        <v>0.3</v>
      </c>
      <c r="E7">
        <v>0.5</v>
      </c>
      <c r="F7">
        <v>-1</v>
      </c>
      <c r="G7">
        <v>0</v>
      </c>
      <c r="H7">
        <v>5</v>
      </c>
      <c r="I7">
        <f>_xlfn.NORM.S.DIST(C7,FALSE)</f>
        <v>0.39695254747701181</v>
      </c>
      <c r="J7">
        <f t="shared" ref="J7:N7" si="4">_xlfn.NORM.S.DIST(D7,FALSE)</f>
        <v>0.38138781546052414</v>
      </c>
      <c r="K7">
        <f t="shared" si="4"/>
        <v>0.35206532676429952</v>
      </c>
      <c r="L7">
        <f t="shared" si="4"/>
        <v>0.24197072451914337</v>
      </c>
      <c r="M7">
        <f t="shared" si="4"/>
        <v>0.3989422804014327</v>
      </c>
      <c r="N7">
        <f t="shared" si="4"/>
        <v>1.4867195147342977E-6</v>
      </c>
      <c r="O7">
        <v>0.39695254747701181</v>
      </c>
      <c r="P7">
        <v>0.38138781546052414</v>
      </c>
      <c r="Q7">
        <v>0.35206532676429952</v>
      </c>
      <c r="R7">
        <v>0.24197072451914337</v>
      </c>
      <c r="S7">
        <v>0.3989422804014327</v>
      </c>
      <c r="T7">
        <v>1.4867195147342977E-6</v>
      </c>
    </row>
    <row r="8" spans="2:20" x14ac:dyDescent="0.25">
      <c r="B8" s="1" t="s">
        <v>43</v>
      </c>
      <c r="C8">
        <v>0.1</v>
      </c>
      <c r="D8">
        <v>0.3</v>
      </c>
      <c r="E8">
        <v>0.5</v>
      </c>
      <c r="F8">
        <v>-1</v>
      </c>
      <c r="G8">
        <v>0</v>
      </c>
      <c r="H8">
        <v>5</v>
      </c>
      <c r="I8">
        <f>_xlfn.NORM.S.DIST(C8,TRUE)</f>
        <v>0.53982783727702899</v>
      </c>
      <c r="J8">
        <f t="shared" ref="J8:N8" si="5">_xlfn.NORM.S.DIST(D8,TRUE)</f>
        <v>0.61791142218895267</v>
      </c>
      <c r="K8">
        <f t="shared" si="5"/>
        <v>0.69146246127401312</v>
      </c>
      <c r="L8">
        <f t="shared" si="5"/>
        <v>0.15865525393145699</v>
      </c>
      <c r="M8">
        <f t="shared" si="5"/>
        <v>0.5</v>
      </c>
      <c r="N8">
        <f t="shared" si="5"/>
        <v>0.99999971334842808</v>
      </c>
      <c r="O8">
        <v>0.53982783727702899</v>
      </c>
      <c r="P8">
        <v>0.61791142218895267</v>
      </c>
      <c r="Q8">
        <v>0.69146246127401312</v>
      </c>
      <c r="R8">
        <v>0.15865525393145699</v>
      </c>
      <c r="S8">
        <v>0.5</v>
      </c>
      <c r="T8">
        <v>0.99999971334842808</v>
      </c>
    </row>
    <row r="9" spans="2:20" x14ac:dyDescent="0.25">
      <c r="B9" s="1" t="s">
        <v>44</v>
      </c>
      <c r="C9">
        <v>0.1</v>
      </c>
      <c r="D9">
        <v>0.3</v>
      </c>
      <c r="E9">
        <v>0.5</v>
      </c>
      <c r="F9">
        <v>-1</v>
      </c>
      <c r="G9">
        <v>0</v>
      </c>
      <c r="H9">
        <v>5</v>
      </c>
      <c r="I9">
        <f>NORMSDIST(C9)</f>
        <v>0.53982783727702899</v>
      </c>
      <c r="J9">
        <f t="shared" ref="J9:N9" si="6">NORMSDIST(D9)</f>
        <v>0.61791142218895267</v>
      </c>
      <c r="K9">
        <f t="shared" si="6"/>
        <v>0.69146246127401312</v>
      </c>
      <c r="L9">
        <f t="shared" si="6"/>
        <v>0.15865525393145699</v>
      </c>
      <c r="M9">
        <f t="shared" si="6"/>
        <v>0.5</v>
      </c>
      <c r="N9">
        <f t="shared" si="6"/>
        <v>0.99999971334842808</v>
      </c>
      <c r="O9">
        <v>0.53982783727702899</v>
      </c>
      <c r="P9">
        <v>0.61791142218895267</v>
      </c>
      <c r="Q9">
        <v>0.69146246127401312</v>
      </c>
      <c r="R9">
        <v>0.15865525393145699</v>
      </c>
      <c r="S9">
        <v>0.5</v>
      </c>
      <c r="T9">
        <v>0.99999971334842808</v>
      </c>
    </row>
    <row r="10" spans="2:20" x14ac:dyDescent="0.25">
      <c r="B10" s="1" t="s">
        <v>45</v>
      </c>
      <c r="C10">
        <v>3</v>
      </c>
      <c r="D10">
        <v>2</v>
      </c>
      <c r="E10">
        <v>5</v>
      </c>
      <c r="F10">
        <v>1</v>
      </c>
      <c r="G10">
        <v>2.5499999999999998</v>
      </c>
      <c r="H10">
        <v>5</v>
      </c>
      <c r="I10">
        <f>_xlfn.GAMMA.DIST(0.25,C10,D10,FALSE)</f>
        <v>3.4472535257210795E-3</v>
      </c>
      <c r="J10">
        <f t="shared" ref="J10:M10" si="7">_xlfn.GAMMA.DIST(0.25,D10,E10,FALSE)</f>
        <v>9.5122942450071423E-3</v>
      </c>
      <c r="K10">
        <f t="shared" si="7"/>
        <v>1.2675793995302816E-4</v>
      </c>
      <c r="L10">
        <f>_xlfn.GAMMA.DIST(0.25,F10,G10,FALSE)</f>
        <v>0.35553464689886088</v>
      </c>
      <c r="M10">
        <f t="shared" si="7"/>
        <v>1.3290754581392881E-3</v>
      </c>
      <c r="N10">
        <f>_xlfn.GAMMA.DIST(0.25,H10,E10,FALSE)</f>
        <v>4.9543199192745586E-8</v>
      </c>
      <c r="O10">
        <v>3.4472535257210795E-3</v>
      </c>
      <c r="P10">
        <v>9.5122942450071423E-3</v>
      </c>
      <c r="Q10">
        <v>1.2675793995302816E-4</v>
      </c>
      <c r="R10">
        <v>0.35553464689886088</v>
      </c>
      <c r="S10">
        <v>1.3290754581392881E-3</v>
      </c>
      <c r="T10">
        <v>4.9543199192745586E-8</v>
      </c>
    </row>
    <row r="11" spans="2:20" x14ac:dyDescent="0.25">
      <c r="B11" s="1" t="s">
        <v>45</v>
      </c>
      <c r="C11">
        <v>3</v>
      </c>
      <c r="D11">
        <v>2</v>
      </c>
      <c r="E11">
        <v>5</v>
      </c>
      <c r="F11">
        <v>1</v>
      </c>
      <c r="G11">
        <v>2.5499999999999998</v>
      </c>
      <c r="H11">
        <v>5</v>
      </c>
      <c r="I11">
        <f>_xlfn.GAMMA.DIST(0.25,C11,D11,TRUE)</f>
        <v>2.9647754088802048E-4</v>
      </c>
      <c r="J11">
        <f t="shared" ref="J11:M11" si="8">_xlfn.GAMMA.DIST(0.25,D11,E11,TRUE)</f>
        <v>1.2091042742502908E-3</v>
      </c>
      <c r="K11">
        <f t="shared" si="8"/>
        <v>6.6117105610342492E-6</v>
      </c>
      <c r="L11">
        <f t="shared" si="8"/>
        <v>9.338665040790485E-2</v>
      </c>
      <c r="M11">
        <f t="shared" si="8"/>
        <v>1.3215709859231299E-4</v>
      </c>
      <c r="N11">
        <f>_xlfn.GAMMA.DIST(0.25,H11,F11,TRUE)</f>
        <v>6.6117105610342492E-6</v>
      </c>
      <c r="O11">
        <v>2.9647754088802048E-4</v>
      </c>
      <c r="P11">
        <v>1.2091042742502908E-3</v>
      </c>
      <c r="Q11">
        <v>6.6117105610342492E-6</v>
      </c>
      <c r="R11">
        <v>9.338665040790485E-2</v>
      </c>
      <c r="S11">
        <v>1.3215709859231299E-4</v>
      </c>
      <c r="T11">
        <v>6.6117105610342492E-6</v>
      </c>
    </row>
    <row r="12" spans="2:20" x14ac:dyDescent="0.25">
      <c r="B12" s="1" t="s">
        <v>46</v>
      </c>
      <c r="C12">
        <v>3</v>
      </c>
      <c r="D12">
        <v>2</v>
      </c>
      <c r="E12">
        <v>5</v>
      </c>
      <c r="F12">
        <v>1</v>
      </c>
      <c r="G12">
        <v>2.5499999999999998</v>
      </c>
      <c r="H12">
        <v>5</v>
      </c>
      <c r="I12">
        <f>GAMMADIST(0.25,C12,D12,FALSE)</f>
        <v>3.4472535257210795E-3</v>
      </c>
      <c r="J12">
        <f t="shared" ref="J12:M12" si="9">GAMMADIST(0.25,D12,E12,FALSE)</f>
        <v>9.5122942450071423E-3</v>
      </c>
      <c r="K12">
        <f t="shared" si="9"/>
        <v>1.2675793995302816E-4</v>
      </c>
      <c r="L12">
        <f t="shared" si="9"/>
        <v>0.35553464689886088</v>
      </c>
      <c r="M12">
        <f t="shared" si="9"/>
        <v>1.3290754581392881E-3</v>
      </c>
      <c r="N12">
        <f>GAMMADIST(0.25,H12,G12,FALSE)</f>
        <v>1.3685794055477703E-6</v>
      </c>
      <c r="O12">
        <v>3.4472535257210795E-3</v>
      </c>
      <c r="P12">
        <v>9.5122942450071423E-3</v>
      </c>
      <c r="Q12">
        <v>1.2675793995302816E-4</v>
      </c>
      <c r="R12">
        <v>0.35553464689886088</v>
      </c>
      <c r="S12">
        <v>1.3290754581392881E-3</v>
      </c>
      <c r="T12">
        <v>1.3685794055477703E-6</v>
      </c>
    </row>
    <row r="13" spans="2:20" x14ac:dyDescent="0.25">
      <c r="B13" s="1" t="s">
        <v>46</v>
      </c>
      <c r="C13">
        <v>3</v>
      </c>
      <c r="D13">
        <v>2</v>
      </c>
      <c r="E13">
        <v>5</v>
      </c>
      <c r="F13">
        <v>1</v>
      </c>
      <c r="G13">
        <v>2.5499999999999998</v>
      </c>
      <c r="H13">
        <v>5</v>
      </c>
      <c r="I13">
        <f>GAMMADIST(0.25,C13,D13,TRUE)</f>
        <v>2.9647754088802048E-4</v>
      </c>
      <c r="J13">
        <f>GAMMADIST(0.25,D13,E13,TRUE)</f>
        <v>1.2091042742502908E-3</v>
      </c>
      <c r="K13">
        <f>GAMMADIST(0.25,E13,F13,TRUE)</f>
        <v>6.6117105610342492E-6</v>
      </c>
      <c r="L13">
        <f>GAMMADIST(0.25,F13,G13,TRUE)</f>
        <v>9.338665040790485E-2</v>
      </c>
      <c r="M13">
        <f>GAMMADIST(0.25,G13,H13,TRUE)</f>
        <v>1.3215709859231299E-4</v>
      </c>
      <c r="N13">
        <f>GAMMADIST(0.25,H13,G13,TRUE)</f>
        <v>6.9562944679115661E-8</v>
      </c>
      <c r="O13">
        <v>2.9647754088802048E-4</v>
      </c>
      <c r="P13">
        <v>1.2091042742502908E-3</v>
      </c>
      <c r="Q13">
        <v>6.6117105610342492E-6</v>
      </c>
      <c r="R13">
        <v>9.338665040790485E-2</v>
      </c>
      <c r="S13">
        <v>1.3215709859231299E-4</v>
      </c>
      <c r="T13">
        <v>6.9562944679115661E-8</v>
      </c>
    </row>
    <row r="14" spans="2:20" x14ac:dyDescent="0.25">
      <c r="B14" s="1" t="s">
        <v>0</v>
      </c>
      <c r="C14">
        <v>3</v>
      </c>
      <c r="D14">
        <v>6</v>
      </c>
      <c r="E14">
        <v>5</v>
      </c>
      <c r="F14">
        <v>10</v>
      </c>
      <c r="G14">
        <v>2.5499999999999998</v>
      </c>
      <c r="H14">
        <v>9</v>
      </c>
      <c r="I14">
        <f>_xlfn.GAMMA.INV(0.25,C14,D14)</f>
        <v>10.363796507163114</v>
      </c>
      <c r="J14">
        <f>_xlfn.GAMMA.INV(0.25,D14,E14)</f>
        <v>21.096046915339478</v>
      </c>
      <c r="K14">
        <f>_xlfn.GAMMA.INV(0.25,E14,F14)</f>
        <v>33.686003859773209</v>
      </c>
      <c r="L14">
        <f>_xlfn.GAMMA.INV(0.25,F14,G14)</f>
        <v>19.701011262285849</v>
      </c>
      <c r="M14">
        <f>_xlfn.GAMMA.INV(0.25,G14,H14)</f>
        <v>12.381772675515375</v>
      </c>
      <c r="N14">
        <f>_xlfn.GAMMA.INV(0.25,H14,I14)</f>
        <v>70.863963183949636</v>
      </c>
      <c r="O14">
        <v>10.363796507163114</v>
      </c>
      <c r="P14">
        <v>21.096046915339478</v>
      </c>
      <c r="Q14">
        <v>33.686003859773209</v>
      </c>
      <c r="R14">
        <v>19.701011262285849</v>
      </c>
      <c r="S14">
        <v>12.381772675515375</v>
      </c>
      <c r="T14">
        <v>70.863963183949636</v>
      </c>
    </row>
    <row r="15" spans="2:20" x14ac:dyDescent="0.25">
      <c r="B15" s="1" t="s">
        <v>1</v>
      </c>
      <c r="C15">
        <v>3</v>
      </c>
      <c r="D15">
        <v>6</v>
      </c>
      <c r="E15">
        <v>5</v>
      </c>
      <c r="F15">
        <v>10</v>
      </c>
      <c r="G15">
        <v>2.5499999999999998</v>
      </c>
      <c r="H15">
        <v>9</v>
      </c>
      <c r="I15">
        <f>GAMMAINV(0.25,C15,D15)</f>
        <v>10.363796507163114</v>
      </c>
      <c r="J15">
        <f>GAMMAINV(0.25,D15,E15)</f>
        <v>21.096046915339478</v>
      </c>
      <c r="K15">
        <f>GAMMAINV(0.25,E15,F15)</f>
        <v>33.686003859773209</v>
      </c>
      <c r="L15">
        <f>GAMMAINV(0.25,F15,G15)</f>
        <v>19.701011262285849</v>
      </c>
      <c r="M15">
        <f>GAMMAINV(0.25,G15,H15)</f>
        <v>12.381772675515375</v>
      </c>
      <c r="N15">
        <f>GAMMAINV(0.25,H15,I15)</f>
        <v>70.863963183949636</v>
      </c>
      <c r="O15">
        <v>10.363796507163114</v>
      </c>
      <c r="P15">
        <v>21.096046915339478</v>
      </c>
      <c r="Q15">
        <v>33.686003859773209</v>
      </c>
      <c r="R15">
        <v>19.701011262285849</v>
      </c>
      <c r="S15">
        <v>12.381772675515375</v>
      </c>
      <c r="T15">
        <v>70.863963183949636</v>
      </c>
    </row>
    <row r="16" spans="2:20" x14ac:dyDescent="0.25">
      <c r="B16" s="1" t="s">
        <v>47</v>
      </c>
      <c r="C16">
        <v>3</v>
      </c>
      <c r="D16">
        <v>6</v>
      </c>
      <c r="E16">
        <v>5</v>
      </c>
      <c r="F16">
        <v>10</v>
      </c>
      <c r="G16">
        <v>2.5499999999999998</v>
      </c>
      <c r="H16">
        <v>9</v>
      </c>
      <c r="I16">
        <f>_xlfn.LOGNORM.DIST(0.25,C16,D16,TRUE)</f>
        <v>0.23237459354875287</v>
      </c>
      <c r="J16">
        <f t="shared" ref="J16:M16" si="10">_xlfn.LOGNORM.DIST(0.25,D16,E16,TRUE)</f>
        <v>6.9803129022922475E-2</v>
      </c>
      <c r="K16">
        <f t="shared" si="10"/>
        <v>0.26153201360668754</v>
      </c>
      <c r="L16">
        <f t="shared" si="10"/>
        <v>3.9994477654216036E-6</v>
      </c>
      <c r="M16">
        <f t="shared" si="10"/>
        <v>0.33092295424797069</v>
      </c>
      <c r="N16">
        <f>_xlfn.LOGNORM.DIST(0.25,H16,E16,TRUE)</f>
        <v>1.8888836402617078E-2</v>
      </c>
      <c r="O16">
        <v>0.23237459354875287</v>
      </c>
      <c r="P16">
        <v>6.9803129022922475E-2</v>
      </c>
      <c r="Q16">
        <v>0.26153201360668754</v>
      </c>
      <c r="R16">
        <v>3.9994477654216036E-6</v>
      </c>
      <c r="S16">
        <v>0.33092295424797069</v>
      </c>
      <c r="T16">
        <v>1.8888836402617078E-2</v>
      </c>
    </row>
    <row r="17" spans="2:20" x14ac:dyDescent="0.25">
      <c r="B17" s="1" t="s">
        <v>47</v>
      </c>
      <c r="C17">
        <v>3</v>
      </c>
      <c r="D17">
        <v>6</v>
      </c>
      <c r="E17">
        <v>5</v>
      </c>
      <c r="F17">
        <v>10</v>
      </c>
      <c r="G17">
        <v>2.5499999999999998</v>
      </c>
      <c r="H17">
        <v>9</v>
      </c>
      <c r="I17">
        <f t="shared" ref="I17" si="11">_xlfn.LOGNORM.DIST(0.25,C17,D17,TRUE)</f>
        <v>0.23237459354875287</v>
      </c>
      <c r="J17">
        <f t="shared" ref="J17" si="12">_xlfn.LOGNORM.DIST(0.25,D17,E17,TRUE)</f>
        <v>6.9803129022922475E-2</v>
      </c>
      <c r="K17">
        <f t="shared" ref="K17" si="13">_xlfn.LOGNORM.DIST(0.25,E17,F17,TRUE)</f>
        <v>0.26153201360668754</v>
      </c>
      <c r="L17">
        <f t="shared" ref="L17" si="14">_xlfn.LOGNORM.DIST(0.25,F17,G17,TRUE)</f>
        <v>3.9994477654216036E-6</v>
      </c>
      <c r="M17">
        <f t="shared" ref="M17" si="15">_xlfn.LOGNORM.DIST(0.25,G17,H17,TRUE)</f>
        <v>0.33092295424797069</v>
      </c>
      <c r="N17">
        <f t="shared" ref="N17" si="16">_xlfn.LOGNORM.DIST(0.25,H17,E17,TRUE)</f>
        <v>1.8888836402617078E-2</v>
      </c>
      <c r="O17">
        <v>0.23237459354875287</v>
      </c>
      <c r="P17">
        <v>6.9803129022922475E-2</v>
      </c>
      <c r="Q17">
        <v>0.26153201360668754</v>
      </c>
      <c r="R17">
        <v>3.9994477654216036E-6</v>
      </c>
      <c r="S17">
        <v>0.33092295424797069</v>
      </c>
      <c r="T17">
        <v>1.8888836402617078E-2</v>
      </c>
    </row>
    <row r="18" spans="2:20" x14ac:dyDescent="0.25">
      <c r="B18" s="1" t="s">
        <v>48</v>
      </c>
      <c r="C18">
        <v>3</v>
      </c>
      <c r="D18">
        <v>6</v>
      </c>
      <c r="E18">
        <v>5</v>
      </c>
      <c r="F18">
        <v>10</v>
      </c>
      <c r="G18">
        <v>2.5499999999999998</v>
      </c>
      <c r="H18">
        <v>9</v>
      </c>
      <c r="I18">
        <f>LOGNORMDIST(0.25,C18,D18)</f>
        <v>0.23237459354875287</v>
      </c>
      <c r="J18">
        <f t="shared" ref="J18:M18" si="17">LOGNORMDIST(0.25,D18,E18)</f>
        <v>6.9803129022922475E-2</v>
      </c>
      <c r="K18">
        <f t="shared" si="17"/>
        <v>0.26153201360668754</v>
      </c>
      <c r="L18">
        <f t="shared" si="17"/>
        <v>3.9994477654216036E-6</v>
      </c>
      <c r="M18">
        <f t="shared" si="17"/>
        <v>0.33092295424797069</v>
      </c>
      <c r="N18">
        <f>LOGNORMDIST(0.25,H18,C18)</f>
        <v>2.6799085628031761E-4</v>
      </c>
      <c r="O18">
        <v>0.23237459354875287</v>
      </c>
      <c r="P18">
        <v>6.9803129022922475E-2</v>
      </c>
      <c r="Q18">
        <v>0.26153201360668754</v>
      </c>
      <c r="R18">
        <v>3.9994477654216036E-6</v>
      </c>
      <c r="S18">
        <v>0.33092295424797069</v>
      </c>
      <c r="T18">
        <v>2.6799085628031761E-4</v>
      </c>
    </row>
    <row r="19" spans="2:20" x14ac:dyDescent="0.25">
      <c r="B19" s="1" t="s">
        <v>49</v>
      </c>
      <c r="C19">
        <v>3</v>
      </c>
      <c r="D19">
        <v>4</v>
      </c>
      <c r="E19">
        <v>5</v>
      </c>
      <c r="F19">
        <v>10</v>
      </c>
      <c r="G19">
        <v>12</v>
      </c>
      <c r="H19">
        <v>15</v>
      </c>
      <c r="I19">
        <f>_xlfn.BINOM.DIST(C19,D19,0.25,FALSE)</f>
        <v>4.6875000000000007E-2</v>
      </c>
      <c r="J19">
        <f t="shared" ref="J19:M19" si="18">_xlfn.BINOM.DIST(D19,E19,0.25,FALSE)</f>
        <v>1.4648437500000005E-2</v>
      </c>
      <c r="K19">
        <f t="shared" si="18"/>
        <v>5.8399200439453146E-2</v>
      </c>
      <c r="L19">
        <f t="shared" si="18"/>
        <v>3.5405158996582038E-5</v>
      </c>
      <c r="M19">
        <f t="shared" si="18"/>
        <v>1.1441297829151157E-5</v>
      </c>
      <c r="N19">
        <f>_xlfn.BINOM.DIST(F19,H19,0.25,FALSE)</f>
        <v>6.7961309105157863E-4</v>
      </c>
      <c r="O19">
        <v>4.6875000000000007E-2</v>
      </c>
      <c r="P19">
        <v>1.4648437500000005E-2</v>
      </c>
      <c r="Q19">
        <v>5.8399200439453146E-2</v>
      </c>
      <c r="R19">
        <v>3.5405158996582038E-5</v>
      </c>
      <c r="S19">
        <v>1.1441297829151157E-5</v>
      </c>
      <c r="T19">
        <v>6.7961309105157863E-4</v>
      </c>
    </row>
    <row r="20" spans="2:20" x14ac:dyDescent="0.25">
      <c r="B20" s="1" t="s">
        <v>49</v>
      </c>
      <c r="C20">
        <v>3</v>
      </c>
      <c r="D20">
        <v>4</v>
      </c>
      <c r="E20">
        <v>5</v>
      </c>
      <c r="F20">
        <v>10</v>
      </c>
      <c r="G20">
        <v>12</v>
      </c>
      <c r="H20">
        <v>15</v>
      </c>
      <c r="I20">
        <f>_xlfn.BINOM.DIST(C20,D20,0.25,TRUE)</f>
        <v>0.99609375</v>
      </c>
      <c r="J20">
        <f>_xlfn.BINOM.DIST(D20,E20,0.25,TRUE)</f>
        <v>0.9990234375</v>
      </c>
      <c r="K20">
        <f t="shared" ref="K20" si="19">_xlfn.BINOM.DIST(E20,F20,0.25,TRUE)</f>
        <v>0.98027229309082031</v>
      </c>
      <c r="L20">
        <f t="shared" ref="L20" si="20">_xlfn.BINOM.DIST(F20,G20,0.25,TRUE)</f>
        <v>0.99999779462814331</v>
      </c>
      <c r="M20">
        <f t="shared" ref="M20" si="21">_xlfn.BINOM.DIST(G20,H20,0.25,TRUE)</f>
        <v>0.99999907705932856</v>
      </c>
      <c r="N20">
        <f>_xlfn.BINOM.DIST(D20,G20,0.25,TRUE)</f>
        <v>0.84235632419586182</v>
      </c>
      <c r="O20">
        <v>0.99609375</v>
      </c>
      <c r="P20">
        <v>0.9990234375</v>
      </c>
      <c r="Q20">
        <v>0.98027229309082031</v>
      </c>
      <c r="R20">
        <v>0.99999779462814331</v>
      </c>
      <c r="S20">
        <v>0.99999907705932856</v>
      </c>
      <c r="T20">
        <v>0.84235632419586182</v>
      </c>
    </row>
    <row r="21" spans="2:20" x14ac:dyDescent="0.25">
      <c r="B21" s="1" t="s">
        <v>50</v>
      </c>
      <c r="C21">
        <v>3</v>
      </c>
      <c r="D21">
        <v>4</v>
      </c>
      <c r="E21">
        <v>5</v>
      </c>
      <c r="F21">
        <v>10</v>
      </c>
      <c r="G21">
        <v>12</v>
      </c>
      <c r="H21">
        <v>15</v>
      </c>
      <c r="I21">
        <f>BINOMDIST(C21,D21,0.25,FALSE)</f>
        <v>4.6875000000000007E-2</v>
      </c>
      <c r="J21">
        <f t="shared" ref="J21:M21" si="22">BINOMDIST(D21,E21,0.25,FALSE)</f>
        <v>1.4648437500000005E-2</v>
      </c>
      <c r="K21">
        <f t="shared" si="22"/>
        <v>5.8399200439453146E-2</v>
      </c>
      <c r="L21">
        <f t="shared" si="22"/>
        <v>3.5405158996582038E-5</v>
      </c>
      <c r="M21">
        <f t="shared" si="22"/>
        <v>1.1441297829151157E-5</v>
      </c>
      <c r="N21">
        <f>BINOMDIST(G21,H21,0.25,FALSE)</f>
        <v>1.1441297829151157E-5</v>
      </c>
      <c r="O21">
        <v>4.6875000000000007E-2</v>
      </c>
      <c r="P21">
        <v>1.4648437500000005E-2</v>
      </c>
      <c r="Q21">
        <v>5.8399200439453146E-2</v>
      </c>
      <c r="R21">
        <v>3.5405158996582038E-5</v>
      </c>
      <c r="S21">
        <v>1.1441297829151157E-5</v>
      </c>
      <c r="T21">
        <v>1.1441297829151157E-5</v>
      </c>
    </row>
    <row r="22" spans="2:20" x14ac:dyDescent="0.25">
      <c r="B22" s="1" t="s">
        <v>50</v>
      </c>
      <c r="C22">
        <v>3</v>
      </c>
      <c r="D22">
        <v>4</v>
      </c>
      <c r="E22">
        <v>5</v>
      </c>
      <c r="F22">
        <v>10</v>
      </c>
      <c r="G22">
        <v>12</v>
      </c>
      <c r="H22">
        <v>15</v>
      </c>
      <c r="I22">
        <f>BINOMDIST(C22,D22,0.25,TRUE)</f>
        <v>0.99609375</v>
      </c>
      <c r="J22">
        <f t="shared" ref="J22:M22" si="23">BINOMDIST(D22,E22,0.25,TRUE)</f>
        <v>0.9990234375</v>
      </c>
      <c r="K22">
        <f t="shared" si="23"/>
        <v>0.98027229309082031</v>
      </c>
      <c r="L22">
        <f t="shared" si="23"/>
        <v>0.99999779462814331</v>
      </c>
      <c r="M22">
        <f t="shared" si="23"/>
        <v>0.99999907705932856</v>
      </c>
      <c r="N22">
        <f>BINOMDIST(C22,H22,0.25,TRUE)</f>
        <v>0.46128687635064114</v>
      </c>
      <c r="O22">
        <v>0.99609375</v>
      </c>
      <c r="P22">
        <v>0.9990234375</v>
      </c>
      <c r="Q22">
        <v>0.98027229309082031</v>
      </c>
      <c r="R22">
        <v>0.99999779462814331</v>
      </c>
      <c r="S22">
        <v>0.99999907705932856</v>
      </c>
      <c r="T22">
        <v>0.46128687635064114</v>
      </c>
    </row>
    <row r="23" spans="2:20" x14ac:dyDescent="0.25">
      <c r="B23" s="1" t="s">
        <v>51</v>
      </c>
      <c r="C23">
        <v>3</v>
      </c>
      <c r="D23">
        <v>6</v>
      </c>
      <c r="E23">
        <v>5</v>
      </c>
      <c r="F23">
        <v>10</v>
      </c>
      <c r="G23">
        <v>2.5499999999999998</v>
      </c>
      <c r="H23">
        <v>9</v>
      </c>
      <c r="I23">
        <f>_xlfn.BETA.DIST(0.25,C23,D23,FALSE)</f>
        <v>2.49169921875</v>
      </c>
      <c r="J23">
        <f t="shared" ref="J23:M23" si="24">_xlfn.BETA.DIST(0.25,D23,E23,FALSE)</f>
        <v>0.38932800292968761</v>
      </c>
      <c r="K23">
        <f t="shared" si="24"/>
        <v>2.9359285533428183</v>
      </c>
      <c r="L23">
        <f t="shared" si="24"/>
        <v>7.57019555594542E-4</v>
      </c>
      <c r="M23">
        <f t="shared" si="24"/>
        <v>2.8200688274659864</v>
      </c>
      <c r="N23">
        <f>_xlfn.BETA.DIST(0.25,H23,G23,FALSE)</f>
        <v>2.3595414719829884E-3</v>
      </c>
      <c r="O23">
        <v>2.49169921875</v>
      </c>
      <c r="P23">
        <v>0.38932800292968761</v>
      </c>
      <c r="Q23">
        <v>2.9359285533428183</v>
      </c>
      <c r="R23">
        <v>7.57019555594542E-4</v>
      </c>
      <c r="S23">
        <v>2.8200688274659864</v>
      </c>
      <c r="T23">
        <v>2.3595414719829884E-3</v>
      </c>
    </row>
    <row r="24" spans="2:20" x14ac:dyDescent="0.25">
      <c r="B24" s="1" t="s">
        <v>51</v>
      </c>
      <c r="C24">
        <v>3</v>
      </c>
      <c r="D24">
        <v>6</v>
      </c>
      <c r="E24">
        <v>5</v>
      </c>
      <c r="F24">
        <v>10</v>
      </c>
      <c r="G24">
        <v>2.5499999999999998</v>
      </c>
      <c r="H24">
        <v>9</v>
      </c>
      <c r="I24">
        <f>_xlfn.BETA.DIST(0.25,C24,D24,TRUE)</f>
        <v>0.32145690917968756</v>
      </c>
      <c r="J24">
        <f t="shared" ref="J24:M24" si="25">_xlfn.BETA.DIST(0.25,D24,E24,TRUE)</f>
        <v>1.9727706909179688E-2</v>
      </c>
      <c r="K24">
        <f t="shared" si="25"/>
        <v>0.25846539810299879</v>
      </c>
      <c r="L24">
        <f>_xlfn.BETA.DIST(0.25,F24,G24,TRUE)</f>
        <v>1.9827842592112129E-5</v>
      </c>
      <c r="M24">
        <f t="shared" si="25"/>
        <v>0.6407501924257808</v>
      </c>
      <c r="N24">
        <f>_xlfn.BETA.DIST(0.25,H24,G24,TRUE)</f>
        <v>6.8984956591757658E-5</v>
      </c>
      <c r="O24">
        <v>0.32145690917968756</v>
      </c>
      <c r="P24">
        <v>1.9727706909179688E-2</v>
      </c>
      <c r="Q24">
        <v>0.25846539810299879</v>
      </c>
      <c r="R24">
        <v>1.9827842592112129E-5</v>
      </c>
      <c r="S24">
        <v>0.6407501924257808</v>
      </c>
      <c r="T24">
        <v>6.8984956591757658E-5</v>
      </c>
    </row>
    <row r="25" spans="2:20" x14ac:dyDescent="0.25">
      <c r="B25" s="1" t="s">
        <v>51</v>
      </c>
      <c r="C25">
        <v>3</v>
      </c>
      <c r="D25">
        <v>6</v>
      </c>
      <c r="E25">
        <v>5</v>
      </c>
      <c r="F25">
        <v>10</v>
      </c>
      <c r="G25">
        <v>2.5499999999999998</v>
      </c>
      <c r="H25">
        <v>9</v>
      </c>
      <c r="I25">
        <f>_xlfn.BETA.DIST(0.25,C25,D25,FALSE,0.2,5)</f>
        <v>3.6040220509731846E-3</v>
      </c>
      <c r="J25">
        <f t="shared" ref="J25:K25" si="26">_xlfn.BETA.DIST(0.25,D25,E25,FALSE,0.2,5)</f>
        <v>3.0873270036434237E-8</v>
      </c>
      <c r="K25">
        <f t="shared" si="26"/>
        <v>2.2344943362139383E-5</v>
      </c>
      <c r="L25">
        <f>_xlfn.BETA.DIST(0.75,F25,G25,FALSE,0.2,5)</f>
        <v>1.8206766293043581E-7</v>
      </c>
      <c r="M25">
        <f t="shared" ref="M25:N25" si="27">_xlfn.BETA.DIST(0.75,G25,H25,FALSE,0.2,5)</f>
        <v>0.66151720230661659</v>
      </c>
      <c r="N25">
        <f t="shared" si="27"/>
        <v>2.5434860158670713E-11</v>
      </c>
      <c r="O25">
        <v>3.6040220509731846E-3</v>
      </c>
      <c r="P25">
        <v>3.0873270036434237E-8</v>
      </c>
      <c r="Q25">
        <v>2.2344943362139383E-5</v>
      </c>
      <c r="R25">
        <v>1.8206766293043581E-7</v>
      </c>
      <c r="S25">
        <v>0.66151720230661659</v>
      </c>
      <c r="T25">
        <v>2.5434860158670713E-11</v>
      </c>
    </row>
    <row r="26" spans="2:20" x14ac:dyDescent="0.25">
      <c r="B26" s="1" t="s">
        <v>51</v>
      </c>
      <c r="C26">
        <v>3</v>
      </c>
      <c r="D26">
        <v>6</v>
      </c>
      <c r="E26">
        <v>5</v>
      </c>
      <c r="F26">
        <v>10</v>
      </c>
      <c r="G26">
        <v>2.5499999999999998</v>
      </c>
      <c r="H26">
        <v>9</v>
      </c>
      <c r="I26">
        <f>_xlfn.BETA.DIST(0.25,C26,D26,TRUE,0.2,5)</f>
        <v>6.086408065798257E-5</v>
      </c>
      <c r="J26">
        <f t="shared" ref="J26:N26" si="28">_xlfn.BETA.DIST(0.25,D26,E26,TRUE,0.2,5)</f>
        <v>2.5883090562088557E-10</v>
      </c>
      <c r="K26">
        <f t="shared" si="28"/>
        <v>2.2702042015897622E-7</v>
      </c>
      <c r="L26">
        <f t="shared" si="28"/>
        <v>4.593935682745769E-19</v>
      </c>
      <c r="M26">
        <f t="shared" si="28"/>
        <v>7.8631448558295902E-4</v>
      </c>
      <c r="N26">
        <f t="shared" si="28"/>
        <v>9.8591655427125137E-24</v>
      </c>
      <c r="O26">
        <v>6.086408065798257E-5</v>
      </c>
      <c r="P26">
        <v>2.5883090562088557E-10</v>
      </c>
      <c r="Q26">
        <v>2.2702042015897622E-7</v>
      </c>
      <c r="R26">
        <v>4.593935682745769E-19</v>
      </c>
      <c r="S26">
        <v>7.8631448558295902E-4</v>
      </c>
      <c r="T26">
        <v>9.8591655427125137E-24</v>
      </c>
    </row>
    <row r="27" spans="2:20" x14ac:dyDescent="0.25">
      <c r="B27" s="1" t="s">
        <v>52</v>
      </c>
      <c r="C27">
        <v>3</v>
      </c>
      <c r="D27">
        <v>6</v>
      </c>
      <c r="E27">
        <v>5</v>
      </c>
      <c r="F27">
        <v>10</v>
      </c>
      <c r="G27">
        <v>2.5499999999999998</v>
      </c>
      <c r="H27">
        <v>9</v>
      </c>
      <c r="I27">
        <f>BETADIST(0.25,C27,D27)</f>
        <v>0.32145690917968756</v>
      </c>
      <c r="J27">
        <f t="shared" ref="J27:N27" si="29">BETADIST(0.25,D27,E27)</f>
        <v>1.9727706909179688E-2</v>
      </c>
      <c r="K27">
        <f t="shared" si="29"/>
        <v>0.25846539810299879</v>
      </c>
      <c r="L27">
        <f t="shared" si="29"/>
        <v>1.9827842592112129E-5</v>
      </c>
      <c r="M27">
        <f t="shared" si="29"/>
        <v>0.6407501924257808</v>
      </c>
      <c r="N27">
        <f t="shared" si="29"/>
        <v>3.6270505652248254E-7</v>
      </c>
      <c r="O27">
        <v>0.32145690917968756</v>
      </c>
      <c r="P27">
        <v>1.9727706909179688E-2</v>
      </c>
      <c r="Q27">
        <v>0.25846539810299879</v>
      </c>
      <c r="R27">
        <v>1.9827842592112129E-5</v>
      </c>
      <c r="S27">
        <v>0.6407501924257808</v>
      </c>
      <c r="T27">
        <v>3.6270505652248254E-7</v>
      </c>
    </row>
    <row r="28" spans="2:20" x14ac:dyDescent="0.25">
      <c r="B28" s="1" t="s">
        <v>52</v>
      </c>
      <c r="C28">
        <v>3</v>
      </c>
      <c r="D28">
        <v>6</v>
      </c>
      <c r="E28">
        <v>5</v>
      </c>
      <c r="F28">
        <v>10</v>
      </c>
      <c r="G28">
        <v>2.5499999999999998</v>
      </c>
      <c r="H28">
        <v>9</v>
      </c>
      <c r="I28">
        <f>BETADIST(0.25,C28,D28,0.2,5)</f>
        <v>6.086408065798257E-5</v>
      </c>
      <c r="J28">
        <f t="shared" ref="J28" si="30">_xlfn.BETA.DIST(0.25,D28,E28,FALSE,0.2,5)</f>
        <v>3.0873270036434237E-8</v>
      </c>
      <c r="K28">
        <f t="shared" ref="K28" si="31">_xlfn.BETA.DIST(0.25,E28,F28,FALSE,0.2,5)</f>
        <v>2.2344943362139383E-5</v>
      </c>
      <c r="L28">
        <f>_xlfn.BETA.DIST(0.75,F28,G28,FALSE,0.2,5)</f>
        <v>1.8206766293043581E-7</v>
      </c>
      <c r="M28">
        <f t="shared" ref="M28" si="32">_xlfn.BETA.DIST(0.75,G28,H28,FALSE,0.2,5)</f>
        <v>0.66151720230661659</v>
      </c>
      <c r="N28">
        <f t="shared" ref="N28" si="33">_xlfn.BETA.DIST(0.75,H28,I28,FALSE,0.2,5)</f>
        <v>4.2561054174920979E-13</v>
      </c>
      <c r="O28">
        <v>6.086408065798257E-5</v>
      </c>
      <c r="P28">
        <v>3.0873270036434237E-8</v>
      </c>
      <c r="Q28">
        <v>2.2344943362139383E-5</v>
      </c>
      <c r="R28">
        <v>1.8206766293043581E-7</v>
      </c>
      <c r="S28">
        <v>0.66151720230661659</v>
      </c>
      <c r="T28">
        <v>4.2561054174920979E-13</v>
      </c>
    </row>
    <row r="29" spans="2:20" x14ac:dyDescent="0.25">
      <c r="B29" s="1" t="s">
        <v>52</v>
      </c>
      <c r="C29">
        <v>3</v>
      </c>
      <c r="D29">
        <v>6</v>
      </c>
      <c r="E29">
        <v>5</v>
      </c>
      <c r="F29">
        <v>10</v>
      </c>
      <c r="G29">
        <v>2.5499999999999998</v>
      </c>
      <c r="H29">
        <v>9</v>
      </c>
      <c r="I29">
        <f>BETADIST(0.25,C29,D29,0.2,5)</f>
        <v>6.086408065798257E-5</v>
      </c>
      <c r="J29">
        <f t="shared" ref="J29:N29" si="34">BETADIST(0.25,D29,E29,0.2,5)</f>
        <v>2.5883090562088557E-10</v>
      </c>
      <c r="K29">
        <f t="shared" si="34"/>
        <v>2.2702042015897622E-7</v>
      </c>
      <c r="L29">
        <f>BETADIST(0.25,F29,G29,0.2,5)</f>
        <v>4.593935682745769E-19</v>
      </c>
      <c r="M29">
        <f t="shared" si="34"/>
        <v>7.8631448558295902E-4</v>
      </c>
      <c r="N29">
        <f t="shared" si="34"/>
        <v>9.8591655427125137E-24</v>
      </c>
      <c r="O29">
        <v>6.086408065798257E-5</v>
      </c>
      <c r="P29">
        <v>2.5883090562088557E-10</v>
      </c>
      <c r="Q29">
        <v>2.2702042015897622E-7</v>
      </c>
      <c r="R29">
        <v>4.593935682745769E-19</v>
      </c>
      <c r="S29">
        <v>7.8631448558295902E-4</v>
      </c>
      <c r="T29">
        <v>9.8591655427125137E-24</v>
      </c>
    </row>
    <row r="30" spans="2:20" x14ac:dyDescent="0.25">
      <c r="B30" s="1" t="s">
        <v>53</v>
      </c>
      <c r="C30">
        <v>3</v>
      </c>
      <c r="D30">
        <v>6</v>
      </c>
      <c r="E30">
        <v>5</v>
      </c>
      <c r="F30">
        <v>10</v>
      </c>
      <c r="G30">
        <v>2.5499999999999998</v>
      </c>
      <c r="H30">
        <v>9</v>
      </c>
      <c r="I30">
        <f>_xlfn.WEIBULL.DIST(0.25,C30,D30,FALSE)</f>
        <v>8.6799276445604517E-4</v>
      </c>
      <c r="J30">
        <f t="shared" ref="J30:M30" si="35">_xlfn.WEIBULL.DIST(0.25,D30,E30,FALSE)</f>
        <v>3.7499999414062546E-7</v>
      </c>
      <c r="K30">
        <f t="shared" si="35"/>
        <v>1.9531249809265103E-7</v>
      </c>
      <c r="L30">
        <f t="shared" si="35"/>
        <v>3.2813931992314361E-9</v>
      </c>
      <c r="M30">
        <f t="shared" si="35"/>
        <v>1.0964330194305082E-3</v>
      </c>
      <c r="N30">
        <f>_xlfn.WEIBULL.DIST(0.25,H30,E30,FALSE)</f>
        <v>7.0312499999862814E-11</v>
      </c>
      <c r="O30">
        <v>8.6799276445604517E-4</v>
      </c>
      <c r="P30">
        <v>3.7499999414062546E-7</v>
      </c>
      <c r="Q30">
        <v>1.9531249809265103E-7</v>
      </c>
      <c r="R30">
        <v>3.2813931992314361E-9</v>
      </c>
      <c r="S30">
        <v>1.0964330194305082E-3</v>
      </c>
      <c r="T30">
        <v>7.0312499999862814E-11</v>
      </c>
    </row>
    <row r="31" spans="2:20" x14ac:dyDescent="0.25">
      <c r="B31" s="1" t="s">
        <v>53</v>
      </c>
      <c r="C31">
        <v>3</v>
      </c>
      <c r="D31">
        <v>6</v>
      </c>
      <c r="E31">
        <v>5</v>
      </c>
      <c r="F31">
        <v>10</v>
      </c>
      <c r="G31">
        <v>2.5499999999999998</v>
      </c>
      <c r="H31">
        <v>9</v>
      </c>
      <c r="I31">
        <f>_xlfn.WEIBULL.DIST(0.75,C31,D31,TRUE)</f>
        <v>1.9512188925245291E-3</v>
      </c>
      <c r="J31">
        <f t="shared" ref="J31:M31" si="36">_xlfn.WEIBULL.DIST(0.75,D31,E31,TRUE)</f>
        <v>1.1390560127077369E-5</v>
      </c>
      <c r="K31">
        <f t="shared" si="36"/>
        <v>2.3730440593264908E-6</v>
      </c>
      <c r="L31">
        <f t="shared" si="36"/>
        <v>4.8440629434220179E-6</v>
      </c>
      <c r="M31">
        <f t="shared" si="36"/>
        <v>1.768900592032779E-3</v>
      </c>
      <c r="N31">
        <f>_xlfn.WEIBULL.DIST(0.75,H31,G31,TRUE)</f>
        <v>1.6469718270872417E-5</v>
      </c>
      <c r="O31">
        <v>1.9512188925245291E-3</v>
      </c>
      <c r="P31">
        <v>1.1390560127077369E-5</v>
      </c>
      <c r="Q31">
        <v>2.3730440593264908E-6</v>
      </c>
      <c r="R31">
        <v>4.8440629434220179E-6</v>
      </c>
      <c r="S31">
        <v>1.768900592032779E-3</v>
      </c>
      <c r="T31">
        <v>1.6469718270872417E-5</v>
      </c>
    </row>
    <row r="32" spans="2:20" x14ac:dyDescent="0.25">
      <c r="B32" s="1" t="s">
        <v>54</v>
      </c>
      <c r="C32">
        <v>3</v>
      </c>
      <c r="D32">
        <v>6</v>
      </c>
      <c r="E32">
        <v>5</v>
      </c>
      <c r="F32">
        <v>10</v>
      </c>
      <c r="G32">
        <v>2.5499999999999998</v>
      </c>
      <c r="H32">
        <v>9</v>
      </c>
      <c r="I32">
        <f>WEIBULL(0.25,C32,D32,FALSE)</f>
        <v>8.6799276445604517E-4</v>
      </c>
      <c r="J32">
        <f t="shared" ref="J32:M32" si="37">WEIBULL(0.25,D32,E32,FALSE)</f>
        <v>3.7499999414062546E-7</v>
      </c>
      <c r="K32">
        <f t="shared" si="37"/>
        <v>1.9531249809265103E-7</v>
      </c>
      <c r="L32">
        <f t="shared" si="37"/>
        <v>3.2813931992314361E-9</v>
      </c>
      <c r="M32">
        <f t="shared" si="37"/>
        <v>1.0964330194305082E-3</v>
      </c>
      <c r="N32">
        <f>WEIBULL(0.25,H32,G32,FALSE)</f>
        <v>3.0123189546209979E-8</v>
      </c>
      <c r="O32">
        <v>8.6799276445604517E-4</v>
      </c>
      <c r="P32">
        <v>3.7499999414062546E-7</v>
      </c>
      <c r="Q32">
        <v>1.9531249809265103E-7</v>
      </c>
      <c r="R32">
        <v>3.2813931992314361E-9</v>
      </c>
      <c r="S32">
        <v>1.0964330194305082E-3</v>
      </c>
      <c r="T32">
        <v>3.0123189546209979E-8</v>
      </c>
    </row>
    <row r="33" spans="2:20" x14ac:dyDescent="0.25">
      <c r="B33" s="1" t="s">
        <v>54</v>
      </c>
      <c r="C33">
        <v>3</v>
      </c>
      <c r="D33">
        <v>6</v>
      </c>
      <c r="E33">
        <v>5</v>
      </c>
      <c r="F33">
        <v>10</v>
      </c>
      <c r="G33">
        <v>2.5499999999999998</v>
      </c>
      <c r="H33">
        <v>9</v>
      </c>
      <c r="I33">
        <f>WEIBULL(0.75,C33,D33,TRUE)</f>
        <v>1.9512188925245291E-3</v>
      </c>
      <c r="J33">
        <f t="shared" ref="J33:M33" si="38">WEIBULL(0.75,D33,E33,TRUE)</f>
        <v>1.1390560127077369E-5</v>
      </c>
      <c r="K33">
        <f t="shared" si="38"/>
        <v>2.3730440593264908E-6</v>
      </c>
      <c r="L33">
        <f t="shared" si="38"/>
        <v>4.8440629434220179E-6</v>
      </c>
      <c r="M33">
        <f t="shared" si="38"/>
        <v>1.768900592032779E-3</v>
      </c>
      <c r="N33">
        <f>WEIBULL(0.75,H33,G33,TRUE)</f>
        <v>1.6469718270872417E-5</v>
      </c>
      <c r="O33">
        <v>1.9512188925245291E-3</v>
      </c>
      <c r="P33">
        <v>1.1390560127077369E-5</v>
      </c>
      <c r="Q33">
        <v>2.3730440593264908E-6</v>
      </c>
      <c r="R33">
        <v>4.8440629434220179E-6</v>
      </c>
      <c r="S33">
        <v>1.768900592032779E-3</v>
      </c>
      <c r="T33">
        <v>1.6469718270872417E-5</v>
      </c>
    </row>
    <row r="34" spans="2:20" x14ac:dyDescent="0.25">
      <c r="B34" s="1" t="s">
        <v>25</v>
      </c>
      <c r="C34">
        <v>1.2</v>
      </c>
      <c r="D34">
        <v>2</v>
      </c>
      <c r="E34">
        <v>2</v>
      </c>
      <c r="F34">
        <v>32</v>
      </c>
      <c r="G34">
        <v>32</v>
      </c>
      <c r="H34">
        <v>31</v>
      </c>
      <c r="I34">
        <f>SUM(C34:H34)</f>
        <v>100.2</v>
      </c>
    </row>
    <row r="35" spans="2:20" x14ac:dyDescent="0.25">
      <c r="B35" s="1" t="s">
        <v>25</v>
      </c>
      <c r="C35">
        <v>1.2</v>
      </c>
      <c r="D35">
        <v>2</v>
      </c>
      <c r="E35">
        <v>2</v>
      </c>
      <c r="F35">
        <v>32</v>
      </c>
      <c r="G35">
        <v>32</v>
      </c>
      <c r="H35">
        <v>31</v>
      </c>
      <c r="I35">
        <f>SUM(C34:H35)</f>
        <v>200.4</v>
      </c>
    </row>
    <row r="36" spans="2:20" x14ac:dyDescent="0.25">
      <c r="B36" s="1" t="s">
        <v>2</v>
      </c>
      <c r="C36">
        <v>0.1</v>
      </c>
      <c r="D36">
        <v>0.9</v>
      </c>
      <c r="E36">
        <v>0.5</v>
      </c>
      <c r="F36">
        <v>0.84</v>
      </c>
      <c r="G36">
        <v>0.32</v>
      </c>
      <c r="H36">
        <v>0.28999999999999998</v>
      </c>
      <c r="I36">
        <f>_xlfn.BINOM.INV(50,0.25,C36)</f>
        <v>9</v>
      </c>
      <c r="J36">
        <f>_xlfn.BINOM.INV(50,0.25,D36)</f>
        <v>16</v>
      </c>
      <c r="K36">
        <f>_xlfn.BINOM.INV(500,0.35,E36)</f>
        <v>175</v>
      </c>
      <c r="L36">
        <f>_xlfn.BINOM.INV(100,0.25,F36)</f>
        <v>29</v>
      </c>
      <c r="M36">
        <f>_xlfn.BINOM.INV(50,0.9,G36)</f>
        <v>44</v>
      </c>
      <c r="N36">
        <f>_xlfn.BINOM.INV(510,0.25,H36)</f>
        <v>122</v>
      </c>
      <c r="O36">
        <v>9</v>
      </c>
      <c r="P36">
        <v>16</v>
      </c>
      <c r="Q36">
        <v>175</v>
      </c>
      <c r="R36">
        <v>29</v>
      </c>
      <c r="S36">
        <v>44</v>
      </c>
      <c r="T36">
        <v>122</v>
      </c>
    </row>
    <row r="37" spans="2:20" x14ac:dyDescent="0.25">
      <c r="B37" s="1" t="s">
        <v>7</v>
      </c>
      <c r="C37">
        <v>43</v>
      </c>
      <c r="D37" t="s">
        <v>8</v>
      </c>
      <c r="E37" t="s">
        <v>9</v>
      </c>
      <c r="F37" t="s">
        <v>10</v>
      </c>
      <c r="G37" t="s">
        <v>11</v>
      </c>
      <c r="H37">
        <v>21321</v>
      </c>
      <c r="I37" t="str">
        <f>_xlfn.CONCAT(C37:H37)</f>
        <v>43ABCaBC££$$test21321</v>
      </c>
      <c r="J37" t="str">
        <f t="shared" ref="J37:N37" si="39">_xlfn.CONCAT(D37:I37)</f>
        <v>ABCaBC££$$test2132143ABCaBC££$$test21321</v>
      </c>
      <c r="K37" t="str">
        <f t="shared" si="39"/>
        <v>aBC££$$test2132143ABCaBC££$$test21321ABCaBC££$$test2132143ABCaBC££$$test21321</v>
      </c>
      <c r="L37" t="str">
        <f t="shared" si="39"/>
        <v>££$$test2132143ABCaBC££$$test21321ABCaBC££$$test2132143ABCaBC££$$test21321aBC££$$test2132143ABCaBC££$$test21321ABCaBC££$$test2132143ABCaBC££$$test21321</v>
      </c>
      <c r="M37" t="str">
        <f t="shared" si="39"/>
        <v>test2132143ABCaBC££$$test21321ABCaBC££$$test2132143ABCaBC££$$test21321aBC££$$test2132143ABCaBC££$$test21321ABCaBC££$$test2132143ABCaBC££$$test21321££$$test2132143ABCaBC££$$test21321ABCaBC££$$test2132143ABCaBC££$$test21321aBC££$$test2132143ABCaBC££$$test21321ABCaBC££$$test2132143ABCaBC££$$test21321</v>
      </c>
      <c r="N37" t="str">
        <f t="shared" si="39"/>
        <v>2132143ABCaBC££$$test21321ABCaBC££$$test2132143ABCaBC££$$test21321aBC££$$test2132143ABCaBC££$$test21321ABCaBC££$$test2132143ABCaBC££$$test21321££$$test2132143ABCaBC££$$test21321ABCaBC££$$test2132143ABCaBC££$$test21321aBC££$$test2132143ABCaBC££$$test21321ABCaBC££$$test2132143ABCaBC££$$test21321test2132143ABCaBC££$$test21321ABCaBC££$$test2132143ABCaBC££$$test21321aBC££$$test2132143ABCaBC££$$test21321ABCaBC££$$test2132143ABCaBC££$$test21321££$$test2132143ABCaBC££$$test21321ABCaBC££$$test2132143ABCaBC££$$test21321aBC££$$test2132143ABCaBC££$$test21321ABCaBC££$$test2132143ABCaBC££$$test21321</v>
      </c>
      <c r="O37" t="s">
        <v>12</v>
      </c>
      <c r="P37" t="s">
        <v>13</v>
      </c>
      <c r="Q37" t="s">
        <v>14</v>
      </c>
      <c r="R37" t="s">
        <v>15</v>
      </c>
      <c r="S37" t="s">
        <v>16</v>
      </c>
      <c r="T37" t="s">
        <v>17</v>
      </c>
    </row>
    <row r="38" spans="2:20" x14ac:dyDescent="0.25">
      <c r="B38" s="1" t="s">
        <v>18</v>
      </c>
      <c r="C38">
        <v>43</v>
      </c>
      <c r="D38" t="s">
        <v>8</v>
      </c>
      <c r="E38" t="s">
        <v>9</v>
      </c>
      <c r="F38" t="s">
        <v>10</v>
      </c>
      <c r="G38" t="s">
        <v>11</v>
      </c>
      <c r="H38">
        <v>21321</v>
      </c>
      <c r="I38" t="str">
        <f>CONCATENATE(C38,D38)</f>
        <v>43ABC</v>
      </c>
      <c r="J38" t="str">
        <f t="shared" ref="J38:N38" si="40">CONCATENATE(D38,E38)</f>
        <v>ABCaBC</v>
      </c>
      <c r="K38" t="str">
        <f t="shared" si="40"/>
        <v>aBC££$$</v>
      </c>
      <c r="L38" t="str">
        <f t="shared" si="40"/>
        <v>££$$test</v>
      </c>
      <c r="M38" t="str">
        <f t="shared" si="40"/>
        <v>test21321</v>
      </c>
      <c r="N38" t="str">
        <f t="shared" si="40"/>
        <v>2132143ABC</v>
      </c>
      <c r="O38" t="s">
        <v>19</v>
      </c>
      <c r="P38" t="s">
        <v>20</v>
      </c>
      <c r="Q38" t="s">
        <v>21</v>
      </c>
      <c r="R38" t="s">
        <v>22</v>
      </c>
      <c r="S38" t="s">
        <v>23</v>
      </c>
      <c r="T38" t="s">
        <v>24</v>
      </c>
    </row>
    <row r="39" spans="2:20" x14ac:dyDescent="0.25">
      <c r="B39" s="1" t="s">
        <v>38</v>
      </c>
      <c r="C39" t="s">
        <v>57</v>
      </c>
      <c r="D39" t="s">
        <v>57</v>
      </c>
      <c r="E39" t="s">
        <v>57</v>
      </c>
      <c r="F39" t="s">
        <v>57</v>
      </c>
      <c r="G39" t="s">
        <v>57</v>
      </c>
      <c r="H39" t="s">
        <v>57</v>
      </c>
      <c r="I39" t="str">
        <f>LEFT(C39,5)</f>
        <v xml:space="preserve">Test </v>
      </c>
      <c r="J39" t="str">
        <f>LEFT(D39,10)</f>
        <v>Test and T</v>
      </c>
      <c r="K39" t="str">
        <f>LEFT(E39,1)</f>
        <v>T</v>
      </c>
      <c r="L39" t="str">
        <f>LEFT(F39,15)</f>
        <v>Test and Test</v>
      </c>
      <c r="M39" t="str">
        <f>LEFT(G39,8)</f>
        <v>Test and</v>
      </c>
      <c r="N39" t="str">
        <f>LEFT(H39,2)</f>
        <v>Te</v>
      </c>
      <c r="O39" t="s">
        <v>58</v>
      </c>
      <c r="P39" t="s">
        <v>59</v>
      </c>
      <c r="Q39" t="s">
        <v>60</v>
      </c>
      <c r="R39" t="s">
        <v>57</v>
      </c>
      <c r="S39" t="s">
        <v>61</v>
      </c>
      <c r="T39" t="s">
        <v>62</v>
      </c>
    </row>
    <row r="40" spans="2:20" x14ac:dyDescent="0.25">
      <c r="B40" s="1" t="s">
        <v>39</v>
      </c>
      <c r="C40" t="s">
        <v>57</v>
      </c>
      <c r="D40" t="s">
        <v>57</v>
      </c>
      <c r="E40" t="s">
        <v>57</v>
      </c>
      <c r="F40" t="s">
        <v>57</v>
      </c>
      <c r="G40" t="s">
        <v>57</v>
      </c>
      <c r="H40" t="s">
        <v>57</v>
      </c>
      <c r="I40" t="str">
        <f>RIGHT(C40,5)</f>
        <v xml:space="preserve"> Test</v>
      </c>
      <c r="J40" t="str">
        <f>RIGHT(D40,10)</f>
        <v>t and Test</v>
      </c>
      <c r="K40" t="str">
        <f>RIGHT(E40,1)</f>
        <v>t</v>
      </c>
      <c r="L40" t="str">
        <f>RIGHT(F40,15)</f>
        <v>Test and Test</v>
      </c>
      <c r="M40" t="str">
        <f>RIGHT(G40,8)</f>
        <v>and Test</v>
      </c>
      <c r="N40" t="str">
        <f>RIGHT(H40,2)</f>
        <v>st</v>
      </c>
      <c r="O40" t="s">
        <v>63</v>
      </c>
      <c r="P40" t="s">
        <v>64</v>
      </c>
      <c r="Q40" t="s">
        <v>65</v>
      </c>
      <c r="R40" t="s">
        <v>57</v>
      </c>
      <c r="S40" t="s">
        <v>66</v>
      </c>
      <c r="T40" t="s">
        <v>67</v>
      </c>
    </row>
    <row r="41" spans="2:20" x14ac:dyDescent="0.25">
      <c r="B41" s="1" t="s">
        <v>40</v>
      </c>
      <c r="C41" t="s">
        <v>57</v>
      </c>
      <c r="D41" t="s">
        <v>57</v>
      </c>
      <c r="E41" t="s">
        <v>57</v>
      </c>
      <c r="F41" t="s">
        <v>57</v>
      </c>
      <c r="G41" t="s">
        <v>57</v>
      </c>
      <c r="H41" t="s">
        <v>57</v>
      </c>
      <c r="I41" t="str">
        <f>MID(C41,1,1)</f>
        <v>T</v>
      </c>
      <c r="J41" t="str">
        <f>MID(D41,4,1)</f>
        <v>t</v>
      </c>
      <c r="K41" t="str">
        <f>MID(E41,3,4)</f>
        <v>st a</v>
      </c>
      <c r="L41" t="str">
        <f>MID(F41,7,9)</f>
        <v>nd Test</v>
      </c>
      <c r="M41" t="str">
        <f>MID(G41,1,4)</f>
        <v>Test</v>
      </c>
      <c r="N41" t="str">
        <f>MID(H41,6,5)</f>
        <v>and T</v>
      </c>
      <c r="O41" t="s">
        <v>60</v>
      </c>
      <c r="P41" t="s">
        <v>65</v>
      </c>
      <c r="Q41" t="s">
        <v>68</v>
      </c>
      <c r="R41" t="s">
        <v>69</v>
      </c>
      <c r="S41" t="s">
        <v>56</v>
      </c>
      <c r="T41" t="s">
        <v>70</v>
      </c>
    </row>
    <row r="42" spans="2:20" x14ac:dyDescent="0.25">
      <c r="B42" s="1" t="s">
        <v>26</v>
      </c>
    </row>
    <row r="43" spans="2:20" x14ac:dyDescent="0.25">
      <c r="B43" s="1" t="s">
        <v>27</v>
      </c>
    </row>
    <row r="44" spans="2:20" x14ac:dyDescent="0.25">
      <c r="B44" s="1" t="s">
        <v>28</v>
      </c>
    </row>
    <row r="45" spans="2:20" x14ac:dyDescent="0.25">
      <c r="B45" s="1" t="s">
        <v>29</v>
      </c>
    </row>
    <row r="46" spans="2:20" x14ac:dyDescent="0.25">
      <c r="B46" s="1" t="s">
        <v>30</v>
      </c>
    </row>
    <row r="47" spans="2:20" x14ac:dyDescent="0.25">
      <c r="B47" s="1" t="s">
        <v>31</v>
      </c>
    </row>
    <row r="48" spans="2:20" x14ac:dyDescent="0.25">
      <c r="B48" s="1" t="s">
        <v>32</v>
      </c>
    </row>
    <row r="49" spans="2:2" x14ac:dyDescent="0.25">
      <c r="B49" s="1" t="s">
        <v>33</v>
      </c>
    </row>
    <row r="50" spans="2:2" x14ac:dyDescent="0.25">
      <c r="B50" s="1" t="s">
        <v>34</v>
      </c>
    </row>
    <row r="51" spans="2:2" x14ac:dyDescent="0.25">
      <c r="B51" s="1" t="s">
        <v>35</v>
      </c>
    </row>
    <row r="52" spans="2:2" x14ac:dyDescent="0.25">
      <c r="B52" s="1" t="s">
        <v>36</v>
      </c>
    </row>
    <row r="53" spans="2:2" x14ac:dyDescent="0.25">
      <c r="B53" s="1" t="s">
        <v>37</v>
      </c>
    </row>
    <row r="54" spans="2:2" x14ac:dyDescent="0.25">
      <c r="B54" s="1" t="s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O'Donnell</dc:creator>
  <cp:lastModifiedBy>Michael O'Donnell</cp:lastModifiedBy>
  <dcterms:created xsi:type="dcterms:W3CDTF">2026-01-23T17:16:52Z</dcterms:created>
  <dcterms:modified xsi:type="dcterms:W3CDTF">2026-01-25T23:54:49Z</dcterms:modified>
</cp:coreProperties>
</file>