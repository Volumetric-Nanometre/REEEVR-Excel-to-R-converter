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unit\"/>
    </mc:Choice>
  </mc:AlternateContent>
  <xr:revisionPtr revIDLastSave="0" documentId="13_ncr:1_{B9245D35-AE45-4A41-AB5D-EF2DF556C52B}" xr6:coauthVersionLast="47" xr6:coauthVersionMax="47" xr10:uidLastSave="{00000000-0000-0000-0000-000000000000}"/>
  <bookViews>
    <workbookView xWindow="28680" yWindow="-120" windowWidth="29040" windowHeight="15720" xr2:uid="{A2A2A88B-2501-4D0B-BDBB-D0B2F7897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K16" i="1"/>
  <c r="L16" i="1"/>
  <c r="M16" i="1"/>
  <c r="N16" i="1"/>
  <c r="I16" i="1"/>
  <c r="J15" i="1"/>
  <c r="K15" i="1"/>
  <c r="L15" i="1"/>
  <c r="M15" i="1"/>
  <c r="N15" i="1"/>
  <c r="I15" i="1"/>
  <c r="J14" i="1"/>
  <c r="K14" i="1"/>
  <c r="L14" i="1"/>
  <c r="M14" i="1"/>
  <c r="N14" i="1"/>
  <c r="I14" i="1"/>
  <c r="J13" i="1" l="1"/>
  <c r="K13" i="1"/>
  <c r="L13" i="1"/>
  <c r="M13" i="1"/>
  <c r="N13" i="1"/>
  <c r="I13" i="1"/>
  <c r="N11" i="1"/>
  <c r="J12" i="1"/>
  <c r="K12" i="1"/>
  <c r="L12" i="1"/>
  <c r="M12" i="1"/>
  <c r="N12" i="1"/>
  <c r="I12" i="1"/>
  <c r="J11" i="1"/>
  <c r="K11" i="1"/>
  <c r="L11" i="1"/>
  <c r="M11" i="1"/>
  <c r="I11" i="1"/>
  <c r="J10" i="1"/>
  <c r="K10" i="1"/>
  <c r="L10" i="1"/>
  <c r="M10" i="1"/>
  <c r="N10" i="1"/>
  <c r="I10" i="1"/>
  <c r="M9" i="1"/>
  <c r="L9" i="1"/>
  <c r="K9" i="1"/>
  <c r="J9" i="1"/>
  <c r="I9" i="1"/>
  <c r="N9" i="1" s="1"/>
  <c r="K8" i="1"/>
  <c r="L8" i="1"/>
  <c r="J8" i="1"/>
  <c r="M8" i="1"/>
  <c r="I8" i="1"/>
  <c r="N8" i="1" s="1"/>
  <c r="N7" i="1"/>
  <c r="M7" i="1"/>
  <c r="L7" i="1"/>
  <c r="K7" i="1"/>
  <c r="J7" i="1"/>
  <c r="I7" i="1"/>
  <c r="L6" i="1"/>
  <c r="K6" i="1"/>
  <c r="J6" i="1"/>
  <c r="N6" i="1"/>
  <c r="I6" i="1"/>
  <c r="M6" i="1"/>
  <c r="M5" i="1"/>
  <c r="L5" i="1"/>
  <c r="K5" i="1"/>
  <c r="J5" i="1"/>
  <c r="I5" i="1"/>
  <c r="N5" i="1" s="1"/>
  <c r="M4" i="1"/>
  <c r="L4" i="1"/>
  <c r="K4" i="1"/>
  <c r="J4" i="1"/>
  <c r="I4" i="1"/>
  <c r="N4" i="1" s="1"/>
  <c r="H3" i="1"/>
  <c r="N3" i="1" s="1"/>
  <c r="L3" i="1"/>
  <c r="J3" i="1"/>
  <c r="K3" i="1"/>
  <c r="M3" i="1"/>
  <c r="I3" i="1"/>
</calcChain>
</file>

<file path=xl/sharedStrings.xml><?xml version="1.0" encoding="utf-8"?>
<sst xmlns="http://schemas.openxmlformats.org/spreadsheetml/2006/main" count="43" uniqueCount="31">
  <si>
    <t>Functions</t>
  </si>
  <si>
    <t>LN</t>
  </si>
  <si>
    <t>_xlfn.BETA.INV</t>
  </si>
  <si>
    <t>BETAINV</t>
  </si>
  <si>
    <t>_xlfn.NORM.INV</t>
  </si>
  <si>
    <t>NORMINV</t>
  </si>
  <si>
    <t>_xlfn.LOGNORM.INV</t>
  </si>
  <si>
    <t>INT</t>
  </si>
  <si>
    <t>LEN</t>
  </si>
  <si>
    <t>UPPER</t>
  </si>
  <si>
    <t>LOWER</t>
  </si>
  <si>
    <t>Inputs</t>
  </si>
  <si>
    <t>Tests</t>
  </si>
  <si>
    <t>Expected</t>
  </si>
  <si>
    <t>LOGINV</t>
  </si>
  <si>
    <t>asdasf</t>
  </si>
  <si>
    <t>AsDaSf</t>
  </si>
  <si>
    <t>ASDASF</t>
  </si>
  <si>
    <t>A12SD!</t>
  </si>
  <si>
    <t>123</t>
  </si>
  <si>
    <t>124</t>
  </si>
  <si>
    <t>a12sd!</t>
  </si>
  <si>
    <t>a1265A!</t>
  </si>
  <si>
    <t>A1265A!</t>
  </si>
  <si>
    <t>a1265a!</t>
  </si>
  <si>
    <t>absd</t>
  </si>
  <si>
    <t>1-!@w</t>
  </si>
  <si>
    <t>^^%%££</t>
  </si>
  <si>
    <t>NORMSINV</t>
  </si>
  <si>
    <t>_xlfn.NORM.S.INV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</si>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</sst>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-!@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0746-BD36-4A24-A5B0-69E2A8919C9E}">
  <dimension ref="B2:T16"/>
  <sheetViews>
    <sheetView tabSelected="1" workbookViewId="0">
      <selection activeCell="I16" sqref="I16"/>
    </sheetView>
  </sheetViews>
  <sheetFormatPr defaultRowHeight="15" x14ac:dyDescent="0.25"/>
  <cols>
    <col min="2" max="2" width="18.7109375" bestFit="1" customWidth="1"/>
  </cols>
  <sheetData>
    <row r="2" spans="2:20" x14ac:dyDescent="0.25">
      <c r="B2" t="s">
        <v>0</v>
      </c>
      <c r="C2" t="s">
        <v>11</v>
      </c>
      <c r="I2" t="s">
        <v>12</v>
      </c>
      <c r="O2" t="s">
        <v>13</v>
      </c>
    </row>
    <row r="3" spans="2:20" x14ac:dyDescent="0.25">
      <c r="B3" s="1" t="s">
        <v>1</v>
      </c>
      <c r="C3">
        <v>1</v>
      </c>
      <c r="D3">
        <v>4</v>
      </c>
      <c r="E3">
        <v>2.5</v>
      </c>
      <c r="F3">
        <v>0.1</v>
      </c>
      <c r="G3">
        <v>98</v>
      </c>
      <c r="H3">
        <f>EXP(1)</f>
        <v>2.7182818284590451</v>
      </c>
      <c r="I3">
        <f t="shared" ref="I3:N3" si="0">LN(C3)</f>
        <v>0</v>
      </c>
      <c r="J3">
        <f t="shared" si="0"/>
        <v>1.3862943611198906</v>
      </c>
      <c r="K3">
        <f t="shared" si="0"/>
        <v>0.91629073187415511</v>
      </c>
      <c r="L3">
        <f t="shared" si="0"/>
        <v>-2.3025850929940455</v>
      </c>
      <c r="M3">
        <f t="shared" si="0"/>
        <v>4.5849674786705723</v>
      </c>
      <c r="N3">
        <f t="shared" si="0"/>
        <v>1</v>
      </c>
      <c r="O3">
        <v>0</v>
      </c>
      <c r="P3">
        <v>1.3862943611198906</v>
      </c>
      <c r="Q3">
        <v>0.91629073187415511</v>
      </c>
      <c r="R3">
        <v>-2.3025850929940455</v>
      </c>
      <c r="S3">
        <v>4.5849674786705723</v>
      </c>
      <c r="T3">
        <v>1</v>
      </c>
    </row>
    <row r="4" spans="2:20" x14ac:dyDescent="0.25">
      <c r="B4" s="2" t="s">
        <v>2</v>
      </c>
      <c r="C4">
        <v>1</v>
      </c>
      <c r="D4">
        <v>3</v>
      </c>
      <c r="E4">
        <v>3</v>
      </c>
      <c r="F4">
        <v>4</v>
      </c>
      <c r="G4">
        <v>0.1</v>
      </c>
      <c r="H4">
        <v>3</v>
      </c>
      <c r="I4">
        <f>_xlfn.BETA.INV(0.5,C4,D4)</f>
        <v>0.20629947401590032</v>
      </c>
      <c r="J4">
        <f>_xlfn.BETA.INV(0.5,D4,E4)</f>
        <v>0.5</v>
      </c>
      <c r="K4">
        <f>_xlfn.BETA.INV(0.25,E4,F4)</f>
        <v>0.29691654830725756</v>
      </c>
      <c r="L4">
        <f>_xlfn.BETA.INV(0.35,F4,G4)</f>
        <v>0.99768983427875757</v>
      </c>
      <c r="M4">
        <f>_xlfn.BETA.INV(0.6,G4,H4)</f>
        <v>1.434912530680954E-3</v>
      </c>
      <c r="N4">
        <f>_xlfn.BETA.INV(0.75,H4,I4)</f>
        <v>0.99969777065642851</v>
      </c>
      <c r="O4">
        <v>0.20629947401590032</v>
      </c>
      <c r="P4">
        <v>0.5</v>
      </c>
      <c r="Q4">
        <v>0.29691654830725756</v>
      </c>
      <c r="R4">
        <v>0.99768983427875757</v>
      </c>
      <c r="S4">
        <v>1.434912530680954E-3</v>
      </c>
      <c r="T4">
        <v>0.99969777065642851</v>
      </c>
    </row>
    <row r="5" spans="2:20" x14ac:dyDescent="0.25">
      <c r="B5" s="2" t="s">
        <v>3</v>
      </c>
      <c r="C5">
        <v>1</v>
      </c>
      <c r="D5">
        <v>3</v>
      </c>
      <c r="E5">
        <v>3</v>
      </c>
      <c r="F5">
        <v>4</v>
      </c>
      <c r="G5">
        <v>0.1</v>
      </c>
      <c r="H5">
        <v>3</v>
      </c>
      <c r="I5">
        <f>BETAINV(0.5,C5,D5)</f>
        <v>0.20629947401590032</v>
      </c>
      <c r="J5">
        <f>BETAINV(0.5,D5,E5)</f>
        <v>0.5</v>
      </c>
      <c r="K5">
        <f>BETAINV(0.25,E5,F5)</f>
        <v>0.29691654830725756</v>
      </c>
      <c r="L5">
        <f>BETAINV(0.35,F5,G5)</f>
        <v>0.99768983427875757</v>
      </c>
      <c r="M5">
        <f>BETAINV(0.6,G5,H5)</f>
        <v>1.434912530680954E-3</v>
      </c>
      <c r="N5">
        <f>BETAINV(0.75,H5,I5)</f>
        <v>0.99969777065642851</v>
      </c>
      <c r="O5">
        <v>0.20629947401590032</v>
      </c>
      <c r="P5">
        <v>0.5</v>
      </c>
      <c r="Q5">
        <v>0.29691654830725756</v>
      </c>
      <c r="R5">
        <v>0.99768983427875757</v>
      </c>
      <c r="S5">
        <v>1.434912530680954E-3</v>
      </c>
      <c r="T5">
        <v>0.99969777065642851</v>
      </c>
    </row>
    <row r="6" spans="2:20" x14ac:dyDescent="0.25">
      <c r="B6" s="2" t="s">
        <v>4</v>
      </c>
      <c r="C6">
        <v>3</v>
      </c>
      <c r="D6">
        <v>6</v>
      </c>
      <c r="E6">
        <v>5</v>
      </c>
      <c r="F6">
        <v>10</v>
      </c>
      <c r="G6">
        <v>2.5499999999999998</v>
      </c>
      <c r="H6">
        <v>9</v>
      </c>
      <c r="I6">
        <f>_xlfn.NORM.INV(0.5,C6,D6)</f>
        <v>3</v>
      </c>
      <c r="J6">
        <f>_xlfn.NORM.INV(0.45,D6,E6)</f>
        <v>5.3716932657246304</v>
      </c>
      <c r="K6">
        <f>_xlfn.NORM.INV(0.45,E6,F6)</f>
        <v>3.7433865314492598</v>
      </c>
      <c r="L6">
        <f>_xlfn.NORM.INV(0.25,F6,G6)</f>
        <v>8.2800511369999903</v>
      </c>
      <c r="M6">
        <f>_xlfn.NORM.INV(0.65,G6,H6)</f>
        <v>6.0178841976681099</v>
      </c>
      <c r="N6">
        <f>_xlfn.NORM.INV(0.1,H6,E6)</f>
        <v>2.5922421722769968</v>
      </c>
      <c r="O6">
        <v>3</v>
      </c>
      <c r="P6">
        <v>5.3716932657246304</v>
      </c>
      <c r="Q6">
        <v>3.7433865314492598</v>
      </c>
      <c r="R6">
        <v>8.2800511369999903</v>
      </c>
      <c r="S6">
        <v>6.0178841976681099</v>
      </c>
      <c r="T6">
        <v>2.5922421722769968</v>
      </c>
    </row>
    <row r="7" spans="2:20" x14ac:dyDescent="0.25">
      <c r="B7" s="2" t="s">
        <v>5</v>
      </c>
      <c r="C7">
        <v>3</v>
      </c>
      <c r="D7">
        <v>6</v>
      </c>
      <c r="E7">
        <v>5</v>
      </c>
      <c r="F7">
        <v>10</v>
      </c>
      <c r="G7">
        <v>2.5499999999999998</v>
      </c>
      <c r="H7">
        <v>9</v>
      </c>
      <c r="I7">
        <f>_xlfn.NORM.INV(0.5,C7,D7)</f>
        <v>3</v>
      </c>
      <c r="J7">
        <f>NORMINV(0.45,D7,E7)</f>
        <v>5.3716932657246304</v>
      </c>
      <c r="K7">
        <f>NORMINV(0.45,E7,F7)</f>
        <v>3.7433865314492598</v>
      </c>
      <c r="L7">
        <f>NORMINV(0.25,F7,G7)</f>
        <v>8.2800511369999903</v>
      </c>
      <c r="M7">
        <f>NORMINV(0.65,G7,H7)</f>
        <v>6.0178841976681099</v>
      </c>
      <c r="N7">
        <f>NORMINV(0.1,H7,E7)</f>
        <v>2.5922421722769968</v>
      </c>
      <c r="O7">
        <v>3</v>
      </c>
      <c r="P7">
        <v>5.3716932657246304</v>
      </c>
      <c r="Q7">
        <v>3.7433865314492598</v>
      </c>
      <c r="R7">
        <v>8.2800511369999903</v>
      </c>
      <c r="S7">
        <v>6.0178841976681099</v>
      </c>
      <c r="T7">
        <v>2.5922421722769968</v>
      </c>
    </row>
    <row r="8" spans="2:20" x14ac:dyDescent="0.25">
      <c r="B8" s="2" t="s">
        <v>6</v>
      </c>
      <c r="C8">
        <v>0.1</v>
      </c>
      <c r="D8">
        <v>2</v>
      </c>
      <c r="E8">
        <v>3</v>
      </c>
      <c r="F8">
        <v>-3</v>
      </c>
      <c r="G8">
        <v>2</v>
      </c>
      <c r="H8">
        <v>1</v>
      </c>
      <c r="I8">
        <f>_xlfn.LOGNORM.INV(0.5,C8,D8)</f>
        <v>1.1051709180756477</v>
      </c>
      <c r="J8">
        <f>_xlfn.LOGNORM.INV(0.5,D8,E8)</f>
        <v>7.3890560989306504</v>
      </c>
      <c r="K8">
        <f>_xlfn.LOGNORM.INV(0.5,E8,G8)</f>
        <v>20.085536923187668</v>
      </c>
      <c r="L8">
        <f>_xlfn.LOGNORM.INV(0.5,F8,G8)</f>
        <v>4.9787068367863944E-2</v>
      </c>
      <c r="M8">
        <f>_xlfn.LOGNORM.INV(0.5,G8,H8)</f>
        <v>7.3890560989306504</v>
      </c>
      <c r="N8">
        <f>_xlfn.LOGNORM.INV(0.5,H8,I8)</f>
        <v>2.7182818284590451</v>
      </c>
      <c r="O8">
        <v>1.1051709180756477</v>
      </c>
      <c r="P8">
        <v>7.3890560989306504</v>
      </c>
      <c r="Q8">
        <v>20.085536923187668</v>
      </c>
      <c r="R8">
        <v>4.9787068367863944E-2</v>
      </c>
      <c r="S8">
        <v>7.3890560989306504</v>
      </c>
      <c r="T8">
        <v>2.7182818284590451</v>
      </c>
    </row>
    <row r="9" spans="2:20" x14ac:dyDescent="0.25">
      <c r="B9" s="2" t="s">
        <v>14</v>
      </c>
      <c r="C9">
        <v>0.1</v>
      </c>
      <c r="D9">
        <v>2</v>
      </c>
      <c r="E9">
        <v>3</v>
      </c>
      <c r="F9">
        <v>-3</v>
      </c>
      <c r="G9">
        <v>2</v>
      </c>
      <c r="H9">
        <v>1</v>
      </c>
      <c r="I9">
        <f>LOGINV(0.5,C9,D9)</f>
        <v>1.1051709180756477</v>
      </c>
      <c r="J9">
        <f>LOGINV(0.5,D9,E9)</f>
        <v>7.3890560989306504</v>
      </c>
      <c r="K9">
        <f>LOGINV(0.5,E9,G9)</f>
        <v>20.085536923187668</v>
      </c>
      <c r="L9">
        <f>LOGINV(0.5,F9,G9)</f>
        <v>4.9787068367863944E-2</v>
      </c>
      <c r="M9">
        <f>LOGINV(0.5,G9,H9)</f>
        <v>7.3890560989306504</v>
      </c>
      <c r="N9">
        <f>LOGINV(0.5,H9,I9)</f>
        <v>2.7182818284590451</v>
      </c>
      <c r="O9">
        <v>1.1051709180756477</v>
      </c>
      <c r="P9">
        <v>7.3890560989306504</v>
      </c>
      <c r="Q9">
        <v>20.085536923187668</v>
      </c>
      <c r="R9">
        <v>4.9787068367863944E-2</v>
      </c>
      <c r="S9">
        <v>7.3890560989306504</v>
      </c>
      <c r="T9">
        <v>2.7182818284590451</v>
      </c>
    </row>
    <row r="10" spans="2:20" x14ac:dyDescent="0.25">
      <c r="B10" s="2" t="s">
        <v>7</v>
      </c>
      <c r="C10">
        <v>0.1</v>
      </c>
      <c r="D10">
        <v>-2</v>
      </c>
      <c r="E10">
        <v>0.5</v>
      </c>
      <c r="F10">
        <v>0.6</v>
      </c>
      <c r="G10">
        <v>1.1000000000000001</v>
      </c>
      <c r="H10">
        <v>-1.9</v>
      </c>
      <c r="I10">
        <f t="shared" ref="I10:N10" si="1">INT(C10)</f>
        <v>0</v>
      </c>
      <c r="J10">
        <f t="shared" si="1"/>
        <v>-2</v>
      </c>
      <c r="K10">
        <f t="shared" si="1"/>
        <v>0</v>
      </c>
      <c r="L10">
        <f t="shared" si="1"/>
        <v>0</v>
      </c>
      <c r="M10">
        <f t="shared" si="1"/>
        <v>1</v>
      </c>
      <c r="N10">
        <f t="shared" si="1"/>
        <v>-2</v>
      </c>
      <c r="O10">
        <v>0</v>
      </c>
      <c r="P10">
        <v>-2</v>
      </c>
      <c r="Q10">
        <v>0</v>
      </c>
      <c r="R10">
        <v>0</v>
      </c>
      <c r="S10">
        <v>1</v>
      </c>
      <c r="T10">
        <v>-2</v>
      </c>
    </row>
    <row r="11" spans="2:20" x14ac:dyDescent="0.25">
      <c r="B11" s="2" t="s">
        <v>9</v>
      </c>
      <c r="C11" t="s">
        <v>15</v>
      </c>
      <c r="D11" t="s">
        <v>16</v>
      </c>
      <c r="E11" t="s">
        <v>17</v>
      </c>
      <c r="F11">
        <v>123</v>
      </c>
      <c r="G11" t="s">
        <v>18</v>
      </c>
      <c r="H11" t="s">
        <v>22</v>
      </c>
      <c r="I11" t="str">
        <f t="shared" ref="I11:N11" si="2">UPPER(C11)</f>
        <v>ASDASF</v>
      </c>
      <c r="J11" t="str">
        <f t="shared" si="2"/>
        <v>ASDASF</v>
      </c>
      <c r="K11" t="str">
        <f t="shared" si="2"/>
        <v>ASDASF</v>
      </c>
      <c r="L11" t="str">
        <f t="shared" si="2"/>
        <v>123</v>
      </c>
      <c r="M11" t="str">
        <f t="shared" si="2"/>
        <v>A12SD!</v>
      </c>
      <c r="N11" t="str">
        <f t="shared" si="2"/>
        <v>A1265A!</v>
      </c>
      <c r="O11" t="s">
        <v>17</v>
      </c>
      <c r="P11" t="s">
        <v>17</v>
      </c>
      <c r="Q11" t="s">
        <v>17</v>
      </c>
      <c r="R11" t="s">
        <v>19</v>
      </c>
      <c r="S11" t="s">
        <v>18</v>
      </c>
      <c r="T11" t="s">
        <v>23</v>
      </c>
    </row>
    <row r="12" spans="2:20" x14ac:dyDescent="0.25">
      <c r="B12" s="2" t="s">
        <v>10</v>
      </c>
      <c r="C12" t="s">
        <v>15</v>
      </c>
      <c r="D12" t="s">
        <v>16</v>
      </c>
      <c r="E12" t="s">
        <v>17</v>
      </c>
      <c r="F12">
        <v>124</v>
      </c>
      <c r="G12" t="s">
        <v>18</v>
      </c>
      <c r="H12" t="s">
        <v>22</v>
      </c>
      <c r="I12" t="str">
        <f t="shared" ref="I12:N12" si="3">LOWER(C12)</f>
        <v>asdasf</v>
      </c>
      <c r="J12" t="str">
        <f t="shared" si="3"/>
        <v>asdasf</v>
      </c>
      <c r="K12" t="str">
        <f t="shared" si="3"/>
        <v>asdasf</v>
      </c>
      <c r="L12" t="str">
        <f t="shared" si="3"/>
        <v>124</v>
      </c>
      <c r="M12" t="str">
        <f t="shared" si="3"/>
        <v>a12sd!</v>
      </c>
      <c r="N12" t="str">
        <f t="shared" si="3"/>
        <v>a1265a!</v>
      </c>
      <c r="O12" t="s">
        <v>15</v>
      </c>
      <c r="P12" t="s">
        <v>15</v>
      </c>
      <c r="Q12" t="s">
        <v>15</v>
      </c>
      <c r="R12" t="s">
        <v>20</v>
      </c>
      <c r="S12" t="s">
        <v>21</v>
      </c>
      <c r="T12" t="s">
        <v>24</v>
      </c>
    </row>
    <row r="13" spans="2:20" x14ac:dyDescent="0.25">
      <c r="B13" s="2" t="s">
        <v>8</v>
      </c>
      <c r="C13">
        <v>2.2999999999999998</v>
      </c>
      <c r="D13">
        <v>0</v>
      </c>
      <c r="E13">
        <v>21</v>
      </c>
      <c r="F13" t="s">
        <v>25</v>
      </c>
      <c r="G13" s="3" t="s">
        <v>26</v>
      </c>
      <c r="H13" t="s">
        <v>27</v>
      </c>
      <c r="I13">
        <f t="shared" ref="I13:N13" si="4">LEN(C13)</f>
        <v>3</v>
      </c>
      <c r="J13">
        <f t="shared" si="4"/>
        <v>1</v>
      </c>
      <c r="K13">
        <f t="shared" si="4"/>
        <v>2</v>
      </c>
      <c r="L13">
        <f t="shared" si="4"/>
        <v>4</v>
      </c>
      <c r="M13">
        <f t="shared" si="4"/>
        <v>5</v>
      </c>
      <c r="N13">
        <f t="shared" si="4"/>
        <v>6</v>
      </c>
      <c r="O13">
        <v>3</v>
      </c>
      <c r="P13">
        <v>1</v>
      </c>
      <c r="Q13">
        <v>2</v>
      </c>
      <c r="R13">
        <v>4</v>
      </c>
      <c r="S13">
        <v>5</v>
      </c>
      <c r="T13">
        <v>6</v>
      </c>
    </row>
    <row r="14" spans="2:20" ht="15.75" customHeight="1" x14ac:dyDescent="0.25">
      <c r="B14" s="2" t="s">
        <v>28</v>
      </c>
      <c r="C14">
        <v>0.2</v>
      </c>
      <c r="D14">
        <v>0.1</v>
      </c>
      <c r="E14">
        <v>0.5</v>
      </c>
      <c r="F14">
        <v>0.6</v>
      </c>
      <c r="G14">
        <v>0.9</v>
      </c>
      <c r="H14">
        <v>0.65</v>
      </c>
      <c r="I14">
        <f>NORMSINV(C14)</f>
        <v>-0.84162123357291452</v>
      </c>
      <c r="J14">
        <f t="shared" ref="J14:N14" si="5">NORMSINV(D14)</f>
        <v>-1.2815515655446006</v>
      </c>
      <c r="K14">
        <f t="shared" si="5"/>
        <v>0</v>
      </c>
      <c r="L14">
        <f t="shared" si="5"/>
        <v>0.25334710313579978</v>
      </c>
      <c r="M14">
        <f t="shared" si="5"/>
        <v>1.2815515655446006</v>
      </c>
      <c r="N14">
        <f t="shared" si="5"/>
        <v>0.38532046640756784</v>
      </c>
      <c r="O14">
        <v>-0.84162123357291452</v>
      </c>
      <c r="P14">
        <v>-1.2815515655446006</v>
      </c>
      <c r="Q14">
        <v>0</v>
      </c>
      <c r="R14">
        <v>0.25334710313579978</v>
      </c>
      <c r="S14">
        <v>1.2815515655446006</v>
      </c>
      <c r="T14">
        <v>0.38532046640756784</v>
      </c>
    </row>
    <row r="15" spans="2:20" ht="15.75" customHeight="1" x14ac:dyDescent="0.25">
      <c r="B15" s="2" t="s">
        <v>29</v>
      </c>
      <c r="C15">
        <v>0.2</v>
      </c>
      <c r="D15">
        <v>0.1</v>
      </c>
      <c r="E15">
        <v>0.5</v>
      </c>
      <c r="F15">
        <v>0.6</v>
      </c>
      <c r="G15">
        <v>0.9</v>
      </c>
      <c r="H15">
        <v>0.65</v>
      </c>
      <c r="I15">
        <f>_xlfn.NORM.S.INV(C15)</f>
        <v>-0.84162123357291452</v>
      </c>
      <c r="J15">
        <f t="shared" ref="J15:N15" si="6">_xlfn.NORM.S.INV(D15)</f>
        <v>-1.2815515655446006</v>
      </c>
      <c r="K15">
        <f t="shared" si="6"/>
        <v>0</v>
      </c>
      <c r="L15">
        <f t="shared" si="6"/>
        <v>0.25334710313579978</v>
      </c>
      <c r="M15">
        <f t="shared" si="6"/>
        <v>1.2815515655446006</v>
      </c>
      <c r="N15">
        <f t="shared" si="6"/>
        <v>0.38532046640756784</v>
      </c>
      <c r="O15">
        <v>-0.84162123357291452</v>
      </c>
      <c r="P15">
        <v>-1.2815515655446006</v>
      </c>
      <c r="Q15">
        <v>0</v>
      </c>
      <c r="R15">
        <v>0.25334710313579978</v>
      </c>
      <c r="S15">
        <v>1.2815515655446006</v>
      </c>
      <c r="T15">
        <v>0.38532046640756784</v>
      </c>
    </row>
    <row r="16" spans="2:20" x14ac:dyDescent="0.25">
      <c r="B16" s="2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f>PI()</f>
        <v>3.1415926535897931</v>
      </c>
      <c r="J16">
        <f>PI()</f>
        <v>3.1415926535897931</v>
      </c>
      <c r="K16">
        <f>PI()</f>
        <v>3.1415926535897931</v>
      </c>
      <c r="L16">
        <f>PI()</f>
        <v>3.1415926535897931</v>
      </c>
      <c r="M16">
        <f>PI()</f>
        <v>3.1415926535897931</v>
      </c>
      <c r="N16">
        <f>PI()</f>
        <v>3.1415926535897931</v>
      </c>
      <c r="O16">
        <v>3.1415926535897931</v>
      </c>
      <c r="P16">
        <v>3.1415926535897931</v>
      </c>
      <c r="Q16">
        <v>3.1415926535897931</v>
      </c>
      <c r="R16">
        <v>3.1415926535897931</v>
      </c>
      <c r="S16">
        <v>3.1415926535897931</v>
      </c>
      <c r="T16">
        <v>3.1415926535897931</v>
      </c>
    </row>
  </sheetData>
  <hyperlinks>
    <hyperlink ref="G13" r:id="rId1" xr:uid="{195215D6-96AC-4D8E-AAF1-BDB0309BA3A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2026-01-23T15:11:56Z</dcterms:created>
  <dcterms:modified xsi:type="dcterms:W3CDTF">2026-02-01T23:27:58Z</dcterms:modified>
</cp:coreProperties>
</file>