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14776\PycharmProjects\Excel-R-compiler\reeevr\test\excelunit\"/>
    </mc:Choice>
  </mc:AlternateContent>
  <xr:revisionPtr revIDLastSave="0" documentId="13_ncr:1_{18B40D46-F694-471B-9BC9-50920B866A4B}" xr6:coauthVersionLast="47" xr6:coauthVersionMax="47" xr10:uidLastSave="{00000000-0000-0000-0000-000000000000}"/>
  <bookViews>
    <workbookView xWindow="-120" yWindow="-120" windowWidth="29040" windowHeight="15720" xr2:uid="{51741016-DE60-49DF-9826-25EB96E04C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3" i="1" l="1"/>
  <c r="J63" i="1"/>
  <c r="K63" i="1"/>
  <c r="L63" i="1"/>
  <c r="M63" i="1"/>
  <c r="N63" i="1"/>
  <c r="N61" i="1"/>
  <c r="J61" i="1"/>
  <c r="K61" i="1"/>
  <c r="L61" i="1"/>
  <c r="M61" i="1"/>
  <c r="I61" i="1"/>
  <c r="N60" i="1"/>
  <c r="J60" i="1"/>
  <c r="K60" i="1"/>
  <c r="L60" i="1"/>
  <c r="M60" i="1"/>
  <c r="I60" i="1"/>
  <c r="J65" i="1"/>
  <c r="K65" i="1"/>
  <c r="L65" i="1"/>
  <c r="M65" i="1"/>
  <c r="N65" i="1"/>
  <c r="I65" i="1"/>
  <c r="K64" i="1"/>
  <c r="N64" i="1"/>
  <c r="J64" i="1"/>
  <c r="L64" i="1"/>
  <c r="M64" i="1"/>
  <c r="I64" i="1"/>
  <c r="N62" i="1"/>
  <c r="J62" i="1"/>
  <c r="K62" i="1"/>
  <c r="L62" i="1"/>
  <c r="M62" i="1"/>
  <c r="I62" i="1"/>
  <c r="N59" i="1"/>
  <c r="J59" i="1"/>
  <c r="K59" i="1"/>
  <c r="L59" i="1"/>
  <c r="M59" i="1"/>
  <c r="I59" i="1"/>
  <c r="N58" i="1"/>
  <c r="J58" i="1"/>
  <c r="K58" i="1"/>
  <c r="L58" i="1"/>
  <c r="M58" i="1"/>
  <c r="I58" i="1"/>
  <c r="N57" i="1"/>
  <c r="J57" i="1"/>
  <c r="K57" i="1"/>
  <c r="L57" i="1"/>
  <c r="M57" i="1"/>
  <c r="I57" i="1"/>
  <c r="N56" i="1"/>
  <c r="J56" i="1"/>
  <c r="K56" i="1"/>
  <c r="L56" i="1"/>
  <c r="M56" i="1"/>
  <c r="I56" i="1"/>
  <c r="N55" i="1"/>
  <c r="J55" i="1"/>
  <c r="K55" i="1"/>
  <c r="L55" i="1"/>
  <c r="M55" i="1"/>
  <c r="I55" i="1"/>
  <c r="N54" i="1"/>
  <c r="I54" i="1"/>
  <c r="J54" i="1"/>
  <c r="K54" i="1"/>
  <c r="L54" i="1"/>
  <c r="M54" i="1"/>
  <c r="J53" i="1"/>
  <c r="K53" i="1"/>
  <c r="L53" i="1"/>
  <c r="M53" i="1"/>
  <c r="N53" i="1"/>
  <c r="I53" i="1"/>
  <c r="J52" i="1"/>
  <c r="K52" i="1"/>
  <c r="L52" i="1"/>
  <c r="M52" i="1"/>
  <c r="N52" i="1"/>
  <c r="I52" i="1"/>
  <c r="I51" i="1"/>
  <c r="N51" i="1"/>
  <c r="J51" i="1"/>
  <c r="K51" i="1"/>
  <c r="L51" i="1"/>
  <c r="M51" i="1"/>
  <c r="J50" i="1"/>
  <c r="K50" i="1"/>
  <c r="L50" i="1"/>
  <c r="M50" i="1"/>
  <c r="N50" i="1"/>
  <c r="I50" i="1"/>
  <c r="N49" i="1"/>
  <c r="J49" i="1"/>
  <c r="K49" i="1"/>
  <c r="L49" i="1"/>
  <c r="M49" i="1"/>
  <c r="I49" i="1"/>
  <c r="N48" i="1"/>
  <c r="N47" i="1"/>
  <c r="J47" i="1"/>
  <c r="K47" i="1"/>
  <c r="L47" i="1"/>
  <c r="M47" i="1"/>
  <c r="J48" i="1"/>
  <c r="K48" i="1"/>
  <c r="L48" i="1"/>
  <c r="M48" i="1"/>
  <c r="I48" i="1"/>
  <c r="I47" i="1"/>
  <c r="N45" i="1"/>
  <c r="N46" i="1"/>
  <c r="J46" i="1"/>
  <c r="K46" i="1"/>
  <c r="L46" i="1"/>
  <c r="M46" i="1"/>
  <c r="I46" i="1"/>
  <c r="J45" i="1"/>
  <c r="K45" i="1"/>
  <c r="L45" i="1"/>
  <c r="M45" i="1"/>
  <c r="I45" i="1"/>
  <c r="I41" i="1"/>
  <c r="I40" i="1"/>
  <c r="I43" i="1"/>
  <c r="I42" i="1"/>
  <c r="I38" i="1"/>
  <c r="I39" i="1"/>
  <c r="I44" i="1"/>
  <c r="J43" i="1"/>
  <c r="K43" i="1"/>
  <c r="L43" i="1"/>
  <c r="M43" i="1"/>
  <c r="N43" i="1"/>
  <c r="N42" i="1"/>
  <c r="J42" i="1"/>
  <c r="K42" i="1"/>
  <c r="L42" i="1"/>
  <c r="M42" i="1"/>
  <c r="N41" i="1"/>
  <c r="J41" i="1"/>
  <c r="K41" i="1"/>
  <c r="L41" i="1"/>
  <c r="M41" i="1"/>
  <c r="N39" i="1"/>
  <c r="J39" i="1"/>
  <c r="K39" i="1"/>
  <c r="L39" i="1"/>
  <c r="M39" i="1"/>
  <c r="N38" i="1"/>
  <c r="J38" i="1"/>
  <c r="K38" i="1"/>
  <c r="L38" i="1"/>
  <c r="M38" i="1"/>
  <c r="J44" i="1"/>
  <c r="K44" i="1"/>
  <c r="L44" i="1"/>
  <c r="M44" i="1"/>
  <c r="N44" i="1"/>
  <c r="N40" i="1"/>
  <c r="J40" i="1"/>
  <c r="K40" i="1"/>
  <c r="L40" i="1"/>
  <c r="M40" i="1"/>
  <c r="N37" i="1"/>
  <c r="J37" i="1"/>
  <c r="K37" i="1"/>
  <c r="L37" i="1"/>
  <c r="M37" i="1"/>
  <c r="J36" i="1"/>
  <c r="I22" i="1"/>
  <c r="I21" i="1"/>
  <c r="I29" i="1"/>
  <c r="N29" i="1" s="1"/>
  <c r="I37" i="1"/>
  <c r="N36" i="1"/>
  <c r="K36" i="1"/>
  <c r="L36" i="1"/>
  <c r="M36" i="1"/>
  <c r="I36" i="1"/>
  <c r="N35" i="1"/>
  <c r="J35" i="1"/>
  <c r="K35" i="1"/>
  <c r="L35" i="1"/>
  <c r="M35" i="1"/>
  <c r="I35" i="1"/>
  <c r="J34" i="1"/>
  <c r="I34" i="1"/>
  <c r="I25" i="1"/>
  <c r="N25" i="1" s="1"/>
  <c r="I24" i="1"/>
  <c r="I14" i="1"/>
  <c r="N14" i="1" s="1"/>
  <c r="I4" i="1"/>
  <c r="I30" i="1"/>
  <c r="I32" i="1"/>
  <c r="I33" i="1"/>
  <c r="I28" i="1"/>
  <c r="N28" i="1" s="1"/>
  <c r="L3" i="1"/>
  <c r="N33" i="1"/>
  <c r="J33" i="1"/>
  <c r="K33" i="1"/>
  <c r="L33" i="1"/>
  <c r="M33" i="1"/>
  <c r="N32" i="1"/>
  <c r="J32" i="1"/>
  <c r="K32" i="1"/>
  <c r="L32" i="1"/>
  <c r="M32" i="1"/>
  <c r="N31" i="1"/>
  <c r="J31" i="1"/>
  <c r="K31" i="1"/>
  <c r="L31" i="1"/>
  <c r="M31" i="1"/>
  <c r="I31" i="1"/>
  <c r="N30" i="1"/>
  <c r="J30" i="1"/>
  <c r="K30" i="1"/>
  <c r="L30" i="1"/>
  <c r="M30" i="1"/>
  <c r="J27" i="1"/>
  <c r="K27" i="1"/>
  <c r="L27" i="1"/>
  <c r="M27" i="1"/>
  <c r="I27" i="1"/>
  <c r="N27" i="1" s="1"/>
  <c r="L29" i="1"/>
  <c r="J29" i="1"/>
  <c r="K29" i="1"/>
  <c r="M29" i="1"/>
  <c r="M28" i="1"/>
  <c r="L28" i="1"/>
  <c r="K28" i="1"/>
  <c r="J28" i="1"/>
  <c r="J26" i="1"/>
  <c r="K26" i="1"/>
  <c r="L26" i="1"/>
  <c r="M26" i="1"/>
  <c r="I26" i="1"/>
  <c r="N26" i="1" s="1"/>
  <c r="M25" i="1"/>
  <c r="L25" i="1"/>
  <c r="J25" i="1"/>
  <c r="K25" i="1"/>
  <c r="N24" i="1"/>
  <c r="L24" i="1"/>
  <c r="J24" i="1"/>
  <c r="K24" i="1"/>
  <c r="M24" i="1"/>
  <c r="I23" i="1"/>
  <c r="N23" i="1"/>
  <c r="J23" i="1"/>
  <c r="K23" i="1"/>
  <c r="L23" i="1"/>
  <c r="M23" i="1"/>
  <c r="N22" i="1"/>
  <c r="J22" i="1"/>
  <c r="K22" i="1"/>
  <c r="L22" i="1"/>
  <c r="M22" i="1"/>
  <c r="N21" i="1"/>
  <c r="J21" i="1"/>
  <c r="K21" i="1"/>
  <c r="L21" i="1"/>
  <c r="M21" i="1"/>
  <c r="N19" i="1"/>
  <c r="J19" i="1"/>
  <c r="K19" i="1"/>
  <c r="L19" i="1"/>
  <c r="M19" i="1"/>
  <c r="I19" i="1"/>
  <c r="I20" i="1"/>
  <c r="J20" i="1"/>
  <c r="K20" i="1"/>
  <c r="L20" i="1"/>
  <c r="M20" i="1"/>
  <c r="N20" i="1"/>
  <c r="I18" i="1"/>
  <c r="N18" i="1"/>
  <c r="J18" i="1"/>
  <c r="K18" i="1"/>
  <c r="L18" i="1"/>
  <c r="M18" i="1"/>
  <c r="I17" i="1"/>
  <c r="J17" i="1"/>
  <c r="K17" i="1"/>
  <c r="L17" i="1"/>
  <c r="M17" i="1"/>
  <c r="N17" i="1"/>
  <c r="N16" i="1"/>
  <c r="J16" i="1"/>
  <c r="K16" i="1"/>
  <c r="L16" i="1"/>
  <c r="M16" i="1"/>
  <c r="I16" i="1"/>
  <c r="N13" i="1"/>
  <c r="M13" i="1"/>
  <c r="L13" i="1"/>
  <c r="K13" i="1"/>
  <c r="J13" i="1"/>
  <c r="I13" i="1"/>
  <c r="N12" i="1"/>
  <c r="J12" i="1"/>
  <c r="K12" i="1"/>
  <c r="L12" i="1"/>
  <c r="M12" i="1"/>
  <c r="I12" i="1"/>
  <c r="N11" i="1"/>
  <c r="J11" i="1"/>
  <c r="K11" i="1"/>
  <c r="L11" i="1"/>
  <c r="M11" i="1"/>
  <c r="I11" i="1"/>
  <c r="N10" i="1"/>
  <c r="I10" i="1"/>
  <c r="L10" i="1"/>
  <c r="J10" i="1"/>
  <c r="K10" i="1"/>
  <c r="M10" i="1"/>
  <c r="I7" i="1"/>
  <c r="I9" i="1"/>
  <c r="J8" i="1"/>
  <c r="K8" i="1"/>
  <c r="L8" i="1"/>
  <c r="M8" i="1"/>
  <c r="N8" i="1"/>
  <c r="I8" i="1"/>
  <c r="N6" i="1"/>
  <c r="J6" i="1"/>
  <c r="K6" i="1"/>
  <c r="L6" i="1"/>
  <c r="M6" i="1"/>
  <c r="I6" i="1"/>
  <c r="J4" i="1"/>
  <c r="K4" i="1"/>
  <c r="L4" i="1"/>
  <c r="M4" i="1"/>
  <c r="N4" i="1"/>
  <c r="J9" i="1"/>
  <c r="K9" i="1"/>
  <c r="L9" i="1"/>
  <c r="M9" i="1"/>
  <c r="N9" i="1"/>
  <c r="J7" i="1"/>
  <c r="K7" i="1"/>
  <c r="L7" i="1"/>
  <c r="M7" i="1"/>
  <c r="N7" i="1"/>
  <c r="N5" i="1"/>
  <c r="J5" i="1"/>
  <c r="K5" i="1"/>
  <c r="L5" i="1"/>
  <c r="M5" i="1"/>
  <c r="I5" i="1"/>
  <c r="J15" i="1"/>
  <c r="I3" i="1"/>
  <c r="J3" i="1"/>
  <c r="K3" i="1"/>
  <c r="N3" i="1"/>
  <c r="M3" i="1"/>
  <c r="K14" i="1"/>
  <c r="N34" i="1"/>
  <c r="M34" i="1"/>
  <c r="L34" i="1"/>
  <c r="K34" i="1"/>
  <c r="M15" i="1"/>
  <c r="L15" i="1"/>
  <c r="K15" i="1"/>
  <c r="I15" i="1"/>
  <c r="N15" i="1" s="1"/>
  <c r="M14" i="1"/>
  <c r="L14" i="1"/>
  <c r="J14" i="1"/>
</calcChain>
</file>

<file path=xl/sharedStrings.xml><?xml version="1.0" encoding="utf-8"?>
<sst xmlns="http://schemas.openxmlformats.org/spreadsheetml/2006/main" count="67" uniqueCount="43">
  <si>
    <t>_xlfn.GAMMA.INV</t>
  </si>
  <si>
    <t>GAMMAINV</t>
  </si>
  <si>
    <t>_xlfn.BINOM.INV</t>
  </si>
  <si>
    <t>Functions</t>
  </si>
  <si>
    <t>Inputs</t>
  </si>
  <si>
    <t>Tests</t>
  </si>
  <si>
    <t>Expected</t>
  </si>
  <si>
    <t>_xlfn.NORM.DIST</t>
  </si>
  <si>
    <t>NORMDIST</t>
  </si>
  <si>
    <t>_xlfn.NORM.S.DIST</t>
  </si>
  <si>
    <t>NORMSDIST</t>
  </si>
  <si>
    <t>_xlfn.GAMMA.DIST</t>
  </si>
  <si>
    <t>GAMMADIST</t>
  </si>
  <si>
    <t>_xlfn.LOGNORM.DIST</t>
  </si>
  <si>
    <t>LOGNORMDIST</t>
  </si>
  <si>
    <t>_xlfn.BINOM.DIST</t>
  </si>
  <si>
    <t>BINOMDIST</t>
  </si>
  <si>
    <t>_xlfn.BETA.DIST</t>
  </si>
  <si>
    <t>BETADIST</t>
  </si>
  <si>
    <t>_xlfn.WEIBULL.DIST</t>
  </si>
  <si>
    <t>WEIBULL</t>
  </si>
  <si>
    <t>_xlfn.NEGBINOM.DIST</t>
  </si>
  <si>
    <t>NEGBINOMDIST</t>
  </si>
  <si>
    <t>CHIDIST</t>
  </si>
  <si>
    <t>CHIINV</t>
  </si>
  <si>
    <t>_xlfn.CHISQ.DIST</t>
  </si>
  <si>
    <t>_xlfn.CHISQ.DIST.RT</t>
  </si>
  <si>
    <t>_xlfn.CHISQ.INV</t>
  </si>
  <si>
    <t>_xlfn.CHISQ.INV.RT</t>
  </si>
  <si>
    <t>EXPON.DIST</t>
  </si>
  <si>
    <t>EXPONDIST</t>
  </si>
  <si>
    <t>F.DIST</t>
  </si>
  <si>
    <t>F.DIST.RT</t>
  </si>
  <si>
    <t>F.INV</t>
  </si>
  <si>
    <t>F.INV.RT</t>
  </si>
  <si>
    <t>POISSON</t>
  </si>
  <si>
    <t>POISSON.DIST</t>
  </si>
  <si>
    <t>T.DIST</t>
  </si>
  <si>
    <t>T.DIST.2T</t>
  </si>
  <si>
    <t>T.DIST.RT</t>
  </si>
  <si>
    <t>T.INV</t>
  </si>
  <si>
    <t>T.INV.2T</t>
  </si>
  <si>
    <t>TDIST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</si>
</sst>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upport.microsoft.com/en-us/office/t-dist-function-4329459f-ae91-48c2-bba8-1ead1c6c21b2" TargetMode="External"/><Relationship Id="rId13" Type="http://schemas.openxmlformats.org/officeDocument/2006/relationships/hyperlink" Target="https://support.microsoft.com/en-us/office/f-dist-function-a887efdc-7c8e-46cb-a74a-f884cd29b25d" TargetMode="External"/><Relationship Id="rId18" Type="http://schemas.openxmlformats.org/officeDocument/2006/relationships/hyperlink" Target="https://support.microsoft.com/en-us/office/f-dist-rt-function-d74cbb00-6017-4ac9-b7d7-6049badc0520" TargetMode="External"/><Relationship Id="rId3" Type="http://schemas.openxmlformats.org/officeDocument/2006/relationships/hyperlink" Target="https://support.microsoft.com/en-us/office/t-dist-function-4329459f-ae91-48c2-bba8-1ead1c6c21b2" TargetMode="External"/><Relationship Id="rId21" Type="http://schemas.openxmlformats.org/officeDocument/2006/relationships/hyperlink" Target="https://support.microsoft.com/en-us/office/t-dist-2t-function-198e9340-e360-4230-bd21-f52f22ff5c28" TargetMode="External"/><Relationship Id="rId7" Type="http://schemas.openxmlformats.org/officeDocument/2006/relationships/hyperlink" Target="https://support.microsoft.com/en-us/office/t-inv-2t-function-ce72ea19-ec6c-4be7-bed2-b9baf2264f17" TargetMode="External"/><Relationship Id="rId12" Type="http://schemas.openxmlformats.org/officeDocument/2006/relationships/hyperlink" Target="https://support.microsoft.com/en-us/office/poisson-dist-function-8fe148ff-39a2-46cb-abf3-7772695d9636" TargetMode="External"/><Relationship Id="rId17" Type="http://schemas.openxmlformats.org/officeDocument/2006/relationships/hyperlink" Target="https://support.microsoft.com/en-us/office/f-inv-function-0dda0cf9-4ea0-42fd-8c3c-417a1ff30dbe" TargetMode="External"/><Relationship Id="rId2" Type="http://schemas.openxmlformats.org/officeDocument/2006/relationships/hyperlink" Target="https://support.microsoft.com/en-us/office/tdist-function-630a7695-4021-4853-9468-4a1f9dcdd192" TargetMode="External"/><Relationship Id="rId16" Type="http://schemas.openxmlformats.org/officeDocument/2006/relationships/hyperlink" Target="https://support.microsoft.com/en-us/office/f-inv-rt-function-d371aa8f-b0b1-40ef-9cc2-496f0693ac00" TargetMode="External"/><Relationship Id="rId20" Type="http://schemas.openxmlformats.org/officeDocument/2006/relationships/hyperlink" Target="https://support.microsoft.com/en-us/office/expondist-function-68ab45fd-cd6d-4887-9770-9357eb8ee06a" TargetMode="External"/><Relationship Id="rId1" Type="http://schemas.openxmlformats.org/officeDocument/2006/relationships/hyperlink" Target="https://support.microsoft.com/en-us/office/expon-dist-function-4c12ae24-e563-4155-bf3e-8b78b6ae140e" TargetMode="External"/><Relationship Id="rId6" Type="http://schemas.openxmlformats.org/officeDocument/2006/relationships/hyperlink" Target="https://support.microsoft.com/en-us/office/t-inv-function-2908272b-4e61-4942-9df9-a25fec9b0e2e" TargetMode="External"/><Relationship Id="rId11" Type="http://schemas.openxmlformats.org/officeDocument/2006/relationships/hyperlink" Target="https://support.microsoft.com/en-us/office/poisson-function-d81f7294-9d7c-4f75-bc23-80aa8624173a" TargetMode="External"/><Relationship Id="rId5" Type="http://schemas.openxmlformats.org/officeDocument/2006/relationships/hyperlink" Target="https://support.microsoft.com/en-us/office/tdist-function-630a7695-4021-4853-9468-4a1f9dcdd192" TargetMode="External"/><Relationship Id="rId15" Type="http://schemas.openxmlformats.org/officeDocument/2006/relationships/hyperlink" Target="https://support.microsoft.com/en-us/office/expon-dist-function-4c12ae24-e563-4155-bf3e-8b78b6ae140e" TargetMode="External"/><Relationship Id="rId10" Type="http://schemas.openxmlformats.org/officeDocument/2006/relationships/hyperlink" Target="https://support.microsoft.com/en-us/office/poisson-function-d81f7294-9d7c-4f75-bc23-80aa8624173a" TargetMode="External"/><Relationship Id="rId19" Type="http://schemas.openxmlformats.org/officeDocument/2006/relationships/hyperlink" Target="https://support.microsoft.com/en-us/office/f-dist-function-a887efdc-7c8e-46cb-a74a-f884cd29b25d" TargetMode="External"/><Relationship Id="rId4" Type="http://schemas.openxmlformats.org/officeDocument/2006/relationships/hyperlink" Target="https://support.microsoft.com/en-us/office/t-dist-rt-function-20a30020-86f9-4b35-af1f-7ef6ae683eda" TargetMode="External"/><Relationship Id="rId9" Type="http://schemas.openxmlformats.org/officeDocument/2006/relationships/hyperlink" Target="https://support.microsoft.com/en-us/office/poisson-dist-function-8fe148ff-39a2-46cb-abf3-7772695d9636" TargetMode="External"/><Relationship Id="rId14" Type="http://schemas.openxmlformats.org/officeDocument/2006/relationships/hyperlink" Target="https://support.microsoft.com/en-us/office/expondist-function-68ab45fd-cd6d-4887-9770-9357eb8ee06a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F9ED-8125-4F1D-B85A-69D7CAC66BA2}">
  <dimension ref="B2:T82"/>
  <sheetViews>
    <sheetView tabSelected="1" workbookViewId="0">
      <selection activeCell="H31" sqref="H31"/>
    </sheetView>
  </sheetViews>
  <sheetFormatPr defaultRowHeight="15" x14ac:dyDescent="0.25"/>
  <cols>
    <col min="2" max="2" width="19.42578125" bestFit="1" customWidth="1"/>
    <col min="8" max="8" width="12.42578125" bestFit="1" customWidth="1"/>
    <col min="9" max="9" width="22.42578125" bestFit="1" customWidth="1"/>
    <col min="10" max="14" width="12" bestFit="1" customWidth="1"/>
    <col min="15" max="15" width="22.42578125" bestFit="1" customWidth="1"/>
  </cols>
  <sheetData>
    <row r="2" spans="2:20" x14ac:dyDescent="0.25">
      <c r="B2" t="s">
        <v>3</v>
      </c>
      <c r="C2" t="s">
        <v>4</v>
      </c>
      <c r="I2" t="s">
        <v>5</v>
      </c>
      <c r="O2" t="s">
        <v>6</v>
      </c>
    </row>
    <row r="3" spans="2:20" x14ac:dyDescent="0.25">
      <c r="B3" s="1" t="s">
        <v>7</v>
      </c>
      <c r="C3">
        <v>3</v>
      </c>
      <c r="D3">
        <v>6</v>
      </c>
      <c r="E3">
        <v>5</v>
      </c>
      <c r="F3">
        <v>10</v>
      </c>
      <c r="G3">
        <v>2.5499999999999998</v>
      </c>
      <c r="H3">
        <v>9</v>
      </c>
      <c r="I3">
        <f>_xlfn.NORM.DIST(0.25,C3,D3,FALSE)</f>
        <v>5.9860841152801568E-2</v>
      </c>
      <c r="J3">
        <f>_xlfn.NORM.DIST(0.25,D3,E3,FALSE)</f>
        <v>4.1187253743994956E-2</v>
      </c>
      <c r="K3">
        <f>_xlfn.NORM.DIST(0.25,E3,F3,FALSE)</f>
        <v>3.5638237652018324E-2</v>
      </c>
      <c r="L3">
        <f>_xlfn.NORM.DIST(0.25,F3,G3,FALSE)</f>
        <v>1.0466764918086227E-4</v>
      </c>
      <c r="M3">
        <f t="shared" ref="M3" si="0">_xlfn.NORM.DIST(0.25,G3,H3,FALSE)</f>
        <v>4.2902832416690871E-2</v>
      </c>
      <c r="N3">
        <f>_xlfn.NORM.DIST(0.25,H3,F3,FALSE)</f>
        <v>2.7205499837854353E-2</v>
      </c>
      <c r="O3">
        <v>5.9860841152801568E-2</v>
      </c>
      <c r="P3">
        <v>4.1187253743994956E-2</v>
      </c>
      <c r="Q3">
        <v>3.5638237652018324E-2</v>
      </c>
      <c r="R3">
        <v>1.0466764918086227E-4</v>
      </c>
      <c r="S3">
        <v>4.2902832416690871E-2</v>
      </c>
      <c r="T3">
        <v>2.7205499837854353E-2</v>
      </c>
    </row>
    <row r="4" spans="2:20" x14ac:dyDescent="0.25">
      <c r="B4" s="1" t="s">
        <v>7</v>
      </c>
      <c r="C4">
        <v>3</v>
      </c>
      <c r="D4">
        <v>6</v>
      </c>
      <c r="E4">
        <v>5</v>
      </c>
      <c r="F4">
        <v>10</v>
      </c>
      <c r="G4">
        <v>2.5499999999999998</v>
      </c>
      <c r="H4">
        <v>9</v>
      </c>
      <c r="I4">
        <f>_xlfn.NORM.DIST(0.25,C4,D4,TRUE)</f>
        <v>0.32335648980795001</v>
      </c>
      <c r="J4">
        <f t="shared" ref="J4:L4" si="1">_xlfn.NORM.DIST(0.25,D4,E4,TRUE)</f>
        <v>0.12507193563715024</v>
      </c>
      <c r="K4">
        <f t="shared" si="1"/>
        <v>0.31739348664125899</v>
      </c>
      <c r="L4">
        <f t="shared" si="1"/>
        <v>6.5777445359412927E-5</v>
      </c>
      <c r="M4">
        <f>_xlfn.NORM.DIST(0.25,G4,H4,TRUE)</f>
        <v>0.39914702023599202</v>
      </c>
      <c r="N4">
        <f>_xlfn.NORM.DIST(0.25,H4,F4,TRUE)</f>
        <v>0.19078695285251063</v>
      </c>
      <c r="O4">
        <v>0.32335648980795001</v>
      </c>
      <c r="P4">
        <v>0.12507193563715024</v>
      </c>
      <c r="Q4">
        <v>0.31739348664125899</v>
      </c>
      <c r="R4">
        <v>6.5777445359412927E-5</v>
      </c>
      <c r="S4">
        <v>0.39914702023599202</v>
      </c>
      <c r="T4">
        <v>0.19078695285251063</v>
      </c>
    </row>
    <row r="5" spans="2:20" x14ac:dyDescent="0.25">
      <c r="B5" s="1" t="s">
        <v>8</v>
      </c>
      <c r="C5">
        <v>3</v>
      </c>
      <c r="D5">
        <v>6</v>
      </c>
      <c r="E5">
        <v>5</v>
      </c>
      <c r="F5">
        <v>10</v>
      </c>
      <c r="G5">
        <v>2.5499999999999998</v>
      </c>
      <c r="H5">
        <v>9</v>
      </c>
      <c r="I5">
        <f>NORMDIST(0.25,C5,D5,FALSE)</f>
        <v>5.9860841152801568E-2</v>
      </c>
      <c r="J5">
        <f t="shared" ref="J5:M5" si="2">NORMDIST(0.25,D5,E5,FALSE)</f>
        <v>4.1187253743994956E-2</v>
      </c>
      <c r="K5">
        <f t="shared" si="2"/>
        <v>3.5638237652018324E-2</v>
      </c>
      <c r="L5">
        <f t="shared" si="2"/>
        <v>1.0466764918086227E-4</v>
      </c>
      <c r="M5">
        <f t="shared" si="2"/>
        <v>4.2902832416690871E-2</v>
      </c>
      <c r="N5">
        <f>NORMDIST(0.25,H5,G5,FALSE)</f>
        <v>4.3411951679379565E-4</v>
      </c>
      <c r="O5">
        <v>5.9860841152801568E-2</v>
      </c>
      <c r="P5">
        <v>4.1187253743994956E-2</v>
      </c>
      <c r="Q5">
        <v>3.5638237652018324E-2</v>
      </c>
      <c r="R5">
        <v>1.0466764918086227E-4</v>
      </c>
      <c r="S5">
        <v>4.2902832416690871E-2</v>
      </c>
      <c r="T5">
        <v>4.3411951679379565E-4</v>
      </c>
    </row>
    <row r="6" spans="2:20" x14ac:dyDescent="0.25">
      <c r="B6" s="1" t="s">
        <v>8</v>
      </c>
      <c r="C6">
        <v>3</v>
      </c>
      <c r="D6">
        <v>6</v>
      </c>
      <c r="E6">
        <v>5</v>
      </c>
      <c r="F6">
        <v>10</v>
      </c>
      <c r="G6">
        <v>2.5499999999999998</v>
      </c>
      <c r="H6">
        <v>9</v>
      </c>
      <c r="I6">
        <f>NORMDIST(0.25,C6,D6,TRUE)</f>
        <v>0.32335648980795001</v>
      </c>
      <c r="J6">
        <f t="shared" ref="J6:M6" si="3">NORMDIST(0.25,D6,E6,TRUE)</f>
        <v>0.12507193563715024</v>
      </c>
      <c r="K6">
        <f t="shared" si="3"/>
        <v>0.31739348664125899</v>
      </c>
      <c r="L6">
        <f t="shared" si="3"/>
        <v>6.5777445359412927E-5</v>
      </c>
      <c r="M6">
        <f t="shared" si="3"/>
        <v>0.39914702023599202</v>
      </c>
      <c r="N6">
        <f>NORMDIST(0.25,H6,F6,TRUE)</f>
        <v>0.19078695285251063</v>
      </c>
      <c r="O6">
        <v>0.32335648980795001</v>
      </c>
      <c r="P6">
        <v>0.12507193563715024</v>
      </c>
      <c r="Q6">
        <v>0.31739348664125899</v>
      </c>
      <c r="R6">
        <v>6.5777445359412927E-5</v>
      </c>
      <c r="S6">
        <v>0.39914702023599202</v>
      </c>
      <c r="T6">
        <v>0.19078695285251063</v>
      </c>
    </row>
    <row r="7" spans="2:20" x14ac:dyDescent="0.25">
      <c r="B7" s="1" t="s">
        <v>9</v>
      </c>
      <c r="C7">
        <v>0.1</v>
      </c>
      <c r="D7">
        <v>0.3</v>
      </c>
      <c r="E7">
        <v>0.5</v>
      </c>
      <c r="F7">
        <v>-1</v>
      </c>
      <c r="G7">
        <v>0</v>
      </c>
      <c r="H7">
        <v>5</v>
      </c>
      <c r="I7">
        <f>_xlfn.NORM.S.DIST(C7,FALSE)</f>
        <v>0.39695254747701181</v>
      </c>
      <c r="J7">
        <f t="shared" ref="J7:N7" si="4">_xlfn.NORM.S.DIST(D7,FALSE)</f>
        <v>0.38138781546052414</v>
      </c>
      <c r="K7">
        <f t="shared" si="4"/>
        <v>0.35206532676429952</v>
      </c>
      <c r="L7">
        <f t="shared" si="4"/>
        <v>0.24197072451914337</v>
      </c>
      <c r="M7">
        <f t="shared" si="4"/>
        <v>0.3989422804014327</v>
      </c>
      <c r="N7">
        <f t="shared" si="4"/>
        <v>1.4867195147342977E-6</v>
      </c>
      <c r="O7">
        <v>0.39695254747701181</v>
      </c>
      <c r="P7">
        <v>0.38138781546052414</v>
      </c>
      <c r="Q7">
        <v>0.35206532676429952</v>
      </c>
      <c r="R7">
        <v>0.24197072451914337</v>
      </c>
      <c r="S7">
        <v>0.3989422804014327</v>
      </c>
      <c r="T7">
        <v>1.4867195147342977E-6</v>
      </c>
    </row>
    <row r="8" spans="2:20" x14ac:dyDescent="0.25">
      <c r="B8" s="1" t="s">
        <v>9</v>
      </c>
      <c r="C8">
        <v>0.1</v>
      </c>
      <c r="D8">
        <v>0.3</v>
      </c>
      <c r="E8">
        <v>0.5</v>
      </c>
      <c r="F8">
        <v>-1</v>
      </c>
      <c r="G8">
        <v>0</v>
      </c>
      <c r="H8">
        <v>5</v>
      </c>
      <c r="I8">
        <f>_xlfn.NORM.S.DIST(C8,TRUE)</f>
        <v>0.53982783727702899</v>
      </c>
      <c r="J8">
        <f t="shared" ref="J8:N8" si="5">_xlfn.NORM.S.DIST(D8,TRUE)</f>
        <v>0.61791142218895267</v>
      </c>
      <c r="K8">
        <f t="shared" si="5"/>
        <v>0.69146246127401312</v>
      </c>
      <c r="L8">
        <f t="shared" si="5"/>
        <v>0.15865525393145699</v>
      </c>
      <c r="M8">
        <f t="shared" si="5"/>
        <v>0.5</v>
      </c>
      <c r="N8">
        <f t="shared" si="5"/>
        <v>0.99999971334842808</v>
      </c>
      <c r="O8">
        <v>0.53982783727702899</v>
      </c>
      <c r="P8">
        <v>0.61791142218895267</v>
      </c>
      <c r="Q8">
        <v>0.69146246127401312</v>
      </c>
      <c r="R8">
        <v>0.15865525393145699</v>
      </c>
      <c r="S8">
        <v>0.5</v>
      </c>
      <c r="T8">
        <v>0.99999971334842808</v>
      </c>
    </row>
    <row r="9" spans="2:20" x14ac:dyDescent="0.25">
      <c r="B9" s="1" t="s">
        <v>10</v>
      </c>
      <c r="C9">
        <v>0.1</v>
      </c>
      <c r="D9">
        <v>0.3</v>
      </c>
      <c r="E9">
        <v>0.5</v>
      </c>
      <c r="F9">
        <v>-1</v>
      </c>
      <c r="G9">
        <v>0</v>
      </c>
      <c r="H9">
        <v>5</v>
      </c>
      <c r="I9">
        <f>NORMSDIST(C9)</f>
        <v>0.53982783727702899</v>
      </c>
      <c r="J9">
        <f t="shared" ref="J9:N9" si="6">NORMSDIST(D9)</f>
        <v>0.61791142218895267</v>
      </c>
      <c r="K9">
        <f t="shared" si="6"/>
        <v>0.69146246127401312</v>
      </c>
      <c r="L9">
        <f t="shared" si="6"/>
        <v>0.15865525393145699</v>
      </c>
      <c r="M9">
        <f t="shared" si="6"/>
        <v>0.5</v>
      </c>
      <c r="N9">
        <f t="shared" si="6"/>
        <v>0.99999971334842808</v>
      </c>
      <c r="O9">
        <v>0.53982783727702899</v>
      </c>
      <c r="P9">
        <v>0.61791142218895267</v>
      </c>
      <c r="Q9">
        <v>0.69146246127401312</v>
      </c>
      <c r="R9">
        <v>0.15865525393145699</v>
      </c>
      <c r="S9">
        <v>0.5</v>
      </c>
      <c r="T9">
        <v>0.99999971334842808</v>
      </c>
    </row>
    <row r="10" spans="2:20" x14ac:dyDescent="0.25">
      <c r="B10" s="1" t="s">
        <v>11</v>
      </c>
      <c r="C10">
        <v>3</v>
      </c>
      <c r="D10">
        <v>2</v>
      </c>
      <c r="E10">
        <v>5</v>
      </c>
      <c r="F10">
        <v>1</v>
      </c>
      <c r="G10">
        <v>2.5499999999999998</v>
      </c>
      <c r="H10">
        <v>5</v>
      </c>
      <c r="I10">
        <f>_xlfn.GAMMA.DIST(0.25,C10,D10,FALSE)</f>
        <v>3.4472535257210795E-3</v>
      </c>
      <c r="J10">
        <f t="shared" ref="J10:M10" si="7">_xlfn.GAMMA.DIST(0.25,D10,E10,FALSE)</f>
        <v>9.5122942450071423E-3</v>
      </c>
      <c r="K10">
        <f t="shared" si="7"/>
        <v>1.2675793995302816E-4</v>
      </c>
      <c r="L10">
        <f>_xlfn.GAMMA.DIST(0.25,F10,G10,FALSE)</f>
        <v>0.35553464689886088</v>
      </c>
      <c r="M10">
        <f t="shared" si="7"/>
        <v>1.3290754581392881E-3</v>
      </c>
      <c r="N10">
        <f>_xlfn.GAMMA.DIST(0.25,H10,E10,FALSE)</f>
        <v>4.9543199192745586E-8</v>
      </c>
      <c r="O10">
        <v>3.4472535257210795E-3</v>
      </c>
      <c r="P10">
        <v>9.5122942450071423E-3</v>
      </c>
      <c r="Q10">
        <v>1.2675793995302816E-4</v>
      </c>
      <c r="R10">
        <v>0.35553464689886088</v>
      </c>
      <c r="S10">
        <v>1.3290754581392881E-3</v>
      </c>
      <c r="T10">
        <v>4.9543199192745586E-8</v>
      </c>
    </row>
    <row r="11" spans="2:20" x14ac:dyDescent="0.25">
      <c r="B11" s="1" t="s">
        <v>11</v>
      </c>
      <c r="C11">
        <v>3</v>
      </c>
      <c r="D11">
        <v>2</v>
      </c>
      <c r="E11">
        <v>5</v>
      </c>
      <c r="F11">
        <v>1</v>
      </c>
      <c r="G11">
        <v>2.5499999999999998</v>
      </c>
      <c r="H11">
        <v>5</v>
      </c>
      <c r="I11">
        <f>_xlfn.GAMMA.DIST(0.25,C11,D11,TRUE)</f>
        <v>2.9647754088802048E-4</v>
      </c>
      <c r="J11">
        <f t="shared" ref="J11:M11" si="8">_xlfn.GAMMA.DIST(0.25,D11,E11,TRUE)</f>
        <v>1.2091042742502908E-3</v>
      </c>
      <c r="K11">
        <f t="shared" si="8"/>
        <v>6.6117105610342492E-6</v>
      </c>
      <c r="L11">
        <f t="shared" si="8"/>
        <v>9.338665040790485E-2</v>
      </c>
      <c r="M11">
        <f t="shared" si="8"/>
        <v>1.3215709859231299E-4</v>
      </c>
      <c r="N11">
        <f>_xlfn.GAMMA.DIST(0.25,H11,F11,TRUE)</f>
        <v>6.6117105610342492E-6</v>
      </c>
      <c r="O11">
        <v>2.9647754088802048E-4</v>
      </c>
      <c r="P11">
        <v>1.2091042742502908E-3</v>
      </c>
      <c r="Q11">
        <v>6.6117105610342492E-6</v>
      </c>
      <c r="R11">
        <v>9.338665040790485E-2</v>
      </c>
      <c r="S11">
        <v>1.3215709859231299E-4</v>
      </c>
      <c r="T11">
        <v>6.6117105610342492E-6</v>
      </c>
    </row>
    <row r="12" spans="2:20" x14ac:dyDescent="0.25">
      <c r="B12" s="1" t="s">
        <v>12</v>
      </c>
      <c r="C12">
        <v>3</v>
      </c>
      <c r="D12">
        <v>2</v>
      </c>
      <c r="E12">
        <v>5</v>
      </c>
      <c r="F12">
        <v>1</v>
      </c>
      <c r="G12">
        <v>2.5499999999999998</v>
      </c>
      <c r="H12">
        <v>5</v>
      </c>
      <c r="I12">
        <f>GAMMADIST(0.25,C12,D12,FALSE)</f>
        <v>3.4472535257210795E-3</v>
      </c>
      <c r="J12">
        <f t="shared" ref="J12:M12" si="9">GAMMADIST(0.25,D12,E12,FALSE)</f>
        <v>9.5122942450071423E-3</v>
      </c>
      <c r="K12">
        <f t="shared" si="9"/>
        <v>1.2675793995302816E-4</v>
      </c>
      <c r="L12">
        <f t="shared" si="9"/>
        <v>0.35553464689886088</v>
      </c>
      <c r="M12">
        <f t="shared" si="9"/>
        <v>1.3290754581392881E-3</v>
      </c>
      <c r="N12">
        <f>GAMMADIST(0.25,H12,G12,FALSE)</f>
        <v>1.3685794055477703E-6</v>
      </c>
      <c r="O12">
        <v>3.4472535257210795E-3</v>
      </c>
      <c r="P12">
        <v>9.5122942450071423E-3</v>
      </c>
      <c r="Q12">
        <v>1.2675793995302816E-4</v>
      </c>
      <c r="R12">
        <v>0.35553464689886088</v>
      </c>
      <c r="S12">
        <v>1.3290754581392881E-3</v>
      </c>
      <c r="T12">
        <v>1.3685794055477703E-6</v>
      </c>
    </row>
    <row r="13" spans="2:20" x14ac:dyDescent="0.25">
      <c r="B13" s="1" t="s">
        <v>12</v>
      </c>
      <c r="C13">
        <v>3</v>
      </c>
      <c r="D13">
        <v>2</v>
      </c>
      <c r="E13">
        <v>5</v>
      </c>
      <c r="F13">
        <v>1</v>
      </c>
      <c r="G13">
        <v>2.5499999999999998</v>
      </c>
      <c r="H13">
        <v>5</v>
      </c>
      <c r="I13">
        <f>GAMMADIST(0.25,C13,D13,TRUE)</f>
        <v>2.9647754088802048E-4</v>
      </c>
      <c r="J13">
        <f>GAMMADIST(0.25,D13,E13,TRUE)</f>
        <v>1.2091042742502908E-3</v>
      </c>
      <c r="K13">
        <f>GAMMADIST(0.25,E13,F13,TRUE)</f>
        <v>6.6117105610342492E-6</v>
      </c>
      <c r="L13">
        <f>GAMMADIST(0.25,F13,G13,TRUE)</f>
        <v>9.338665040790485E-2</v>
      </c>
      <c r="M13">
        <f>GAMMADIST(0.25,G13,H13,TRUE)</f>
        <v>1.3215709859231299E-4</v>
      </c>
      <c r="N13">
        <f>GAMMADIST(0.25,H13,G13,TRUE)</f>
        <v>6.9562944679115661E-8</v>
      </c>
      <c r="O13">
        <v>2.9647754088802048E-4</v>
      </c>
      <c r="P13">
        <v>1.2091042742502908E-3</v>
      </c>
      <c r="Q13">
        <v>6.6117105610342492E-6</v>
      </c>
      <c r="R13">
        <v>9.338665040790485E-2</v>
      </c>
      <c r="S13">
        <v>1.3215709859231299E-4</v>
      </c>
      <c r="T13">
        <v>6.9562944679115661E-8</v>
      </c>
    </row>
    <row r="14" spans="2:20" x14ac:dyDescent="0.25">
      <c r="B14" s="1" t="s">
        <v>0</v>
      </c>
      <c r="C14">
        <v>3</v>
      </c>
      <c r="D14">
        <v>6</v>
      </c>
      <c r="E14">
        <v>5</v>
      </c>
      <c r="F14">
        <v>10</v>
      </c>
      <c r="G14">
        <v>2.5499999999999998</v>
      </c>
      <c r="H14">
        <v>9</v>
      </c>
      <c r="I14">
        <f t="shared" ref="I14:N14" si="10">_xlfn.GAMMA.INV(0.25,C14,D14)</f>
        <v>10.363796507163114</v>
      </c>
      <c r="J14">
        <f t="shared" si="10"/>
        <v>21.096046915339478</v>
      </c>
      <c r="K14">
        <f t="shared" si="10"/>
        <v>33.686003859773209</v>
      </c>
      <c r="L14">
        <f t="shared" si="10"/>
        <v>19.701011262285849</v>
      </c>
      <c r="M14">
        <f t="shared" si="10"/>
        <v>12.381772675515375</v>
      </c>
      <c r="N14">
        <f t="shared" si="10"/>
        <v>70.863963183949636</v>
      </c>
      <c r="O14">
        <v>10.363796507163114</v>
      </c>
      <c r="P14">
        <v>21.096046915339478</v>
      </c>
      <c r="Q14">
        <v>33.686003859773209</v>
      </c>
      <c r="R14">
        <v>19.701011262285849</v>
      </c>
      <c r="S14">
        <v>12.381772675515375</v>
      </c>
      <c r="T14">
        <v>70.863963183949636</v>
      </c>
    </row>
    <row r="15" spans="2:20" x14ac:dyDescent="0.25">
      <c r="B15" s="1" t="s">
        <v>1</v>
      </c>
      <c r="C15">
        <v>3</v>
      </c>
      <c r="D15">
        <v>6</v>
      </c>
      <c r="E15">
        <v>5</v>
      </c>
      <c r="F15">
        <v>10</v>
      </c>
      <c r="G15">
        <v>2.5499999999999998</v>
      </c>
      <c r="H15">
        <v>9</v>
      </c>
      <c r="I15">
        <f t="shared" ref="I15:N15" si="11">GAMMAINV(0.25,C15,D15)</f>
        <v>10.363796507163114</v>
      </c>
      <c r="J15">
        <f t="shared" si="11"/>
        <v>21.096046915339478</v>
      </c>
      <c r="K15">
        <f t="shared" si="11"/>
        <v>33.686003859773209</v>
      </c>
      <c r="L15">
        <f t="shared" si="11"/>
        <v>19.701011262285849</v>
      </c>
      <c r="M15">
        <f t="shared" si="11"/>
        <v>12.381772675515375</v>
      </c>
      <c r="N15">
        <f t="shared" si="11"/>
        <v>70.863963183949636</v>
      </c>
      <c r="O15">
        <v>10.363796507163114</v>
      </c>
      <c r="P15">
        <v>21.096046915339478</v>
      </c>
      <c r="Q15">
        <v>33.686003859773209</v>
      </c>
      <c r="R15">
        <v>19.701011262285849</v>
      </c>
      <c r="S15">
        <v>12.381772675515375</v>
      </c>
      <c r="T15">
        <v>70.863963183949636</v>
      </c>
    </row>
    <row r="16" spans="2:20" x14ac:dyDescent="0.25">
      <c r="B16" s="1" t="s">
        <v>13</v>
      </c>
      <c r="C16">
        <v>3</v>
      </c>
      <c r="D16">
        <v>6</v>
      </c>
      <c r="E16">
        <v>5</v>
      </c>
      <c r="F16">
        <v>10</v>
      </c>
      <c r="G16">
        <v>2.5499999999999998</v>
      </c>
      <c r="H16">
        <v>9</v>
      </c>
      <c r="I16">
        <f>_xlfn.LOGNORM.DIST(0.25,C16,D16,TRUE)</f>
        <v>0.23237459354875287</v>
      </c>
      <c r="J16">
        <f t="shared" ref="J16:M16" si="12">_xlfn.LOGNORM.DIST(0.25,D16,E16,TRUE)</f>
        <v>6.9803129022922475E-2</v>
      </c>
      <c r="K16">
        <f t="shared" si="12"/>
        <v>0.26153201360668754</v>
      </c>
      <c r="L16">
        <f t="shared" si="12"/>
        <v>3.9994477654216036E-6</v>
      </c>
      <c r="M16">
        <f t="shared" si="12"/>
        <v>0.33092295424797069</v>
      </c>
      <c r="N16">
        <f>_xlfn.LOGNORM.DIST(0.25,H16,E16,TRUE)</f>
        <v>1.8888836402617078E-2</v>
      </c>
      <c r="O16">
        <v>0.23237459354875287</v>
      </c>
      <c r="P16">
        <v>6.9803129022922475E-2</v>
      </c>
      <c r="Q16">
        <v>0.26153201360668754</v>
      </c>
      <c r="R16">
        <v>3.9994477654216036E-6</v>
      </c>
      <c r="S16">
        <v>0.33092295424797069</v>
      </c>
      <c r="T16">
        <v>1.8888836402617078E-2</v>
      </c>
    </row>
    <row r="17" spans="2:20" x14ac:dyDescent="0.25">
      <c r="B17" s="1" t="s">
        <v>13</v>
      </c>
      <c r="C17">
        <v>3</v>
      </c>
      <c r="D17">
        <v>6</v>
      </c>
      <c r="E17">
        <v>5</v>
      </c>
      <c r="F17">
        <v>10</v>
      </c>
      <c r="G17">
        <v>2.5499999999999998</v>
      </c>
      <c r="H17">
        <v>9</v>
      </c>
      <c r="I17">
        <f t="shared" ref="I17" si="13">_xlfn.LOGNORM.DIST(0.25,C17,D17,TRUE)</f>
        <v>0.23237459354875287</v>
      </c>
      <c r="J17">
        <f t="shared" ref="J17" si="14">_xlfn.LOGNORM.DIST(0.25,D17,E17,TRUE)</f>
        <v>6.9803129022922475E-2</v>
      </c>
      <c r="K17">
        <f t="shared" ref="K17" si="15">_xlfn.LOGNORM.DIST(0.25,E17,F17,TRUE)</f>
        <v>0.26153201360668754</v>
      </c>
      <c r="L17">
        <f t="shared" ref="L17" si="16">_xlfn.LOGNORM.DIST(0.25,F17,G17,TRUE)</f>
        <v>3.9994477654216036E-6</v>
      </c>
      <c r="M17">
        <f t="shared" ref="M17" si="17">_xlfn.LOGNORM.DIST(0.25,G17,H17,TRUE)</f>
        <v>0.33092295424797069</v>
      </c>
      <c r="N17">
        <f t="shared" ref="N17" si="18">_xlfn.LOGNORM.DIST(0.25,H17,E17,TRUE)</f>
        <v>1.8888836402617078E-2</v>
      </c>
      <c r="O17">
        <v>0.23237459354875287</v>
      </c>
      <c r="P17">
        <v>6.9803129022922475E-2</v>
      </c>
      <c r="Q17">
        <v>0.26153201360668754</v>
      </c>
      <c r="R17">
        <v>3.9994477654216036E-6</v>
      </c>
      <c r="S17">
        <v>0.33092295424797069</v>
      </c>
      <c r="T17">
        <v>1.8888836402617078E-2</v>
      </c>
    </row>
    <row r="18" spans="2:20" x14ac:dyDescent="0.25">
      <c r="B18" s="1" t="s">
        <v>14</v>
      </c>
      <c r="C18">
        <v>3</v>
      </c>
      <c r="D18">
        <v>6</v>
      </c>
      <c r="E18">
        <v>5</v>
      </c>
      <c r="F18">
        <v>10</v>
      </c>
      <c r="G18">
        <v>2.5499999999999998</v>
      </c>
      <c r="H18">
        <v>9</v>
      </c>
      <c r="I18">
        <f>LOGNORMDIST(0.25,C18,D18)</f>
        <v>0.23237459354875287</v>
      </c>
      <c r="J18">
        <f t="shared" ref="J18:M18" si="19">LOGNORMDIST(0.25,D18,E18)</f>
        <v>6.9803129022922475E-2</v>
      </c>
      <c r="K18">
        <f t="shared" si="19"/>
        <v>0.26153201360668754</v>
      </c>
      <c r="L18">
        <f t="shared" si="19"/>
        <v>3.9994477654216036E-6</v>
      </c>
      <c r="M18">
        <f t="shared" si="19"/>
        <v>0.33092295424797069</v>
      </c>
      <c r="N18">
        <f>LOGNORMDIST(0.25,H18,C18)</f>
        <v>2.6799085628031761E-4</v>
      </c>
      <c r="O18">
        <v>0.23237459354875287</v>
      </c>
      <c r="P18">
        <v>6.9803129022922475E-2</v>
      </c>
      <c r="Q18">
        <v>0.26153201360668754</v>
      </c>
      <c r="R18">
        <v>3.9994477654216036E-6</v>
      </c>
      <c r="S18">
        <v>0.33092295424797069</v>
      </c>
      <c r="T18">
        <v>2.6799085628031761E-4</v>
      </c>
    </row>
    <row r="19" spans="2:20" x14ac:dyDescent="0.25">
      <c r="B19" s="1" t="s">
        <v>15</v>
      </c>
      <c r="C19">
        <v>3</v>
      </c>
      <c r="D19">
        <v>4</v>
      </c>
      <c r="E19">
        <v>5</v>
      </c>
      <c r="F19">
        <v>10</v>
      </c>
      <c r="G19">
        <v>12</v>
      </c>
      <c r="H19">
        <v>15</v>
      </c>
      <c r="I19">
        <f>_xlfn.BINOM.DIST(C19,D19,0.25,FALSE)</f>
        <v>4.6875000000000007E-2</v>
      </c>
      <c r="J19">
        <f t="shared" ref="J19:M19" si="20">_xlfn.BINOM.DIST(D19,E19,0.25,FALSE)</f>
        <v>1.4648437500000005E-2</v>
      </c>
      <c r="K19">
        <f t="shared" si="20"/>
        <v>5.8399200439453146E-2</v>
      </c>
      <c r="L19">
        <f t="shared" si="20"/>
        <v>3.5405158996582038E-5</v>
      </c>
      <c r="M19">
        <f t="shared" si="20"/>
        <v>1.1441297829151157E-5</v>
      </c>
      <c r="N19">
        <f>_xlfn.BINOM.DIST(F19,H19,0.25,FALSE)</f>
        <v>6.7961309105157863E-4</v>
      </c>
      <c r="O19">
        <v>4.6875000000000007E-2</v>
      </c>
      <c r="P19">
        <v>1.4648437500000005E-2</v>
      </c>
      <c r="Q19">
        <v>5.8399200439453146E-2</v>
      </c>
      <c r="R19">
        <v>3.5405158996582038E-5</v>
      </c>
      <c r="S19">
        <v>1.1441297829151157E-5</v>
      </c>
      <c r="T19">
        <v>6.7961309105157863E-4</v>
      </c>
    </row>
    <row r="20" spans="2:20" x14ac:dyDescent="0.25">
      <c r="B20" s="1" t="s">
        <v>15</v>
      </c>
      <c r="C20">
        <v>3</v>
      </c>
      <c r="D20">
        <v>4</v>
      </c>
      <c r="E20">
        <v>5</v>
      </c>
      <c r="F20">
        <v>10</v>
      </c>
      <c r="G20">
        <v>12</v>
      </c>
      <c r="H20">
        <v>15</v>
      </c>
      <c r="I20">
        <f>_xlfn.BINOM.DIST(C20,D20,0.25,TRUE)</f>
        <v>0.99609375</v>
      </c>
      <c r="J20">
        <f>_xlfn.BINOM.DIST(D20,E20,0.25,TRUE)</f>
        <v>0.9990234375</v>
      </c>
      <c r="K20">
        <f t="shared" ref="K20" si="21">_xlfn.BINOM.DIST(E20,F20,0.25,TRUE)</f>
        <v>0.98027229309082031</v>
      </c>
      <c r="L20">
        <f t="shared" ref="L20" si="22">_xlfn.BINOM.DIST(F20,G20,0.25,TRUE)</f>
        <v>0.99999779462814331</v>
      </c>
      <c r="M20">
        <f t="shared" ref="M20" si="23">_xlfn.BINOM.DIST(G20,H20,0.25,TRUE)</f>
        <v>0.99999907705932856</v>
      </c>
      <c r="N20">
        <f>_xlfn.BINOM.DIST(D20,G20,0.25,TRUE)</f>
        <v>0.84235632419586182</v>
      </c>
      <c r="O20">
        <v>0.99609375</v>
      </c>
      <c r="P20">
        <v>0.9990234375</v>
      </c>
      <c r="Q20">
        <v>0.98027229309082031</v>
      </c>
      <c r="R20">
        <v>0.99999779462814331</v>
      </c>
      <c r="S20">
        <v>0.99999907705932856</v>
      </c>
      <c r="T20">
        <v>0.84235632419586182</v>
      </c>
    </row>
    <row r="21" spans="2:20" x14ac:dyDescent="0.25">
      <c r="B21" s="1" t="s">
        <v>16</v>
      </c>
      <c r="C21">
        <v>3</v>
      </c>
      <c r="D21">
        <v>4</v>
      </c>
      <c r="E21">
        <v>5</v>
      </c>
      <c r="F21">
        <v>10</v>
      </c>
      <c r="G21">
        <v>12</v>
      </c>
      <c r="H21">
        <v>15</v>
      </c>
      <c r="I21">
        <f>BINOMDIST(C21,D21,0.25,FALSE)</f>
        <v>4.6875000000000007E-2</v>
      </c>
      <c r="J21">
        <f t="shared" ref="J21:M21" si="24">BINOMDIST(D21,E21,0.25,FALSE)</f>
        <v>1.4648437500000005E-2</v>
      </c>
      <c r="K21">
        <f t="shared" si="24"/>
        <v>5.8399200439453146E-2</v>
      </c>
      <c r="L21">
        <f t="shared" si="24"/>
        <v>3.5405158996582038E-5</v>
      </c>
      <c r="M21">
        <f t="shared" si="24"/>
        <v>1.1441297829151157E-5</v>
      </c>
      <c r="N21">
        <f>BINOMDIST(G21,H21,0.25,FALSE)</f>
        <v>1.1441297829151157E-5</v>
      </c>
      <c r="O21">
        <v>4.6875000000000007E-2</v>
      </c>
      <c r="P21">
        <v>1.4648437500000005E-2</v>
      </c>
      <c r="Q21">
        <v>5.8399200439453146E-2</v>
      </c>
      <c r="R21">
        <v>3.5405158996582038E-5</v>
      </c>
      <c r="S21">
        <v>1.1441297829151157E-5</v>
      </c>
      <c r="T21">
        <v>1.1441297829151157E-5</v>
      </c>
    </row>
    <row r="22" spans="2:20" x14ac:dyDescent="0.25">
      <c r="B22" s="1" t="s">
        <v>16</v>
      </c>
      <c r="C22">
        <v>3</v>
      </c>
      <c r="D22">
        <v>4</v>
      </c>
      <c r="E22">
        <v>5</v>
      </c>
      <c r="F22">
        <v>10</v>
      </c>
      <c r="G22">
        <v>12</v>
      </c>
      <c r="H22">
        <v>15</v>
      </c>
      <c r="I22">
        <f>BINOMDIST(C22,D22,0.25,TRUE)</f>
        <v>0.99609375</v>
      </c>
      <c r="J22">
        <f t="shared" ref="J22:M22" si="25">BINOMDIST(D22,E22,0.25,TRUE)</f>
        <v>0.9990234375</v>
      </c>
      <c r="K22">
        <f t="shared" si="25"/>
        <v>0.98027229309082031</v>
      </c>
      <c r="L22">
        <f t="shared" si="25"/>
        <v>0.99999779462814331</v>
      </c>
      <c r="M22">
        <f t="shared" si="25"/>
        <v>0.99999907705932856</v>
      </c>
      <c r="N22">
        <f>BINOMDIST(C22,H22,0.25,TRUE)</f>
        <v>0.46128687635064114</v>
      </c>
      <c r="O22">
        <v>0.99609375</v>
      </c>
      <c r="P22">
        <v>0.9990234375</v>
      </c>
      <c r="Q22">
        <v>0.98027229309082031</v>
      </c>
      <c r="R22">
        <v>0.99999779462814331</v>
      </c>
      <c r="S22">
        <v>0.99999907705932856</v>
      </c>
      <c r="T22">
        <v>0.46128687635064114</v>
      </c>
    </row>
    <row r="23" spans="2:20" x14ac:dyDescent="0.25">
      <c r="B23" s="1" t="s">
        <v>17</v>
      </c>
      <c r="C23">
        <v>3</v>
      </c>
      <c r="D23">
        <v>6</v>
      </c>
      <c r="E23">
        <v>5</v>
      </c>
      <c r="F23">
        <v>10</v>
      </c>
      <c r="G23">
        <v>2.5499999999999998</v>
      </c>
      <c r="H23">
        <v>9</v>
      </c>
      <c r="I23">
        <f>_xlfn.BETA.DIST(0.25,C23,D23,FALSE)</f>
        <v>2.49169921875</v>
      </c>
      <c r="J23">
        <f t="shared" ref="J23:M23" si="26">_xlfn.BETA.DIST(0.25,D23,E23,FALSE)</f>
        <v>0.38932800292968761</v>
      </c>
      <c r="K23">
        <f t="shared" si="26"/>
        <v>2.9359285533428183</v>
      </c>
      <c r="L23">
        <f t="shared" si="26"/>
        <v>7.57019555594542E-4</v>
      </c>
      <c r="M23">
        <f t="shared" si="26"/>
        <v>2.8200688274659864</v>
      </c>
      <c r="N23">
        <f>_xlfn.BETA.DIST(0.25,H23,G23,FALSE)</f>
        <v>2.3595414719829884E-3</v>
      </c>
      <c r="O23">
        <v>2.49169921875</v>
      </c>
      <c r="P23">
        <v>0.38932800292968761</v>
      </c>
      <c r="Q23">
        <v>2.9359285533428183</v>
      </c>
      <c r="R23">
        <v>7.57019555594542E-4</v>
      </c>
      <c r="S23">
        <v>2.8200688274659864</v>
      </c>
      <c r="T23">
        <v>2.3595414719829884E-3</v>
      </c>
    </row>
    <row r="24" spans="2:20" x14ac:dyDescent="0.25">
      <c r="B24" s="1" t="s">
        <v>17</v>
      </c>
      <c r="C24">
        <v>3</v>
      </c>
      <c r="D24">
        <v>6</v>
      </c>
      <c r="E24">
        <v>5</v>
      </c>
      <c r="F24">
        <v>10</v>
      </c>
      <c r="G24">
        <v>2.5499999999999998</v>
      </c>
      <c r="H24">
        <v>9</v>
      </c>
      <c r="I24">
        <f>_xlfn.BETA.DIST(0.25,C24,D24,TRUE)</f>
        <v>0.32145690917968756</v>
      </c>
      <c r="J24">
        <f t="shared" ref="J24:M24" si="27">_xlfn.BETA.DIST(0.25,D24,E24,TRUE)</f>
        <v>1.9727706909179688E-2</v>
      </c>
      <c r="K24">
        <f t="shared" si="27"/>
        <v>0.25846539810299879</v>
      </c>
      <c r="L24">
        <f>_xlfn.BETA.DIST(0.25,F24,G24,TRUE)</f>
        <v>1.9827842592112129E-5</v>
      </c>
      <c r="M24">
        <f t="shared" si="27"/>
        <v>0.6407501924257808</v>
      </c>
      <c r="N24">
        <f>_xlfn.BETA.DIST(0.25,H24,G24,TRUE)</f>
        <v>6.8984956591757658E-5</v>
      </c>
      <c r="O24">
        <v>0.32145690917968756</v>
      </c>
      <c r="P24">
        <v>1.9727706909179688E-2</v>
      </c>
      <c r="Q24">
        <v>0.25846539810299879</v>
      </c>
      <c r="R24">
        <v>1.9827842592112129E-5</v>
      </c>
      <c r="S24">
        <v>0.6407501924257808</v>
      </c>
      <c r="T24">
        <v>6.8984956591757658E-5</v>
      </c>
    </row>
    <row r="25" spans="2:20" x14ac:dyDescent="0.25">
      <c r="B25" s="1" t="s">
        <v>17</v>
      </c>
      <c r="C25">
        <v>3</v>
      </c>
      <c r="D25">
        <v>6</v>
      </c>
      <c r="E25">
        <v>5</v>
      </c>
      <c r="F25">
        <v>10</v>
      </c>
      <c r="G25">
        <v>2.5499999999999998</v>
      </c>
      <c r="H25">
        <v>9</v>
      </c>
      <c r="I25">
        <f>_xlfn.BETA.DIST(0.25,C25,D25,FALSE,0.2,5)</f>
        <v>3.6040220509731846E-3</v>
      </c>
      <c r="J25">
        <f t="shared" ref="J25:K25" si="28">_xlfn.BETA.DIST(0.25,D25,E25,FALSE,0.2,5)</f>
        <v>3.0873270036434237E-8</v>
      </c>
      <c r="K25">
        <f t="shared" si="28"/>
        <v>2.2344943362139383E-5</v>
      </c>
      <c r="L25">
        <f>_xlfn.BETA.DIST(0.75,F25,G25,FALSE,0.2,5)</f>
        <v>1.8206766293043581E-7</v>
      </c>
      <c r="M25">
        <f t="shared" ref="M25:N25" si="29">_xlfn.BETA.DIST(0.75,G25,H25,FALSE,0.2,5)</f>
        <v>0.66151720230661659</v>
      </c>
      <c r="N25">
        <f t="shared" si="29"/>
        <v>2.5434860158670713E-11</v>
      </c>
      <c r="O25">
        <v>3.6040220509731846E-3</v>
      </c>
      <c r="P25">
        <v>3.0873270036434237E-8</v>
      </c>
      <c r="Q25">
        <v>2.2344943362139383E-5</v>
      </c>
      <c r="R25">
        <v>1.8206766293043581E-7</v>
      </c>
      <c r="S25">
        <v>0.66151720230661659</v>
      </c>
      <c r="T25">
        <v>2.5434860158670713E-11</v>
      </c>
    </row>
    <row r="26" spans="2:20" x14ac:dyDescent="0.25">
      <c r="B26" s="1" t="s">
        <v>17</v>
      </c>
      <c r="C26">
        <v>3</v>
      </c>
      <c r="D26">
        <v>6</v>
      </c>
      <c r="E26">
        <v>5</v>
      </c>
      <c r="F26">
        <v>10</v>
      </c>
      <c r="G26">
        <v>2.5499999999999998</v>
      </c>
      <c r="H26">
        <v>9</v>
      </c>
      <c r="I26">
        <f>_xlfn.BETA.DIST(0.25,C26,D26,TRUE,0.2,5)</f>
        <v>6.086408065798257E-5</v>
      </c>
      <c r="J26">
        <f t="shared" ref="J26:N26" si="30">_xlfn.BETA.DIST(0.25,D26,E26,TRUE,0.2,5)</f>
        <v>2.5883090562088557E-10</v>
      </c>
      <c r="K26">
        <f t="shared" si="30"/>
        <v>2.2702042015897622E-7</v>
      </c>
      <c r="L26">
        <f t="shared" si="30"/>
        <v>4.593935682745769E-19</v>
      </c>
      <c r="M26">
        <f t="shared" si="30"/>
        <v>7.8631448558295902E-4</v>
      </c>
      <c r="N26">
        <f t="shared" si="30"/>
        <v>9.8591655427125137E-24</v>
      </c>
      <c r="O26">
        <v>6.086408065798257E-5</v>
      </c>
      <c r="P26">
        <v>2.5883090562088557E-10</v>
      </c>
      <c r="Q26">
        <v>2.2702042015897622E-7</v>
      </c>
      <c r="R26">
        <v>4.593935682745769E-19</v>
      </c>
      <c r="S26">
        <v>7.8631448558295902E-4</v>
      </c>
      <c r="T26">
        <v>9.8591655427125137E-24</v>
      </c>
    </row>
    <row r="27" spans="2:20" x14ac:dyDescent="0.25">
      <c r="B27" s="1" t="s">
        <v>18</v>
      </c>
      <c r="C27">
        <v>3</v>
      </c>
      <c r="D27">
        <v>6</v>
      </c>
      <c r="E27">
        <v>5</v>
      </c>
      <c r="F27">
        <v>10</v>
      </c>
      <c r="G27">
        <v>2.5499999999999998</v>
      </c>
      <c r="H27">
        <v>9</v>
      </c>
      <c r="I27">
        <f>BETADIST(0.25,C27,D27)</f>
        <v>0.32145690917968756</v>
      </c>
      <c r="J27">
        <f t="shared" ref="J27:N27" si="31">BETADIST(0.25,D27,E27)</f>
        <v>1.9727706909179688E-2</v>
      </c>
      <c r="K27">
        <f t="shared" si="31"/>
        <v>0.25846539810299879</v>
      </c>
      <c r="L27">
        <f t="shared" si="31"/>
        <v>1.9827842592112129E-5</v>
      </c>
      <c r="M27">
        <f t="shared" si="31"/>
        <v>0.6407501924257808</v>
      </c>
      <c r="N27">
        <f t="shared" si="31"/>
        <v>3.6270505652248254E-7</v>
      </c>
      <c r="O27">
        <v>0.32145690917968756</v>
      </c>
      <c r="P27">
        <v>1.9727706909179688E-2</v>
      </c>
      <c r="Q27">
        <v>0.25846539810299879</v>
      </c>
      <c r="R27">
        <v>1.9827842592112129E-5</v>
      </c>
      <c r="S27">
        <v>0.6407501924257808</v>
      </c>
      <c r="T27">
        <v>3.6270505652248254E-7</v>
      </c>
    </row>
    <row r="28" spans="2:20" x14ac:dyDescent="0.25">
      <c r="B28" s="1" t="s">
        <v>18</v>
      </c>
      <c r="C28">
        <v>3</v>
      </c>
      <c r="D28">
        <v>6</v>
      </c>
      <c r="E28">
        <v>5</v>
      </c>
      <c r="F28">
        <v>10</v>
      </c>
      <c r="G28">
        <v>2.5499999999999998</v>
      </c>
      <c r="H28">
        <v>9</v>
      </c>
      <c r="I28">
        <f>BETADIST(0.25,C28,D28,0.2,5)</f>
        <v>6.086408065798257E-5</v>
      </c>
      <c r="J28">
        <f t="shared" ref="J28" si="32">_xlfn.BETA.DIST(0.25,D28,E28,FALSE,0.2,5)</f>
        <v>3.0873270036434237E-8</v>
      </c>
      <c r="K28">
        <f t="shared" ref="K28" si="33">_xlfn.BETA.DIST(0.25,E28,F28,FALSE,0.2,5)</f>
        <v>2.2344943362139383E-5</v>
      </c>
      <c r="L28">
        <f>_xlfn.BETA.DIST(0.75,F28,G28,FALSE,0.2,5)</f>
        <v>1.8206766293043581E-7</v>
      </c>
      <c r="M28">
        <f t="shared" ref="M28" si="34">_xlfn.BETA.DIST(0.75,G28,H28,FALSE,0.2,5)</f>
        <v>0.66151720230661659</v>
      </c>
      <c r="N28">
        <f t="shared" ref="N28" si="35">_xlfn.BETA.DIST(0.75,H28,I28,FALSE,0.2,5)</f>
        <v>4.2561054174920979E-13</v>
      </c>
      <c r="O28">
        <v>6.086408065798257E-5</v>
      </c>
      <c r="P28">
        <v>3.0873270036434237E-8</v>
      </c>
      <c r="Q28">
        <v>2.2344943362139383E-5</v>
      </c>
      <c r="R28">
        <v>1.8206766293043581E-7</v>
      </c>
      <c r="S28">
        <v>0.66151720230661659</v>
      </c>
      <c r="T28">
        <v>4.2561054174920979E-13</v>
      </c>
    </row>
    <row r="29" spans="2:20" x14ac:dyDescent="0.25">
      <c r="B29" s="1" t="s">
        <v>18</v>
      </c>
      <c r="C29">
        <v>3</v>
      </c>
      <c r="D29">
        <v>6</v>
      </c>
      <c r="E29">
        <v>5</v>
      </c>
      <c r="F29">
        <v>10</v>
      </c>
      <c r="G29">
        <v>2.5499999999999998</v>
      </c>
      <c r="H29">
        <v>9</v>
      </c>
      <c r="I29">
        <f>BETADIST(0.25,C29,D29,0.2,5)</f>
        <v>6.086408065798257E-5</v>
      </c>
      <c r="J29">
        <f t="shared" ref="J29:N29" si="36">BETADIST(0.25,D29,E29,0.2,5)</f>
        <v>2.5883090562088557E-10</v>
      </c>
      <c r="K29">
        <f t="shared" si="36"/>
        <v>2.2702042015897622E-7</v>
      </c>
      <c r="L29">
        <f>BETADIST(0.25,F29,G29,0.2,5)</f>
        <v>4.593935682745769E-19</v>
      </c>
      <c r="M29">
        <f t="shared" si="36"/>
        <v>7.8631448558295902E-4</v>
      </c>
      <c r="N29">
        <f t="shared" si="36"/>
        <v>9.8591655427125137E-24</v>
      </c>
      <c r="O29">
        <v>6.086408065798257E-5</v>
      </c>
      <c r="P29">
        <v>2.5883090562088557E-10</v>
      </c>
      <c r="Q29">
        <v>2.2702042015897622E-7</v>
      </c>
      <c r="R29">
        <v>4.593935682745769E-19</v>
      </c>
      <c r="S29">
        <v>7.8631448558295902E-4</v>
      </c>
      <c r="T29">
        <v>9.8591655427125137E-24</v>
      </c>
    </row>
    <row r="30" spans="2:20" x14ac:dyDescent="0.25">
      <c r="B30" s="1" t="s">
        <v>19</v>
      </c>
      <c r="C30">
        <v>3</v>
      </c>
      <c r="D30">
        <v>6</v>
      </c>
      <c r="E30">
        <v>5</v>
      </c>
      <c r="F30">
        <v>10</v>
      </c>
      <c r="G30">
        <v>2.5499999999999998</v>
      </c>
      <c r="H30">
        <v>9</v>
      </c>
      <c r="I30">
        <f>_xlfn.WEIBULL.DIST(0.25,C30,D30,FALSE)</f>
        <v>8.6799276445604517E-4</v>
      </c>
      <c r="J30">
        <f t="shared" ref="J30:M30" si="37">_xlfn.WEIBULL.DIST(0.25,D30,E30,FALSE)</f>
        <v>3.7499999414062546E-7</v>
      </c>
      <c r="K30">
        <f t="shared" si="37"/>
        <v>1.9531249809265103E-7</v>
      </c>
      <c r="L30">
        <f t="shared" si="37"/>
        <v>3.2813931992314361E-9</v>
      </c>
      <c r="M30">
        <f t="shared" si="37"/>
        <v>1.0964330194305082E-3</v>
      </c>
      <c r="N30">
        <f>_xlfn.WEIBULL.DIST(0.25,H30,E30,FALSE)</f>
        <v>7.0312499999862814E-11</v>
      </c>
      <c r="O30">
        <v>8.6799276445604517E-4</v>
      </c>
      <c r="P30">
        <v>3.7499999414062546E-7</v>
      </c>
      <c r="Q30">
        <v>1.9531249809265103E-7</v>
      </c>
      <c r="R30">
        <v>3.2813931992314361E-9</v>
      </c>
      <c r="S30">
        <v>1.0964330194305082E-3</v>
      </c>
      <c r="T30">
        <v>7.0312499999862814E-11</v>
      </c>
    </row>
    <row r="31" spans="2:20" x14ac:dyDescent="0.25">
      <c r="B31" s="1" t="s">
        <v>19</v>
      </c>
      <c r="C31">
        <v>3</v>
      </c>
      <c r="D31">
        <v>6</v>
      </c>
      <c r="E31">
        <v>5</v>
      </c>
      <c r="F31">
        <v>10</v>
      </c>
      <c r="G31">
        <v>2.5499999999999998</v>
      </c>
      <c r="H31">
        <v>9</v>
      </c>
      <c r="I31">
        <f>_xlfn.WEIBULL.DIST(0.75,C31,D31,TRUE)</f>
        <v>1.9512188925245291E-3</v>
      </c>
      <c r="J31">
        <f t="shared" ref="J31:M31" si="38">_xlfn.WEIBULL.DIST(0.75,D31,E31,TRUE)</f>
        <v>1.1390560127077369E-5</v>
      </c>
      <c r="K31">
        <f t="shared" si="38"/>
        <v>2.3730440593264908E-6</v>
      </c>
      <c r="L31">
        <f t="shared" si="38"/>
        <v>4.8440629434220179E-6</v>
      </c>
      <c r="M31">
        <f t="shared" si="38"/>
        <v>1.768900592032779E-3</v>
      </c>
      <c r="N31">
        <f>_xlfn.WEIBULL.DIST(0.75,H31,G31,TRUE)</f>
        <v>1.6469718270872417E-5</v>
      </c>
      <c r="O31">
        <v>1.9512188925245291E-3</v>
      </c>
      <c r="P31">
        <v>1.1390560127077369E-5</v>
      </c>
      <c r="Q31">
        <v>2.3730440593264908E-6</v>
      </c>
      <c r="R31">
        <v>4.8440629434220179E-6</v>
      </c>
      <c r="S31">
        <v>1.768900592032779E-3</v>
      </c>
      <c r="T31">
        <v>1.6469718270872417E-5</v>
      </c>
    </row>
    <row r="32" spans="2:20" x14ac:dyDescent="0.25">
      <c r="B32" s="1" t="s">
        <v>20</v>
      </c>
      <c r="C32">
        <v>3</v>
      </c>
      <c r="D32">
        <v>6</v>
      </c>
      <c r="E32">
        <v>5</v>
      </c>
      <c r="F32">
        <v>10</v>
      </c>
      <c r="G32">
        <v>2.5499999999999998</v>
      </c>
      <c r="H32">
        <v>9</v>
      </c>
      <c r="I32">
        <f>WEIBULL(0.25,C32,D32,FALSE)</f>
        <v>8.6799276445604517E-4</v>
      </c>
      <c r="J32">
        <f t="shared" ref="J32:M32" si="39">WEIBULL(0.25,D32,E32,FALSE)</f>
        <v>3.7499999414062546E-7</v>
      </c>
      <c r="K32">
        <f t="shared" si="39"/>
        <v>1.9531249809265103E-7</v>
      </c>
      <c r="L32">
        <f t="shared" si="39"/>
        <v>3.2813931992314361E-9</v>
      </c>
      <c r="M32">
        <f t="shared" si="39"/>
        <v>1.0964330194305082E-3</v>
      </c>
      <c r="N32">
        <f>WEIBULL(0.25,H32,G32,FALSE)</f>
        <v>3.0123189546209979E-8</v>
      </c>
      <c r="O32">
        <v>8.6799276445604517E-4</v>
      </c>
      <c r="P32">
        <v>3.7499999414062546E-7</v>
      </c>
      <c r="Q32">
        <v>1.9531249809265103E-7</v>
      </c>
      <c r="R32">
        <v>3.2813931992314361E-9</v>
      </c>
      <c r="S32">
        <v>1.0964330194305082E-3</v>
      </c>
      <c r="T32">
        <v>3.0123189546209979E-8</v>
      </c>
    </row>
    <row r="33" spans="2:20" x14ac:dyDescent="0.25">
      <c r="B33" s="1" t="s">
        <v>20</v>
      </c>
      <c r="C33">
        <v>3</v>
      </c>
      <c r="D33">
        <v>6</v>
      </c>
      <c r="E33">
        <v>5</v>
      </c>
      <c r="F33">
        <v>10</v>
      </c>
      <c r="G33">
        <v>2.5499999999999998</v>
      </c>
      <c r="H33">
        <v>9</v>
      </c>
      <c r="I33">
        <f>WEIBULL(0.75,C33,D33,TRUE)</f>
        <v>1.9512188925245291E-3</v>
      </c>
      <c r="J33">
        <f t="shared" ref="J33:M33" si="40">WEIBULL(0.75,D33,E33,TRUE)</f>
        <v>1.1390560127077369E-5</v>
      </c>
      <c r="K33">
        <f t="shared" si="40"/>
        <v>2.3730440593264908E-6</v>
      </c>
      <c r="L33">
        <f t="shared" si="40"/>
        <v>4.8440629434220179E-6</v>
      </c>
      <c r="M33">
        <f t="shared" si="40"/>
        <v>1.768900592032779E-3</v>
      </c>
      <c r="N33">
        <f>WEIBULL(0.75,H33,G33,TRUE)</f>
        <v>1.6469718270872417E-5</v>
      </c>
      <c r="O33">
        <v>1.9512188925245291E-3</v>
      </c>
      <c r="P33">
        <v>1.1390560127077369E-5</v>
      </c>
      <c r="Q33">
        <v>2.3730440593264908E-6</v>
      </c>
      <c r="R33">
        <v>4.8440629434220179E-6</v>
      </c>
      <c r="S33">
        <v>1.768900592032779E-3</v>
      </c>
      <c r="T33">
        <v>1.6469718270872417E-5</v>
      </c>
    </row>
    <row r="34" spans="2:20" x14ac:dyDescent="0.25">
      <c r="B34" s="1" t="s">
        <v>2</v>
      </c>
      <c r="C34">
        <v>0.1</v>
      </c>
      <c r="D34">
        <v>0.9</v>
      </c>
      <c r="E34">
        <v>0.5</v>
      </c>
      <c r="F34">
        <v>0.84</v>
      </c>
      <c r="G34">
        <v>0.32</v>
      </c>
      <c r="H34">
        <v>0.28999999999999998</v>
      </c>
      <c r="I34">
        <f>_xlfn.BINOM.INV(50,0.25,C34)</f>
        <v>9</v>
      </c>
      <c r="J34">
        <f>_xlfn.BINOM.INV(50,0.25,D34)</f>
        <v>16</v>
      </c>
      <c r="K34">
        <f>_xlfn.BINOM.INV(500,0.35,E34)</f>
        <v>175</v>
      </c>
      <c r="L34">
        <f>_xlfn.BINOM.INV(100,0.25,F34)</f>
        <v>29</v>
      </c>
      <c r="M34">
        <f>_xlfn.BINOM.INV(50,0.9,G34)</f>
        <v>44</v>
      </c>
      <c r="N34">
        <f>_xlfn.BINOM.INV(510,0.25,H34)</f>
        <v>122</v>
      </c>
      <c r="O34">
        <v>9</v>
      </c>
      <c r="P34">
        <v>16</v>
      </c>
      <c r="Q34">
        <v>175</v>
      </c>
      <c r="R34">
        <v>29</v>
      </c>
      <c r="S34">
        <v>44</v>
      </c>
      <c r="T34">
        <v>122</v>
      </c>
    </row>
    <row r="35" spans="2:20" x14ac:dyDescent="0.25">
      <c r="B35" s="1" t="s">
        <v>21</v>
      </c>
      <c r="C35">
        <v>3</v>
      </c>
      <c r="D35">
        <v>4</v>
      </c>
      <c r="E35">
        <v>5</v>
      </c>
      <c r="F35">
        <v>10</v>
      </c>
      <c r="G35">
        <v>12</v>
      </c>
      <c r="H35">
        <v>15</v>
      </c>
      <c r="I35">
        <f>_xlfn.NEGBINOM.DIST(C35,D35,0.25,TRUE)</f>
        <v>7.0556640625000014E-2</v>
      </c>
      <c r="J35">
        <f t="shared" ref="J35:M35" si="41">_xlfn.NEGBINOM.DIST(D35,E35,0.25,TRUE)</f>
        <v>4.8927307128906264E-2</v>
      </c>
      <c r="K35">
        <f t="shared" si="41"/>
        <v>7.9494901001453443E-4</v>
      </c>
      <c r="L35">
        <f t="shared" si="41"/>
        <v>2.8709869463909858E-3</v>
      </c>
      <c r="M35">
        <f t="shared" si="41"/>
        <v>6.7475302253350354E-4</v>
      </c>
      <c r="N35">
        <f>_xlfn.NEGBINOM.DIST(H35,G35,0.25,TRUE)</f>
        <v>2.1622275992339905E-2</v>
      </c>
      <c r="O35">
        <v>7.0556640625000014E-2</v>
      </c>
      <c r="P35">
        <v>4.8927307128906264E-2</v>
      </c>
      <c r="Q35">
        <v>7.9494901001453443E-4</v>
      </c>
      <c r="R35">
        <v>2.8709869463909858E-3</v>
      </c>
      <c r="S35">
        <v>6.7475302253350354E-4</v>
      </c>
      <c r="T35">
        <v>2.1622275992339905E-2</v>
      </c>
    </row>
    <row r="36" spans="2:20" x14ac:dyDescent="0.25">
      <c r="B36" s="1" t="s">
        <v>21</v>
      </c>
      <c r="C36">
        <v>3</v>
      </c>
      <c r="D36">
        <v>4</v>
      </c>
      <c r="E36">
        <v>5</v>
      </c>
      <c r="F36">
        <v>10</v>
      </c>
      <c r="G36">
        <v>12</v>
      </c>
      <c r="H36">
        <v>15</v>
      </c>
      <c r="I36">
        <f>_xlfn.NEGBINOM.DIST(C36,D36,0.25,FALSE)</f>
        <v>3.2958984374999986E-2</v>
      </c>
      <c r="J36">
        <f>_xlfn.NEGBINOM.DIST(D36,E36,0.25,FALSE)</f>
        <v>2.1629333496093753E-2</v>
      </c>
      <c r="K36">
        <f t="shared" ref="K36:M36" si="42">_xlfn.NEGBINOM.DIST(E36,F36,0.25,FALSE)</f>
        <v>4.5307539403438481E-4</v>
      </c>
      <c r="L36">
        <f t="shared" si="42"/>
        <v>1.1839078458706345E-3</v>
      </c>
      <c r="M36">
        <f t="shared" si="42"/>
        <v>2.8491085855564241E-4</v>
      </c>
      <c r="N36">
        <f>_xlfn.NEGBINOM.DIST(H36,G36,0.25,FALSE)</f>
        <v>6.1540745448018771E-3</v>
      </c>
      <c r="O36">
        <v>3.2958984374999986E-2</v>
      </c>
      <c r="P36">
        <v>2.1629333496093753E-2</v>
      </c>
      <c r="Q36">
        <v>4.5307539403438481E-4</v>
      </c>
      <c r="R36">
        <v>1.1839078458706345E-3</v>
      </c>
      <c r="S36">
        <v>2.8491085855564241E-4</v>
      </c>
      <c r="T36">
        <v>6.1540745448018771E-3</v>
      </c>
    </row>
    <row r="37" spans="2:20" x14ac:dyDescent="0.25">
      <c r="B37" s="1" t="s">
        <v>22</v>
      </c>
      <c r="C37">
        <v>3</v>
      </c>
      <c r="D37">
        <v>4</v>
      </c>
      <c r="E37">
        <v>5</v>
      </c>
      <c r="F37">
        <v>10</v>
      </c>
      <c r="G37">
        <v>12</v>
      </c>
      <c r="H37">
        <v>15</v>
      </c>
      <c r="I37">
        <f>NEGBINOMDIST(C37,D37,0.25)</f>
        <v>3.2958984374999986E-2</v>
      </c>
      <c r="J37">
        <f t="shared" ref="J37:M37" si="43">NEGBINOMDIST(D37,E37,0.25)</f>
        <v>2.1629333496093753E-2</v>
      </c>
      <c r="K37">
        <f t="shared" si="43"/>
        <v>4.5307539403438481E-4</v>
      </c>
      <c r="L37">
        <f t="shared" si="43"/>
        <v>1.1839078458706345E-3</v>
      </c>
      <c r="M37">
        <f t="shared" si="43"/>
        <v>2.8491085855564241E-4</v>
      </c>
      <c r="N37">
        <f>NEGBINOMDIST(H37,G37,0.25)</f>
        <v>6.1540745448018771E-3</v>
      </c>
      <c r="O37">
        <v>3.2958984374999986E-2</v>
      </c>
      <c r="P37">
        <v>2.1629333496093753E-2</v>
      </c>
      <c r="Q37">
        <v>4.5307539403438481E-4</v>
      </c>
      <c r="R37">
        <v>1.1839078458706345E-3</v>
      </c>
      <c r="S37">
        <v>2.8491085855564241E-4</v>
      </c>
      <c r="T37">
        <v>6.1540745448018771E-3</v>
      </c>
    </row>
    <row r="38" spans="2:20" x14ac:dyDescent="0.25">
      <c r="B38" s="1" t="s">
        <v>25</v>
      </c>
      <c r="C38">
        <v>2</v>
      </c>
      <c r="D38">
        <v>10</v>
      </c>
      <c r="E38">
        <v>3</v>
      </c>
      <c r="F38">
        <v>5</v>
      </c>
      <c r="G38">
        <v>6</v>
      </c>
      <c r="H38">
        <v>8</v>
      </c>
      <c r="I38">
        <f>_xlfn.CHISQ.DIST(C38,D38,TRUE)</f>
        <v>3.6598468273437122E-3</v>
      </c>
      <c r="J38">
        <f t="shared" ref="J38:M38" si="44">_xlfn.CHISQ.DIST(D38,E38,TRUE)</f>
        <v>0.98143386453695669</v>
      </c>
      <c r="K38">
        <f t="shared" si="44"/>
        <v>0.3000141641213725</v>
      </c>
      <c r="L38">
        <f t="shared" si="44"/>
        <v>0.45618688411667041</v>
      </c>
      <c r="M38">
        <f t="shared" si="44"/>
        <v>0.35276811121776874</v>
      </c>
      <c r="N38">
        <f>_xlfn.CHISQ.DIST(H38,G38,TRUE)</f>
        <v>0.76189669444645569</v>
      </c>
      <c r="O38">
        <v>3.6598468273437122E-3</v>
      </c>
      <c r="P38">
        <v>0.98143386453695669</v>
      </c>
      <c r="Q38">
        <v>0.3000141641213725</v>
      </c>
      <c r="R38">
        <v>0.45618688411667041</v>
      </c>
      <c r="S38">
        <v>0.35276811121776874</v>
      </c>
      <c r="T38">
        <v>0.76189669444645569</v>
      </c>
    </row>
    <row r="39" spans="2:20" x14ac:dyDescent="0.25">
      <c r="B39" s="1" t="s">
        <v>25</v>
      </c>
      <c r="C39">
        <v>2</v>
      </c>
      <c r="D39">
        <v>10</v>
      </c>
      <c r="E39">
        <v>3</v>
      </c>
      <c r="F39">
        <v>5</v>
      </c>
      <c r="G39">
        <v>6</v>
      </c>
      <c r="H39">
        <v>8</v>
      </c>
      <c r="I39">
        <f>_xlfn.CHISQ.DIST(C39,D39,FALSE)</f>
        <v>7.6641550244050498E-3</v>
      </c>
      <c r="J39">
        <f t="shared" ref="J39:M39" si="45">_xlfn.CHISQ.DIST(D39,E39,FALSE)</f>
        <v>8.5003666025203466E-3</v>
      </c>
      <c r="K39">
        <f t="shared" si="45"/>
        <v>0.15418032980376931</v>
      </c>
      <c r="L39">
        <f t="shared" si="45"/>
        <v>0.12825781034984188</v>
      </c>
      <c r="M39">
        <f t="shared" si="45"/>
        <v>0.11202090382769389</v>
      </c>
      <c r="N39">
        <f>_xlfn.CHISQ.DIST(H39,G39,FALSE)</f>
        <v>7.3262555554936729E-2</v>
      </c>
      <c r="O39">
        <v>7.6641550244050498E-3</v>
      </c>
      <c r="P39">
        <v>8.5003666025203466E-3</v>
      </c>
      <c r="Q39">
        <v>0.15418032980376931</v>
      </c>
      <c r="R39">
        <v>0.12825781034984188</v>
      </c>
      <c r="S39">
        <v>0.11202090382769389</v>
      </c>
      <c r="T39">
        <v>7.3262555554936729E-2</v>
      </c>
    </row>
    <row r="40" spans="2:20" x14ac:dyDescent="0.25">
      <c r="B40" s="1" t="s">
        <v>23</v>
      </c>
      <c r="C40">
        <v>2</v>
      </c>
      <c r="D40">
        <v>10</v>
      </c>
      <c r="E40">
        <v>3</v>
      </c>
      <c r="F40">
        <v>5</v>
      </c>
      <c r="G40">
        <v>6</v>
      </c>
      <c r="H40">
        <v>8</v>
      </c>
      <c r="I40">
        <f>CHIDIST(C40,D40)</f>
        <v>0.99634015317265634</v>
      </c>
      <c r="J40">
        <f t="shared" ref="J40:M40" si="46">CHIDIST(D40,E40)</f>
        <v>1.8566135463043237E-2</v>
      </c>
      <c r="K40">
        <f t="shared" si="46"/>
        <v>0.6999858358786275</v>
      </c>
      <c r="L40">
        <f t="shared" si="46"/>
        <v>0.54381311588332959</v>
      </c>
      <c r="M40">
        <f t="shared" si="46"/>
        <v>0.64723188878223126</v>
      </c>
      <c r="N40">
        <f>CHIDIST(H40,G40)</f>
        <v>0.23810330555354431</v>
      </c>
      <c r="O40">
        <v>0.99634015317265634</v>
      </c>
      <c r="P40">
        <v>1.8566135463043237E-2</v>
      </c>
      <c r="Q40">
        <v>0.6999858358786275</v>
      </c>
      <c r="R40">
        <v>0.54381311588332959</v>
      </c>
      <c r="S40">
        <v>0.64723188878223126</v>
      </c>
      <c r="T40">
        <v>0.23810330555354431</v>
      </c>
    </row>
    <row r="41" spans="2:20" x14ac:dyDescent="0.25">
      <c r="B41" s="1" t="s">
        <v>26</v>
      </c>
      <c r="C41">
        <v>2</v>
      </c>
      <c r="D41">
        <v>10</v>
      </c>
      <c r="E41">
        <v>3</v>
      </c>
      <c r="F41">
        <v>5</v>
      </c>
      <c r="G41">
        <v>6</v>
      </c>
      <c r="H41">
        <v>8</v>
      </c>
      <c r="I41">
        <f>_xlfn.CHISQ.DIST.RT(C41,D41)</f>
        <v>0.99634015317265634</v>
      </c>
      <c r="J41">
        <f t="shared" ref="J41:M41" si="47">_xlfn.CHISQ.DIST.RT(D41,E41)</f>
        <v>1.8566135463043237E-2</v>
      </c>
      <c r="K41">
        <f t="shared" si="47"/>
        <v>0.6999858358786275</v>
      </c>
      <c r="L41">
        <f t="shared" si="47"/>
        <v>0.54381311588332959</v>
      </c>
      <c r="M41">
        <f t="shared" si="47"/>
        <v>0.64723188878223126</v>
      </c>
      <c r="N41">
        <f>_xlfn.CHISQ.DIST.RT(H41,G41)</f>
        <v>0.23810330555354431</v>
      </c>
      <c r="O41">
        <v>0.99634015317265634</v>
      </c>
      <c r="P41">
        <v>1.8566135463043237E-2</v>
      </c>
      <c r="Q41">
        <v>0.6999858358786275</v>
      </c>
      <c r="R41">
        <v>0.54381311588332959</v>
      </c>
      <c r="S41">
        <v>0.64723188878223126</v>
      </c>
      <c r="T41">
        <v>0.23810330555354431</v>
      </c>
    </row>
    <row r="42" spans="2:20" x14ac:dyDescent="0.25">
      <c r="B42" s="1" t="s">
        <v>27</v>
      </c>
      <c r="C42">
        <v>0.1</v>
      </c>
      <c r="D42">
        <v>0.2</v>
      </c>
      <c r="E42">
        <v>0.3</v>
      </c>
      <c r="F42">
        <v>0.4</v>
      </c>
      <c r="G42">
        <v>0.6</v>
      </c>
      <c r="H42">
        <v>0.8</v>
      </c>
      <c r="I42">
        <f>_xlfn.CHISQ.INV(C42,20)</f>
        <v>12.442609210450064</v>
      </c>
      <c r="J42">
        <f t="shared" ref="J42:M42" si="48">_xlfn.CHISQ.INV(D42,20)</f>
        <v>14.578439217070521</v>
      </c>
      <c r="K42">
        <f t="shared" si="48"/>
        <v>16.265856485012783</v>
      </c>
      <c r="L42">
        <f t="shared" si="48"/>
        <v>17.80882947319424</v>
      </c>
      <c r="M42">
        <f t="shared" si="48"/>
        <v>20.951368377763714</v>
      </c>
      <c r="N42">
        <f>_xlfn.CHISQ.INV(H42,20)</f>
        <v>25.037505639637409</v>
      </c>
      <c r="O42">
        <v>12.442609210450064</v>
      </c>
      <c r="P42">
        <v>14.578439217070521</v>
      </c>
      <c r="Q42">
        <v>16.265856485012783</v>
      </c>
      <c r="R42">
        <v>17.80882947319424</v>
      </c>
      <c r="S42">
        <v>20.951368377763714</v>
      </c>
      <c r="T42">
        <v>25.037505639637409</v>
      </c>
    </row>
    <row r="43" spans="2:20" x14ac:dyDescent="0.25">
      <c r="B43" s="1" t="s">
        <v>28</v>
      </c>
      <c r="C43">
        <v>0.1</v>
      </c>
      <c r="D43">
        <v>0.2</v>
      </c>
      <c r="E43">
        <v>0.3</v>
      </c>
      <c r="F43">
        <v>0.4</v>
      </c>
      <c r="G43">
        <v>0.6</v>
      </c>
      <c r="H43">
        <v>0.8</v>
      </c>
      <c r="I43">
        <f>_xlfn.CHISQ.INV.RT(C43,20)</f>
        <v>28.411980584305635</v>
      </c>
      <c r="J43">
        <f t="shared" ref="J43:N43" si="49">_xlfn.CHISQ.INV.RT(D43,20)</f>
        <v>25.037505639637409</v>
      </c>
      <c r="K43">
        <f t="shared" si="49"/>
        <v>22.774545073646433</v>
      </c>
      <c r="L43">
        <f t="shared" si="49"/>
        <v>20.951368377763714</v>
      </c>
      <c r="M43">
        <f t="shared" si="49"/>
        <v>17.80882947319424</v>
      </c>
      <c r="N43">
        <f t="shared" si="49"/>
        <v>14.578439217070521</v>
      </c>
      <c r="O43">
        <v>28.411980584305635</v>
      </c>
      <c r="P43">
        <v>25.037505639637409</v>
      </c>
      <c r="Q43">
        <v>22.774545073646433</v>
      </c>
      <c r="R43">
        <v>20.951368377763714</v>
      </c>
      <c r="S43">
        <v>17.80882947319424</v>
      </c>
      <c r="T43">
        <v>14.578439217070521</v>
      </c>
    </row>
    <row r="44" spans="2:20" x14ac:dyDescent="0.25">
      <c r="B44" s="1" t="s">
        <v>24</v>
      </c>
      <c r="C44">
        <v>0.1</v>
      </c>
      <c r="D44">
        <v>0.2</v>
      </c>
      <c r="E44">
        <v>0.3</v>
      </c>
      <c r="F44">
        <v>0.4</v>
      </c>
      <c r="G44">
        <v>0.6</v>
      </c>
      <c r="H44">
        <v>0.8</v>
      </c>
      <c r="I44">
        <f>CHIINV(C44,20)</f>
        <v>28.411980584305635</v>
      </c>
      <c r="J44">
        <f t="shared" ref="J44:N44" si="50">CHIINV(D44,20)</f>
        <v>25.037505639637409</v>
      </c>
      <c r="K44">
        <f t="shared" si="50"/>
        <v>22.774545073646433</v>
      </c>
      <c r="L44">
        <f t="shared" si="50"/>
        <v>20.951368377763714</v>
      </c>
      <c r="M44">
        <f t="shared" si="50"/>
        <v>17.80882947319424</v>
      </c>
      <c r="N44">
        <f t="shared" si="50"/>
        <v>14.578439217070521</v>
      </c>
      <c r="O44">
        <v>28.411980584305635</v>
      </c>
      <c r="P44">
        <v>25.037505639637409</v>
      </c>
      <c r="Q44">
        <v>22.774545073646433</v>
      </c>
      <c r="R44">
        <v>20.951368377763714</v>
      </c>
      <c r="S44">
        <v>17.80882947319424</v>
      </c>
      <c r="T44">
        <v>14.578439217070521</v>
      </c>
    </row>
    <row r="45" spans="2:20" x14ac:dyDescent="0.25">
      <c r="B45" s="2" t="s">
        <v>29</v>
      </c>
      <c r="C45">
        <v>5</v>
      </c>
      <c r="D45">
        <v>10</v>
      </c>
      <c r="E45">
        <v>2</v>
      </c>
      <c r="F45">
        <v>0.8</v>
      </c>
      <c r="G45">
        <v>6</v>
      </c>
      <c r="H45">
        <v>1.2</v>
      </c>
      <c r="I45">
        <f>_xlfn.EXPON.DIST(C45,D45,TRUE)</f>
        <v>1</v>
      </c>
      <c r="J45">
        <f t="shared" ref="J45:M45" si="51">_xlfn.EXPON.DIST(D45,E45,TRUE)</f>
        <v>0.99999999793884642</v>
      </c>
      <c r="K45">
        <f t="shared" si="51"/>
        <v>0.79810348200534464</v>
      </c>
      <c r="L45">
        <f t="shared" si="51"/>
        <v>0.99177025295097998</v>
      </c>
      <c r="M45">
        <f t="shared" si="51"/>
        <v>0.99925341419162328</v>
      </c>
      <c r="N45">
        <f>_xlfn.EXPON.DIST(H45,G45,TRUE)</f>
        <v>0.99925341419162328</v>
      </c>
      <c r="O45">
        <v>1</v>
      </c>
      <c r="P45">
        <v>0.99999999793884642</v>
      </c>
      <c r="Q45">
        <v>0.79810348200534464</v>
      </c>
      <c r="R45">
        <v>0.99177025295097998</v>
      </c>
      <c r="S45">
        <v>0.99925341419162328</v>
      </c>
      <c r="T45">
        <v>0.99925341419162328</v>
      </c>
    </row>
    <row r="46" spans="2:20" x14ac:dyDescent="0.25">
      <c r="B46" s="2" t="s">
        <v>29</v>
      </c>
      <c r="C46">
        <v>5</v>
      </c>
      <c r="D46">
        <v>10</v>
      </c>
      <c r="E46">
        <v>2</v>
      </c>
      <c r="F46">
        <v>0.8</v>
      </c>
      <c r="G46">
        <v>6</v>
      </c>
      <c r="H46">
        <v>1.2</v>
      </c>
      <c r="I46">
        <f>_xlfn.EXPON.DIST(C46,D46,FALSE)</f>
        <v>1.9287498479639177E-21</v>
      </c>
      <c r="J46">
        <f t="shared" ref="J46:M46" si="52">_xlfn.EXPON.DIST(D46,E46,FALSE)</f>
        <v>4.1223072448771157E-9</v>
      </c>
      <c r="K46">
        <f t="shared" si="52"/>
        <v>0.16151721439572431</v>
      </c>
      <c r="L46">
        <f t="shared" si="52"/>
        <v>4.9378482294120139E-2</v>
      </c>
      <c r="M46">
        <f t="shared" si="52"/>
        <v>8.9590297005201578E-4</v>
      </c>
      <c r="N46">
        <f>_xlfn.EXPON.DIST(H46,G46,FALSE)</f>
        <v>4.4795148502600789E-3</v>
      </c>
      <c r="O46">
        <v>1.9287498479639177E-21</v>
      </c>
      <c r="P46">
        <v>4.1223072448771157E-9</v>
      </c>
      <c r="Q46">
        <v>0.16151721439572431</v>
      </c>
      <c r="R46">
        <v>4.9378482294120139E-2</v>
      </c>
      <c r="S46">
        <v>8.9590297005201578E-4</v>
      </c>
      <c r="T46">
        <v>4.4795148502600789E-3</v>
      </c>
    </row>
    <row r="47" spans="2:20" x14ac:dyDescent="0.25">
      <c r="B47" s="2" t="s">
        <v>30</v>
      </c>
      <c r="C47">
        <v>5</v>
      </c>
      <c r="D47">
        <v>10</v>
      </c>
      <c r="E47">
        <v>2</v>
      </c>
      <c r="F47">
        <v>0.8</v>
      </c>
      <c r="G47">
        <v>6</v>
      </c>
      <c r="H47">
        <v>1.2</v>
      </c>
      <c r="I47">
        <f>EXPONDIST(C47,D47,TRUE)</f>
        <v>1</v>
      </c>
      <c r="J47">
        <f t="shared" ref="J47:M48" si="53">EXPONDIST(D47,E47,TRUE)</f>
        <v>0.99999999793884642</v>
      </c>
      <c r="K47">
        <f t="shared" si="53"/>
        <v>0.79810348200534464</v>
      </c>
      <c r="L47">
        <f t="shared" si="53"/>
        <v>0.99177025295097998</v>
      </c>
      <c r="M47">
        <f t="shared" si="53"/>
        <v>0.99925341419162328</v>
      </c>
      <c r="N47">
        <f>EXPONDIST(H47,G47,TRUE)</f>
        <v>0.99925341419162328</v>
      </c>
      <c r="O47">
        <v>1</v>
      </c>
      <c r="P47">
        <v>0.99999999793884642</v>
      </c>
      <c r="Q47">
        <v>0.79810348200534464</v>
      </c>
      <c r="R47">
        <v>0.99177025295097998</v>
      </c>
      <c r="S47">
        <v>0.99925341419162328</v>
      </c>
      <c r="T47">
        <v>0.99925341419162328</v>
      </c>
    </row>
    <row r="48" spans="2:20" x14ac:dyDescent="0.25">
      <c r="B48" s="2" t="s">
        <v>30</v>
      </c>
      <c r="C48">
        <v>5</v>
      </c>
      <c r="D48">
        <v>10</v>
      </c>
      <c r="E48">
        <v>2</v>
      </c>
      <c r="F48">
        <v>0.8</v>
      </c>
      <c r="G48">
        <v>6</v>
      </c>
      <c r="H48">
        <v>1.2</v>
      </c>
      <c r="I48">
        <f>EXPONDIST(C48,D48,TRUE)</f>
        <v>1</v>
      </c>
      <c r="J48">
        <f t="shared" si="53"/>
        <v>0.99999999793884642</v>
      </c>
      <c r="K48">
        <f t="shared" si="53"/>
        <v>0.79810348200534464</v>
      </c>
      <c r="L48">
        <f t="shared" si="53"/>
        <v>0.99177025295097998</v>
      </c>
      <c r="M48">
        <f t="shared" si="53"/>
        <v>0.99925341419162328</v>
      </c>
      <c r="N48">
        <f>EXPONDIST(H48,G48,TRUE)</f>
        <v>0.99925341419162328</v>
      </c>
      <c r="O48">
        <v>1</v>
      </c>
      <c r="P48">
        <v>0.99999999793884642</v>
      </c>
      <c r="Q48">
        <v>0.79810348200534464</v>
      </c>
      <c r="R48">
        <v>0.99177025295097998</v>
      </c>
      <c r="S48">
        <v>0.99925341419162328</v>
      </c>
      <c r="T48">
        <v>0.99925341419162328</v>
      </c>
    </row>
    <row r="49" spans="2:20" x14ac:dyDescent="0.25">
      <c r="B49" s="2" t="s">
        <v>31</v>
      </c>
      <c r="C49">
        <v>2</v>
      </c>
      <c r="D49">
        <v>6</v>
      </c>
      <c r="E49">
        <v>3</v>
      </c>
      <c r="F49">
        <v>0.1</v>
      </c>
      <c r="G49">
        <v>0.5</v>
      </c>
      <c r="H49">
        <v>0.8</v>
      </c>
      <c r="I49">
        <f>_xlfn.F.DIST(C49,10,20,TRUE)</f>
        <v>0.91021728515625</v>
      </c>
      <c r="J49">
        <f t="shared" ref="J49:N49" si="54">_xlfn.F.DIST(D49,10,20,TRUE)</f>
        <v>0.99965812638401985</v>
      </c>
      <c r="K49">
        <f t="shared" si="54"/>
        <v>0.9824904585216</v>
      </c>
      <c r="L49">
        <f t="shared" si="54"/>
        <v>3.4109735891311066E-4</v>
      </c>
      <c r="M49">
        <f t="shared" si="54"/>
        <v>0.12983962583039996</v>
      </c>
      <c r="N49">
        <f t="shared" si="54"/>
        <v>0.36931644211368009</v>
      </c>
      <c r="O49">
        <v>0.91021728515625</v>
      </c>
      <c r="P49">
        <v>0.99965812638401985</v>
      </c>
      <c r="Q49">
        <v>0.9824904585216</v>
      </c>
      <c r="R49">
        <v>3.4109735891311066E-4</v>
      </c>
      <c r="S49">
        <v>0.12983962583039996</v>
      </c>
      <c r="T49">
        <v>0.36931644211368009</v>
      </c>
    </row>
    <row r="50" spans="2:20" x14ac:dyDescent="0.25">
      <c r="B50" s="2" t="s">
        <v>31</v>
      </c>
      <c r="C50">
        <v>2</v>
      </c>
      <c r="D50">
        <v>6</v>
      </c>
      <c r="E50">
        <v>3</v>
      </c>
      <c r="F50">
        <v>0.1</v>
      </c>
      <c r="G50">
        <v>0.5</v>
      </c>
      <c r="H50">
        <v>0.8</v>
      </c>
      <c r="I50">
        <f>_xlfn.F.DIST(C50,10,20,FALSE)</f>
        <v>0.15274047851562508</v>
      </c>
      <c r="J50">
        <f t="shared" ref="J50:N50" si="55">_xlfn.F.DIST(D50,10,20,FALSE)</f>
        <v>3.7756282836198915E-4</v>
      </c>
      <c r="K50">
        <f t="shared" si="55"/>
        <v>2.7206269009920049E-2</v>
      </c>
      <c r="L50">
        <f t="shared" si="55"/>
        <v>1.5046816099658194E-2</v>
      </c>
      <c r="M50">
        <f t="shared" si="55"/>
        <v>0.68788196212736052</v>
      </c>
      <c r="N50">
        <f t="shared" si="55"/>
        <v>0.82361360496558378</v>
      </c>
      <c r="O50">
        <v>0.15274047851562508</v>
      </c>
      <c r="P50">
        <v>3.7756282836198915E-4</v>
      </c>
      <c r="Q50">
        <v>2.7206269009920049E-2</v>
      </c>
      <c r="R50">
        <v>1.5046816099658194E-2</v>
      </c>
      <c r="S50">
        <v>0.68788196212736052</v>
      </c>
      <c r="T50">
        <v>0.82361360496558378</v>
      </c>
    </row>
    <row r="51" spans="2:20" x14ac:dyDescent="0.25">
      <c r="B51" s="2" t="s">
        <v>32</v>
      </c>
      <c r="C51">
        <v>2</v>
      </c>
      <c r="D51">
        <v>6</v>
      </c>
      <c r="E51">
        <v>3</v>
      </c>
      <c r="F51">
        <v>0.1</v>
      </c>
      <c r="G51">
        <v>0.5</v>
      </c>
      <c r="H51">
        <v>0.8</v>
      </c>
      <c r="I51">
        <f>_xlfn.F.DIST.RT(C51,10,20)</f>
        <v>8.9782714843750028E-2</v>
      </c>
      <c r="J51">
        <f t="shared" ref="J51:M51" si="56">_xlfn.F.DIST.RT(D51,10,20)</f>
        <v>3.4187361598014842E-4</v>
      </c>
      <c r="K51">
        <f t="shared" si="56"/>
        <v>1.7509541478400011E-2</v>
      </c>
      <c r="L51">
        <f t="shared" si="56"/>
        <v>0.99965890264108692</v>
      </c>
      <c r="M51">
        <f t="shared" si="56"/>
        <v>0.87016037416960001</v>
      </c>
      <c r="N51">
        <f>_xlfn.F.DIST.RT(H51,10,20)</f>
        <v>0.63068355788631991</v>
      </c>
      <c r="O51">
        <v>8.9782714843750028E-2</v>
      </c>
      <c r="P51">
        <v>3.4187361598014842E-4</v>
      </c>
      <c r="Q51">
        <v>1.7509541478400011E-2</v>
      </c>
      <c r="R51">
        <v>0.99965890264108692</v>
      </c>
      <c r="S51">
        <v>0.87016037416960001</v>
      </c>
      <c r="T51">
        <v>0.63068355788631991</v>
      </c>
    </row>
    <row r="52" spans="2:20" x14ac:dyDescent="0.25">
      <c r="B52" s="2" t="s">
        <v>33</v>
      </c>
      <c r="C52">
        <v>0.1</v>
      </c>
      <c r="D52">
        <v>0.2</v>
      </c>
      <c r="E52">
        <v>0.5</v>
      </c>
      <c r="F52">
        <v>0.7</v>
      </c>
      <c r="G52">
        <v>0.9</v>
      </c>
      <c r="H52">
        <v>0.85</v>
      </c>
      <c r="I52">
        <f>_xlfn.F.INV(C52,10,20)</f>
        <v>0.45439180465869666</v>
      </c>
      <c r="J52">
        <f t="shared" ref="J52:N52" si="57">_xlfn.F.INV(D52,10,20)</f>
        <v>0.59444121490200652</v>
      </c>
      <c r="K52">
        <f t="shared" si="57"/>
        <v>0.9662638885929159</v>
      </c>
      <c r="L52">
        <f t="shared" si="57"/>
        <v>1.2901274924676853</v>
      </c>
      <c r="M52">
        <f t="shared" si="57"/>
        <v>1.9367382987079771</v>
      </c>
      <c r="N52">
        <f t="shared" si="57"/>
        <v>1.6997440099385506</v>
      </c>
      <c r="O52">
        <v>0.45439180465869666</v>
      </c>
      <c r="P52">
        <v>0.59444121490200652</v>
      </c>
      <c r="Q52">
        <v>0.9662638885929159</v>
      </c>
      <c r="R52">
        <v>1.2901274924676853</v>
      </c>
      <c r="S52">
        <v>1.9367382987079771</v>
      </c>
      <c r="T52">
        <v>1.6997440099385506</v>
      </c>
    </row>
    <row r="53" spans="2:20" x14ac:dyDescent="0.25">
      <c r="B53" s="2" t="s">
        <v>34</v>
      </c>
      <c r="C53">
        <v>0.1</v>
      </c>
      <c r="D53">
        <v>0.2</v>
      </c>
      <c r="E53">
        <v>0.5</v>
      </c>
      <c r="F53">
        <v>0.7</v>
      </c>
      <c r="G53">
        <v>0.9</v>
      </c>
      <c r="H53">
        <v>0.85</v>
      </c>
      <c r="I53">
        <f>_xlfn.F.INV.RT(C53,10,20)</f>
        <v>1.9367382987079771</v>
      </c>
      <c r="J53">
        <f t="shared" ref="J53:N53" si="58">_xlfn.F.INV.RT(D53,10,20)</f>
        <v>1.5313478490276087</v>
      </c>
      <c r="K53">
        <f t="shared" si="58"/>
        <v>0.96626388859291623</v>
      </c>
      <c r="L53">
        <f t="shared" si="58"/>
        <v>0.71663461587784105</v>
      </c>
      <c r="M53">
        <f t="shared" si="58"/>
        <v>0.4543918046586965</v>
      </c>
      <c r="N53">
        <f t="shared" si="58"/>
        <v>0.52853128716148834</v>
      </c>
      <c r="O53">
        <v>1.9367382987079771</v>
      </c>
      <c r="P53">
        <v>1.5313478490276087</v>
      </c>
      <c r="Q53">
        <v>0.96626388859291623</v>
      </c>
      <c r="R53">
        <v>0.71663461587784105</v>
      </c>
      <c r="S53">
        <v>0.4543918046586965</v>
      </c>
      <c r="T53">
        <v>0.52853128716148834</v>
      </c>
    </row>
    <row r="54" spans="2:20" x14ac:dyDescent="0.25">
      <c r="B54" s="2" t="s">
        <v>35</v>
      </c>
      <c r="C54">
        <v>5</v>
      </c>
      <c r="D54">
        <v>9</v>
      </c>
      <c r="E54">
        <v>2</v>
      </c>
      <c r="F54">
        <v>5</v>
      </c>
      <c r="G54">
        <v>36</v>
      </c>
      <c r="H54">
        <v>37</v>
      </c>
      <c r="I54">
        <f t="shared" ref="I54:M54" si="59">POISSON(C54,D54,TRUE)</f>
        <v>0.11569052084105776</v>
      </c>
      <c r="J54">
        <f t="shared" si="59"/>
        <v>0.99995350192498278</v>
      </c>
      <c r="K54">
        <f t="shared" si="59"/>
        <v>0.12465201948308113</v>
      </c>
      <c r="L54">
        <f t="shared" si="59"/>
        <v>1.3507272658311719E-10</v>
      </c>
      <c r="M54">
        <f t="shared" si="59"/>
        <v>0.47813501397678149</v>
      </c>
      <c r="N54">
        <f>POISSON(H54,G54,TRUE)</f>
        <v>0.60871374844753623</v>
      </c>
      <c r="O54">
        <v>0.11569052084105776</v>
      </c>
      <c r="P54">
        <v>0.99995350192498278</v>
      </c>
      <c r="Q54">
        <v>0.12465201948308113</v>
      </c>
      <c r="R54">
        <v>1.3507272658311719E-10</v>
      </c>
      <c r="S54">
        <v>0.47813501397678149</v>
      </c>
      <c r="T54">
        <v>0.60871374844753623</v>
      </c>
    </row>
    <row r="55" spans="2:20" x14ac:dyDescent="0.25">
      <c r="B55" s="2" t="s">
        <v>35</v>
      </c>
      <c r="C55">
        <v>5</v>
      </c>
      <c r="D55">
        <v>9</v>
      </c>
      <c r="E55">
        <v>2</v>
      </c>
      <c r="F55">
        <v>5</v>
      </c>
      <c r="G55">
        <v>36</v>
      </c>
      <c r="H55">
        <v>37</v>
      </c>
      <c r="I55">
        <f>POISSON(C55,D55,FALSE)</f>
        <v>6.0726879345952833E-2</v>
      </c>
      <c r="J55">
        <f t="shared" ref="J55:M55" si="60">POISSON(D55,E55,FALSE)</f>
        <v>1.9094925324389769E-4</v>
      </c>
      <c r="K55">
        <f t="shared" si="60"/>
        <v>8.4224337488568335E-2</v>
      </c>
      <c r="L55">
        <f t="shared" si="60"/>
        <v>1.1687722974127176E-10</v>
      </c>
      <c r="M55">
        <f t="shared" si="60"/>
        <v>6.5438161144594345E-2</v>
      </c>
      <c r="N55">
        <f>POISSON(H55,G55,FALSE)</f>
        <v>6.4543766693158977E-2</v>
      </c>
      <c r="O55">
        <v>6.0726879345952833E-2</v>
      </c>
      <c r="P55">
        <v>1.9094925324389769E-4</v>
      </c>
      <c r="Q55">
        <v>8.4224337488568335E-2</v>
      </c>
      <c r="R55">
        <v>1.1687722974127176E-10</v>
      </c>
      <c r="S55">
        <v>6.5438161144594345E-2</v>
      </c>
      <c r="T55">
        <v>6.4543766693158977E-2</v>
      </c>
    </row>
    <row r="56" spans="2:20" x14ac:dyDescent="0.25">
      <c r="B56" s="2" t="s">
        <v>36</v>
      </c>
      <c r="C56">
        <v>5</v>
      </c>
      <c r="D56">
        <v>9</v>
      </c>
      <c r="E56">
        <v>2</v>
      </c>
      <c r="F56">
        <v>5</v>
      </c>
      <c r="G56">
        <v>36</v>
      </c>
      <c r="H56">
        <v>37</v>
      </c>
      <c r="I56">
        <f>_xlfn.POISSON.DIST(C56,D56,TRUE)</f>
        <v>0.11569052084105776</v>
      </c>
      <c r="J56">
        <f t="shared" ref="J56:M56" si="61">_xlfn.POISSON.DIST(D56,E56,TRUE)</f>
        <v>0.99995350192498278</v>
      </c>
      <c r="K56">
        <f t="shared" si="61"/>
        <v>0.12465201948308113</v>
      </c>
      <c r="L56">
        <f t="shared" si="61"/>
        <v>1.3507272658311719E-10</v>
      </c>
      <c r="M56">
        <f t="shared" si="61"/>
        <v>0.47813501397678149</v>
      </c>
      <c r="N56">
        <f>_xlfn.POISSON.DIST(H56,G56,TRUE)</f>
        <v>0.60871374844753623</v>
      </c>
      <c r="O56">
        <v>0.11569052084105776</v>
      </c>
      <c r="P56">
        <v>0.99995350192498278</v>
      </c>
      <c r="Q56">
        <v>0.12465201948308113</v>
      </c>
      <c r="R56">
        <v>1.3507272658311719E-10</v>
      </c>
      <c r="S56">
        <v>0.47813501397678149</v>
      </c>
      <c r="T56">
        <v>0.60871374844753623</v>
      </c>
    </row>
    <row r="57" spans="2:20" x14ac:dyDescent="0.25">
      <c r="B57" s="2" t="s">
        <v>36</v>
      </c>
      <c r="C57">
        <v>5</v>
      </c>
      <c r="D57">
        <v>9</v>
      </c>
      <c r="E57">
        <v>2</v>
      </c>
      <c r="F57">
        <v>5</v>
      </c>
      <c r="G57">
        <v>36</v>
      </c>
      <c r="H57">
        <v>37</v>
      </c>
      <c r="I57">
        <f>_xlfn.POISSON.DIST(C57,D57,FALSE)</f>
        <v>6.0726879345952833E-2</v>
      </c>
      <c r="J57">
        <f t="shared" ref="J57:M57" si="62">_xlfn.POISSON.DIST(D57,E57,FALSE)</f>
        <v>1.9094925324389769E-4</v>
      </c>
      <c r="K57">
        <f t="shared" si="62"/>
        <v>8.4224337488568335E-2</v>
      </c>
      <c r="L57">
        <f t="shared" si="62"/>
        <v>1.1687722974127176E-10</v>
      </c>
      <c r="M57">
        <f t="shared" si="62"/>
        <v>6.5438161144594345E-2</v>
      </c>
      <c r="N57">
        <f>_xlfn.POISSON.DIST(H57,G57,FALSE)</f>
        <v>6.4543766693158977E-2</v>
      </c>
      <c r="O57">
        <v>6.0726879345952833E-2</v>
      </c>
      <c r="P57">
        <v>1.9094925324389769E-4</v>
      </c>
      <c r="Q57">
        <v>8.4224337488568335E-2</v>
      </c>
      <c r="R57">
        <v>1.1687722974127176E-10</v>
      </c>
      <c r="S57">
        <v>6.5438161144594345E-2</v>
      </c>
      <c r="T57">
        <v>6.4543766693158977E-2</v>
      </c>
    </row>
    <row r="58" spans="2:20" x14ac:dyDescent="0.25">
      <c r="B58" s="2" t="s">
        <v>37</v>
      </c>
      <c r="C58">
        <v>5</v>
      </c>
      <c r="D58">
        <v>9</v>
      </c>
      <c r="E58">
        <v>2</v>
      </c>
      <c r="F58">
        <v>5</v>
      </c>
      <c r="G58">
        <v>36</v>
      </c>
      <c r="H58">
        <v>37</v>
      </c>
      <c r="I58">
        <f>_xlfn.T.DIST(C58,D58,TRUE)</f>
        <v>0.99963051604509834</v>
      </c>
      <c r="J58">
        <f t="shared" ref="J58:M58" si="63">_xlfn.T.DIST(D58,E58,TRUE)</f>
        <v>0.99393916995360654</v>
      </c>
      <c r="K58">
        <f t="shared" si="63"/>
        <v>0.94903026058507078</v>
      </c>
      <c r="L58">
        <f t="shared" si="63"/>
        <v>0.99999248803362806</v>
      </c>
      <c r="M58">
        <f t="shared" si="63"/>
        <v>1</v>
      </c>
      <c r="N58">
        <f>_xlfn.T.DIST(H58,F58,TRUE)</f>
        <v>0.99999986420859033</v>
      </c>
      <c r="O58">
        <v>0.99963051604509834</v>
      </c>
      <c r="P58">
        <v>0.99393916995360654</v>
      </c>
      <c r="Q58">
        <v>0.94903026058507078</v>
      </c>
      <c r="R58">
        <v>0.99999248803362806</v>
      </c>
      <c r="S58">
        <v>1</v>
      </c>
      <c r="T58">
        <v>0.99999986420859033</v>
      </c>
    </row>
    <row r="59" spans="2:20" x14ac:dyDescent="0.25">
      <c r="B59" s="2" t="s">
        <v>37</v>
      </c>
      <c r="C59">
        <v>5</v>
      </c>
      <c r="D59">
        <v>9</v>
      </c>
      <c r="E59">
        <v>2</v>
      </c>
      <c r="F59">
        <v>5</v>
      </c>
      <c r="G59">
        <v>36</v>
      </c>
      <c r="H59">
        <v>37</v>
      </c>
      <c r="I59">
        <f>_xlfn.T.DIST(C59,D59,FALSE)</f>
        <v>5.0429975813504361E-4</v>
      </c>
      <c r="J59">
        <f t="shared" ref="J59:M59" si="64">_xlfn.T.DIST(D59,E59,FALSE)</f>
        <v>1.3224609637312082E-3</v>
      </c>
      <c r="K59">
        <f t="shared" si="64"/>
        <v>6.5090310326216497E-2</v>
      </c>
      <c r="L59">
        <f t="shared" si="64"/>
        <v>2.2955609901380464E-5</v>
      </c>
      <c r="M59">
        <f t="shared" si="64"/>
        <v>1.0520488815372072E-30</v>
      </c>
      <c r="N59">
        <f>_xlfn.T.DIST(H59,F59,FALSE)</f>
        <v>1.8292946837654744E-8</v>
      </c>
      <c r="O59">
        <v>5.0429975813504361E-4</v>
      </c>
      <c r="P59">
        <v>1.3224609637312082E-3</v>
      </c>
      <c r="Q59">
        <v>6.5090310326216497E-2</v>
      </c>
      <c r="R59">
        <v>2.2955609901380464E-5</v>
      </c>
      <c r="S59">
        <v>1.0520488815372072E-30</v>
      </c>
      <c r="T59">
        <v>1.8292946837654744E-8</v>
      </c>
    </row>
    <row r="60" spans="2:20" x14ac:dyDescent="0.25">
      <c r="B60" s="2" t="s">
        <v>42</v>
      </c>
      <c r="C60">
        <v>5</v>
      </c>
      <c r="D60">
        <v>9</v>
      </c>
      <c r="E60">
        <v>2</v>
      </c>
      <c r="F60">
        <v>5</v>
      </c>
      <c r="G60">
        <v>36</v>
      </c>
      <c r="H60">
        <v>37</v>
      </c>
      <c r="I60">
        <f>TDIST(C60,D60,1)</f>
        <v>3.6948395490162125E-4</v>
      </c>
      <c r="J60">
        <f t="shared" ref="J60:M60" si="65">TDIST(D60,E60,1)</f>
        <v>6.0608300463934348E-3</v>
      </c>
      <c r="K60">
        <f t="shared" si="65"/>
        <v>5.0969739414929181E-2</v>
      </c>
      <c r="L60">
        <f t="shared" si="65"/>
        <v>7.511966371895437E-6</v>
      </c>
      <c r="M60">
        <f t="shared" si="65"/>
        <v>1.0520695974499956E-30</v>
      </c>
      <c r="N60">
        <f>TDIST(H60,E60,1)</f>
        <v>3.6483040246253174E-4</v>
      </c>
      <c r="O60">
        <v>3.6948395490162125E-4</v>
      </c>
      <c r="P60">
        <v>6.0608300463934348E-3</v>
      </c>
      <c r="Q60">
        <v>5.0969739414929181E-2</v>
      </c>
      <c r="R60">
        <v>7.511966371895437E-6</v>
      </c>
      <c r="S60">
        <v>1.0520695974499956E-30</v>
      </c>
      <c r="T60">
        <v>3.6483040246253174E-4</v>
      </c>
    </row>
    <row r="61" spans="2:20" x14ac:dyDescent="0.25">
      <c r="B61" s="2" t="s">
        <v>42</v>
      </c>
      <c r="C61">
        <v>5</v>
      </c>
      <c r="D61">
        <v>9</v>
      </c>
      <c r="E61">
        <v>2</v>
      </c>
      <c r="F61">
        <v>5</v>
      </c>
      <c r="G61">
        <v>36</v>
      </c>
      <c r="H61">
        <v>37</v>
      </c>
      <c r="I61">
        <f>TDIST(C61,D61,2)</f>
        <v>7.389679098032425E-4</v>
      </c>
      <c r="J61">
        <f t="shared" ref="J61:M61" si="66">TDIST(D61,E61,2)</f>
        <v>1.212166009278687E-2</v>
      </c>
      <c r="K61">
        <f t="shared" si="66"/>
        <v>0.10193947882985836</v>
      </c>
      <c r="L61">
        <f t="shared" si="66"/>
        <v>1.5023932743790874E-5</v>
      </c>
      <c r="M61">
        <f t="shared" si="66"/>
        <v>2.1041391948999912E-30</v>
      </c>
      <c r="N61">
        <f>TDIST(H61,E61,2)</f>
        <v>7.2966080492506348E-4</v>
      </c>
      <c r="O61">
        <v>7.389679098032425E-4</v>
      </c>
      <c r="P61">
        <v>1.212166009278687E-2</v>
      </c>
      <c r="Q61">
        <v>0.10193947882985836</v>
      </c>
      <c r="R61">
        <v>1.5023932743790874E-5</v>
      </c>
      <c r="S61">
        <v>2.1041391948999912E-30</v>
      </c>
      <c r="T61">
        <v>7.2966080492506348E-4</v>
      </c>
    </row>
    <row r="62" spans="2:20" x14ac:dyDescent="0.25">
      <c r="B62" s="2" t="s">
        <v>39</v>
      </c>
      <c r="C62">
        <v>1.2</v>
      </c>
      <c r="D62">
        <v>10</v>
      </c>
      <c r="E62">
        <v>54</v>
      </c>
      <c r="F62">
        <v>20</v>
      </c>
      <c r="G62">
        <v>30</v>
      </c>
      <c r="H62">
        <v>10</v>
      </c>
      <c r="I62">
        <f>_xlfn.T.DIST.RT(C62,D62)</f>
        <v>0.12889815036215296</v>
      </c>
      <c r="J62">
        <f>_xlfn.T.DIST.RT(D62,E62)</f>
        <v>3.419322081243374E-14</v>
      </c>
      <c r="K62">
        <f>_xlfn.T.DIST.RT(E62,F62)</f>
        <v>1.9013280335608733E-23</v>
      </c>
      <c r="L62">
        <f>_xlfn.T.DIST.RT(F62,G62)</f>
        <v>3.3745418328856443E-19</v>
      </c>
      <c r="M62">
        <f>_xlfn.T.DIST.RT(G62,H62)</f>
        <v>1.9808961710156617E-11</v>
      </c>
      <c r="N62">
        <f>_xlfn.T.DIST.RT(H62,E62)</f>
        <v>3.419322081243374E-14</v>
      </c>
      <c r="O62">
        <v>0.12889815036215296</v>
      </c>
      <c r="P62">
        <v>3.419322081243374E-14</v>
      </c>
      <c r="Q62">
        <v>1.9013280335608733E-23</v>
      </c>
      <c r="R62">
        <v>3.3745418328856443E-19</v>
      </c>
      <c r="S62">
        <v>1.9808961710156617E-11</v>
      </c>
      <c r="T62">
        <v>3.419322081243374E-14</v>
      </c>
    </row>
    <row r="63" spans="2:20" x14ac:dyDescent="0.25">
      <c r="B63" s="2" t="s">
        <v>38</v>
      </c>
      <c r="C63">
        <v>1.2</v>
      </c>
      <c r="D63">
        <v>10</v>
      </c>
      <c r="E63">
        <v>54</v>
      </c>
      <c r="F63">
        <v>20</v>
      </c>
      <c r="G63">
        <v>30</v>
      </c>
      <c r="H63">
        <v>10</v>
      </c>
      <c r="I63">
        <f>_xlfn.T.DIST.2T(C63,D63)</f>
        <v>0.25779630072430593</v>
      </c>
      <c r="J63">
        <f t="shared" ref="J63:M63" si="67">_xlfn.T.DIST.2T(D63,E63)</f>
        <v>6.838644162486748E-14</v>
      </c>
      <c r="K63">
        <f t="shared" si="67"/>
        <v>3.8026560671217467E-23</v>
      </c>
      <c r="L63">
        <f t="shared" si="67"/>
        <v>6.7490836657712885E-19</v>
      </c>
      <c r="M63">
        <f t="shared" si="67"/>
        <v>3.9617923420313234E-11</v>
      </c>
      <c r="N63">
        <f>_xlfn.T.DIST.2T(H63,D63)</f>
        <v>1.5895531755964116E-6</v>
      </c>
      <c r="O63">
        <v>0.25779630072430593</v>
      </c>
      <c r="P63">
        <v>6.838644162486748E-14</v>
      </c>
      <c r="Q63">
        <v>3.8026560671217467E-23</v>
      </c>
      <c r="R63">
        <v>6.7490836657712885E-19</v>
      </c>
      <c r="S63">
        <v>3.9617923420313234E-11</v>
      </c>
      <c r="T63">
        <v>1.5895531755964116E-6</v>
      </c>
    </row>
    <row r="64" spans="2:20" x14ac:dyDescent="0.25">
      <c r="B64" s="2" t="s">
        <v>40</v>
      </c>
      <c r="C64">
        <v>0.1</v>
      </c>
      <c r="D64">
        <v>0.3</v>
      </c>
      <c r="E64">
        <v>0.5</v>
      </c>
      <c r="F64">
        <v>0.7</v>
      </c>
      <c r="G64">
        <v>0.9</v>
      </c>
      <c r="H64">
        <v>0.78</v>
      </c>
      <c r="I64">
        <f>_xlfn.T.INV(C64,10)</f>
        <v>-1.3721836411103363</v>
      </c>
      <c r="J64">
        <f t="shared" ref="J64:M64" si="68">_xlfn.T.INV(D64,10)</f>
        <v>-0.5415280387550151</v>
      </c>
      <c r="K64">
        <f>_xlfn.T.INV(E64,10)</f>
        <v>0</v>
      </c>
      <c r="L64">
        <f t="shared" si="68"/>
        <v>0.5415280387550151</v>
      </c>
      <c r="M64">
        <f t="shared" si="68"/>
        <v>1.3721836411103363</v>
      </c>
      <c r="N64">
        <f>_xlfn.T.INV(H64,10)</f>
        <v>0.80416518519864266</v>
      </c>
      <c r="O64">
        <v>-1.3721836411103363</v>
      </c>
      <c r="P64">
        <v>-0.5415280387550151</v>
      </c>
      <c r="Q64">
        <v>0</v>
      </c>
      <c r="R64">
        <v>0.5415280387550151</v>
      </c>
      <c r="S64">
        <v>1.3721836411103363</v>
      </c>
      <c r="T64">
        <v>0.80416518519864266</v>
      </c>
    </row>
    <row r="65" spans="2:20" x14ac:dyDescent="0.25">
      <c r="B65" s="2" t="s">
        <v>41</v>
      </c>
      <c r="C65">
        <v>0.1</v>
      </c>
      <c r="D65">
        <v>0.3</v>
      </c>
      <c r="E65">
        <v>0.5</v>
      </c>
      <c r="F65">
        <v>0.7</v>
      </c>
      <c r="G65">
        <v>0.9</v>
      </c>
      <c r="H65">
        <v>0.78</v>
      </c>
      <c r="I65">
        <f>_xlfn.T.INV.2T(C65,10)</f>
        <v>1.812461122811676</v>
      </c>
      <c r="J65">
        <f t="shared" ref="J65:N65" si="69">_xlfn.T.INV.2T(D65,10)</f>
        <v>1.0930580735905258</v>
      </c>
      <c r="K65">
        <f t="shared" si="69"/>
        <v>0.69981206131243168</v>
      </c>
      <c r="L65">
        <f t="shared" si="69"/>
        <v>0.39659149375562264</v>
      </c>
      <c r="M65">
        <f t="shared" si="69"/>
        <v>0.12889018929327162</v>
      </c>
      <c r="N65">
        <f t="shared" si="69"/>
        <v>0.28696125497573011</v>
      </c>
      <c r="O65">
        <v>1.812461122811676</v>
      </c>
      <c r="P65">
        <v>1.0930580735905258</v>
      </c>
      <c r="Q65">
        <v>0.69981206131243168</v>
      </c>
      <c r="R65">
        <v>0.39659149375562264</v>
      </c>
      <c r="S65">
        <v>0.12889018929327162</v>
      </c>
      <c r="T65">
        <v>0.28696125497573011</v>
      </c>
    </row>
    <row r="66" spans="2:20" x14ac:dyDescent="0.25">
      <c r="B66" s="1"/>
    </row>
    <row r="67" spans="2:20" x14ac:dyDescent="0.25">
      <c r="B67" s="1"/>
    </row>
    <row r="68" spans="2:20" x14ac:dyDescent="0.25">
      <c r="B68" s="1"/>
    </row>
    <row r="69" spans="2:20" x14ac:dyDescent="0.25">
      <c r="B69" s="1"/>
    </row>
    <row r="70" spans="2:20" x14ac:dyDescent="0.25">
      <c r="B70" s="1"/>
    </row>
    <row r="71" spans="2:20" x14ac:dyDescent="0.25">
      <c r="B71" s="1"/>
    </row>
    <row r="72" spans="2:20" x14ac:dyDescent="0.25">
      <c r="B72" s="1"/>
    </row>
    <row r="73" spans="2:20" x14ac:dyDescent="0.25">
      <c r="B73" s="1"/>
    </row>
    <row r="74" spans="2:20" x14ac:dyDescent="0.25">
      <c r="B74" s="1"/>
    </row>
    <row r="75" spans="2:20" x14ac:dyDescent="0.25">
      <c r="B75" s="1"/>
    </row>
    <row r="76" spans="2:20" x14ac:dyDescent="0.25">
      <c r="B76" s="1"/>
    </row>
    <row r="77" spans="2:20" x14ac:dyDescent="0.25">
      <c r="B77" s="1"/>
    </row>
    <row r="78" spans="2:20" x14ac:dyDescent="0.25">
      <c r="B78" s="1"/>
    </row>
    <row r="79" spans="2:20" x14ac:dyDescent="0.25">
      <c r="B79" s="1"/>
    </row>
    <row r="80" spans="2:20" x14ac:dyDescent="0.25">
      <c r="B80" s="1"/>
    </row>
    <row r="81" spans="2:2" x14ac:dyDescent="0.25">
      <c r="B81" s="1"/>
    </row>
    <row r="82" spans="2:2" x14ac:dyDescent="0.25">
      <c r="B82" s="1"/>
    </row>
  </sheetData>
  <hyperlinks>
    <hyperlink ref="B45" r:id="rId1" display="https://support.microsoft.com/en-us/office/expon-dist-function-4c12ae24-e563-4155-bf3e-8b78b6ae140e" xr:uid="{BC256571-94FD-44AE-A308-FC6A00FE3654}"/>
    <hyperlink ref="B61" r:id="rId2" display="https://support.microsoft.com/en-us/office/tdist-function-630a7695-4021-4853-9468-4a1f9dcdd192" xr:uid="{5DB1A7DE-9D0A-4BC6-8AE9-3B47977A705C}"/>
    <hyperlink ref="B59" r:id="rId3" display="https://support.microsoft.com/en-us/office/t-dist-function-4329459f-ae91-48c2-bba8-1ead1c6c21b2" xr:uid="{96891F24-CDD7-4D73-A4C8-B613473737A1}"/>
    <hyperlink ref="B62" r:id="rId4" display="https://support.microsoft.com/en-us/office/t-dist-rt-function-20a30020-86f9-4b35-af1f-7ef6ae683eda" xr:uid="{3CA4923B-E441-4557-B8CB-482042A54791}"/>
    <hyperlink ref="B60" r:id="rId5" display="https://support.microsoft.com/en-us/office/tdist-function-630a7695-4021-4853-9468-4a1f9dcdd192" xr:uid="{902847EC-4266-4079-9AD3-F2AA54FCDC8B}"/>
    <hyperlink ref="B64" r:id="rId6" display="https://support.microsoft.com/en-us/office/t-inv-function-2908272b-4e61-4942-9df9-a25fec9b0e2e" xr:uid="{C8816066-85EB-4401-B495-4BB0F034BD74}"/>
    <hyperlink ref="B65" r:id="rId7" display="https://support.microsoft.com/en-us/office/t-inv-2t-function-ce72ea19-ec6c-4be7-bed2-b9baf2264f17" xr:uid="{B1578E0F-9CA9-48D5-979B-156F06CF9813}"/>
    <hyperlink ref="B58" r:id="rId8" display="https://support.microsoft.com/en-us/office/t-dist-function-4329459f-ae91-48c2-bba8-1ead1c6c21b2" xr:uid="{B5EA52FC-07B9-4E0E-B58D-08721779337F}"/>
    <hyperlink ref="B57" r:id="rId9" display="https://support.microsoft.com/en-us/office/poisson-dist-function-8fe148ff-39a2-46cb-abf3-7772695d9636" xr:uid="{377BE79B-B431-408F-95D3-6D849B54A161}"/>
    <hyperlink ref="B55" r:id="rId10" display="https://support.microsoft.com/en-us/office/poisson-function-d81f7294-9d7c-4f75-bc23-80aa8624173a" xr:uid="{E97713DD-1370-413C-89DE-9F5B636CC687}"/>
    <hyperlink ref="B54" r:id="rId11" display="https://support.microsoft.com/en-us/office/poisson-function-d81f7294-9d7c-4f75-bc23-80aa8624173a" xr:uid="{5D52BF48-B13A-4E02-B209-CC2E089D59EA}"/>
    <hyperlink ref="B56" r:id="rId12" display="https://support.microsoft.com/en-us/office/poisson-dist-function-8fe148ff-39a2-46cb-abf3-7772695d9636" xr:uid="{9ACEF8B2-5D83-4327-80A8-912F569FC7F2}"/>
    <hyperlink ref="B50" r:id="rId13" display="https://support.microsoft.com/en-us/office/f-dist-function-a887efdc-7c8e-46cb-a74a-f884cd29b25d" xr:uid="{A9D7A288-68D0-472A-9450-291D343A1021}"/>
    <hyperlink ref="B48" r:id="rId14" display="https://support.microsoft.com/en-us/office/expondist-function-68ab45fd-cd6d-4887-9770-9357eb8ee06a" xr:uid="{F4118896-1096-40CD-A522-210B50E0FA15}"/>
    <hyperlink ref="B46" r:id="rId15" display="https://support.microsoft.com/en-us/office/expon-dist-function-4c12ae24-e563-4155-bf3e-8b78b6ae140e" xr:uid="{3A055E2C-B5CB-4A9C-8CCF-B305CB965D66}"/>
    <hyperlink ref="B53" r:id="rId16" display="https://support.microsoft.com/en-us/office/f-inv-rt-function-d371aa8f-b0b1-40ef-9cc2-496f0693ac00" xr:uid="{8484B4A4-F870-464C-8C25-3A93DE666E30}"/>
    <hyperlink ref="B52" r:id="rId17" display="https://support.microsoft.com/en-us/office/f-inv-function-0dda0cf9-4ea0-42fd-8c3c-417a1ff30dbe" xr:uid="{C80C9923-F873-46B5-B113-7FACC5C28137}"/>
    <hyperlink ref="B51" r:id="rId18" display="https://support.microsoft.com/en-us/office/f-dist-rt-function-d74cbb00-6017-4ac9-b7d7-6049badc0520" xr:uid="{4391ABF7-C81C-4DF4-A84F-F335DC9C68CD}"/>
    <hyperlink ref="B49" r:id="rId19" display="https://support.microsoft.com/en-us/office/f-dist-function-a887efdc-7c8e-46cb-a74a-f884cd29b25d" xr:uid="{A2E307A0-40CB-4A78-9965-F09F26F7907B}"/>
    <hyperlink ref="B47" r:id="rId20" display="https://support.microsoft.com/en-us/office/expondist-function-68ab45fd-cd6d-4887-9770-9357eb8ee06a" xr:uid="{6FD03E3E-84DF-4CC6-9EE8-E428515F92F9}"/>
    <hyperlink ref="B63" r:id="rId21" display="https://support.microsoft.com/en-us/office/t-dist-2t-function-198e9340-e360-4230-bd21-f52f22ff5c28" xr:uid="{EF6AD204-EFA7-4839-8982-84C459E17D22}"/>
  </hyperlinks>
  <pageMargins left="0.7" right="0.7" top="0.75" bottom="0.75" header="0.3" footer="0.3"/>
  <pageSetup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O'Donnell</dc:creator>
  <cp:lastModifiedBy>Michael O'Donnell</cp:lastModifiedBy>
  <dcterms:created xsi:type="dcterms:W3CDTF">2026-01-23T17:16:52Z</dcterms:created>
  <dcterms:modified xsi:type="dcterms:W3CDTF">2026-02-01T15:59:55Z</dcterms:modified>
</cp:coreProperties>
</file>