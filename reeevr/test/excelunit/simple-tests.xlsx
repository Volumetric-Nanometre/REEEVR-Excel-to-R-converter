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14776\PycharmProjects\Excel-R-compiler\reeevr\test\excelunit\"/>
    </mc:Choice>
  </mc:AlternateContent>
  <xr:revisionPtr revIDLastSave="0" documentId="13_ncr:1_{89C28DB0-7BC9-40CA-88EC-40F094FF584E}" xr6:coauthVersionLast="47" xr6:coauthVersionMax="47" xr10:uidLastSave="{00000000-0000-0000-0000-000000000000}"/>
  <bookViews>
    <workbookView xWindow="28680" yWindow="-120" windowWidth="29040" windowHeight="15720" xr2:uid="{AEC3FC54-0D47-4937-A0CF-B72916A7CC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1" l="1"/>
  <c r="K17" i="1"/>
  <c r="L17" i="1"/>
  <c r="M17" i="1"/>
  <c r="N17" i="1"/>
  <c r="J18" i="1"/>
  <c r="K18" i="1"/>
  <c r="L18" i="1"/>
  <c r="M18" i="1"/>
  <c r="N18" i="1"/>
  <c r="J19" i="1"/>
  <c r="K19" i="1"/>
  <c r="L19" i="1"/>
  <c r="M19" i="1"/>
  <c r="N19" i="1"/>
  <c r="I19" i="1"/>
  <c r="I18" i="1"/>
  <c r="I17" i="1"/>
  <c r="J14" i="1"/>
  <c r="K14" i="1"/>
  <c r="L14" i="1"/>
  <c r="M14" i="1"/>
  <c r="N14" i="1"/>
  <c r="J15" i="1"/>
  <c r="K15" i="1"/>
  <c r="L15" i="1"/>
  <c r="M15" i="1"/>
  <c r="N15" i="1"/>
  <c r="J16" i="1"/>
  <c r="K16" i="1"/>
  <c r="L16" i="1"/>
  <c r="M16" i="1"/>
  <c r="N16" i="1"/>
  <c r="I16" i="1"/>
  <c r="I15" i="1"/>
  <c r="I14" i="1"/>
  <c r="H16" i="1"/>
  <c r="G16" i="1"/>
  <c r="F16" i="1"/>
  <c r="E16" i="1"/>
  <c r="D16" i="1"/>
  <c r="C16" i="1"/>
  <c r="H15" i="1"/>
  <c r="G15" i="1"/>
  <c r="F15" i="1"/>
  <c r="E15" i="1"/>
  <c r="D15" i="1"/>
  <c r="C15" i="1"/>
  <c r="H14" i="1"/>
  <c r="G14" i="1"/>
  <c r="F14" i="1"/>
  <c r="E14" i="1"/>
  <c r="D14" i="1"/>
  <c r="C14" i="1"/>
  <c r="J12" i="1"/>
  <c r="K12" i="1"/>
  <c r="L12" i="1"/>
  <c r="M12" i="1"/>
  <c r="N12" i="1"/>
  <c r="J13" i="1"/>
  <c r="K13" i="1"/>
  <c r="L13" i="1"/>
  <c r="M13" i="1"/>
  <c r="N13" i="1"/>
  <c r="I13" i="1"/>
  <c r="I12" i="1"/>
  <c r="J11" i="1"/>
  <c r="K11" i="1"/>
  <c r="L11" i="1"/>
  <c r="M11" i="1"/>
  <c r="N11" i="1"/>
  <c r="I11" i="1"/>
  <c r="H10" i="1"/>
  <c r="N10" i="1" s="1"/>
  <c r="G10" i="1"/>
  <c r="M10" i="1" s="1"/>
  <c r="F10" i="1"/>
  <c r="L10" i="1" s="1"/>
  <c r="E10" i="1"/>
  <c r="D10" i="1"/>
  <c r="J10" i="1"/>
  <c r="K10" i="1"/>
  <c r="I10" i="1"/>
  <c r="J9" i="1"/>
  <c r="J8" i="1"/>
  <c r="K8" i="1"/>
  <c r="L8" i="1"/>
  <c r="N8" i="1"/>
  <c r="G9" i="1"/>
  <c r="M9" i="1" s="1"/>
  <c r="G8" i="1"/>
  <c r="M8" i="1" s="1"/>
  <c r="H9" i="1"/>
  <c r="N9" i="1" s="1"/>
  <c r="H8" i="1"/>
  <c r="F9" i="1"/>
  <c r="L9" i="1" s="1"/>
  <c r="F8" i="1"/>
  <c r="E9" i="1"/>
  <c r="K9" i="1" s="1"/>
  <c r="E8" i="1"/>
  <c r="D9" i="1"/>
  <c r="D8" i="1"/>
  <c r="C9" i="1"/>
  <c r="I9" i="1" s="1"/>
  <c r="C10" i="1"/>
  <c r="C8" i="1"/>
  <c r="I8" i="1" s="1"/>
  <c r="K6" i="1"/>
  <c r="L6" i="1"/>
  <c r="M6" i="1"/>
  <c r="N6" i="1"/>
  <c r="J6" i="1"/>
  <c r="I6" i="1"/>
  <c r="J5" i="1"/>
  <c r="K5" i="1"/>
  <c r="L5" i="1"/>
  <c r="M5" i="1"/>
  <c r="N5" i="1"/>
  <c r="I5" i="1"/>
  <c r="J4" i="1"/>
  <c r="K4" i="1"/>
  <c r="L4" i="1"/>
  <c r="N4" i="1"/>
  <c r="I4" i="1"/>
  <c r="N3" i="1"/>
  <c r="J3" i="1"/>
  <c r="K3" i="1"/>
  <c r="L3" i="1"/>
  <c r="M3" i="1"/>
  <c r="I3" i="1"/>
  <c r="G4" i="1"/>
  <c r="M4" i="1" s="1"/>
  <c r="N7" i="1"/>
  <c r="M7" i="1"/>
  <c r="L7" i="1"/>
  <c r="K7" i="1"/>
  <c r="J7" i="1"/>
  <c r="I7" i="1"/>
</calcChain>
</file>

<file path=xl/sharedStrings.xml><?xml version="1.0" encoding="utf-8"?>
<sst xmlns="http://schemas.openxmlformats.org/spreadsheetml/2006/main" count="21" uniqueCount="21">
  <si>
    <t>SQRT</t>
  </si>
  <si>
    <t>EXP</t>
  </si>
  <si>
    <t>ABS</t>
  </si>
  <si>
    <t>ROUND</t>
  </si>
  <si>
    <t>LOG10</t>
  </si>
  <si>
    <t>Functions</t>
  </si>
  <si>
    <t>Inputs</t>
  </si>
  <si>
    <t>Tests</t>
  </si>
  <si>
    <t>Expected</t>
  </si>
  <si>
    <t>SIN</t>
  </si>
  <si>
    <t>COS</t>
  </si>
  <si>
    <t>TAN</t>
  </si>
  <si>
    <t>ASIN</t>
  </si>
  <si>
    <t>ACOS</t>
  </si>
  <si>
    <t>ATAN</t>
  </si>
  <si>
    <t>ACOSH</t>
  </si>
  <si>
    <t>SINH</t>
  </si>
  <si>
    <t>COSH</t>
  </si>
  <si>
    <t>TANH</t>
  </si>
  <si>
    <t>ASINH</t>
  </si>
  <si>
    <t>ATANH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</si>
</sst>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25731-326B-4B1D-BAEF-4810D3B7BDA8}">
  <dimension ref="B2:T19"/>
  <sheetViews>
    <sheetView tabSelected="1" workbookViewId="0">
      <selection activeCell="E22" sqref="E22"/>
    </sheetView>
  </sheetViews>
  <sheetFormatPr defaultRowHeight="15" x14ac:dyDescent="0.25"/>
  <cols>
    <col min="2" max="2" width="14.85546875" bestFit="1" customWidth="1"/>
    <col min="3" max="3" width="7.42578125" bestFit="1" customWidth="1"/>
    <col min="4" max="4" width="12" bestFit="1" customWidth="1"/>
    <col min="5" max="5" width="10.140625" bestFit="1" customWidth="1"/>
    <col min="6" max="6" width="7" bestFit="1" customWidth="1"/>
    <col min="7" max="8" width="11" bestFit="1" customWidth="1"/>
    <col min="9" max="9" width="12.7109375" bestFit="1" customWidth="1"/>
    <col min="10" max="11" width="12" bestFit="1" customWidth="1"/>
    <col min="12" max="12" width="7" bestFit="1" customWidth="1"/>
    <col min="13" max="14" width="12" bestFit="1" customWidth="1"/>
  </cols>
  <sheetData>
    <row r="2" spans="2:20" x14ac:dyDescent="0.25">
      <c r="B2" t="s">
        <v>5</v>
      </c>
      <c r="C2" t="s">
        <v>6</v>
      </c>
      <c r="I2" t="s">
        <v>7</v>
      </c>
      <c r="O2" t="s">
        <v>8</v>
      </c>
    </row>
    <row r="3" spans="2:20" x14ac:dyDescent="0.25">
      <c r="B3" t="s">
        <v>0</v>
      </c>
      <c r="C3">
        <v>1</v>
      </c>
      <c r="D3">
        <v>1.2</v>
      </c>
      <c r="E3">
        <v>3.5</v>
      </c>
      <c r="F3">
        <v>10</v>
      </c>
      <c r="G3">
        <v>100</v>
      </c>
      <c r="H3">
        <v>1000</v>
      </c>
      <c r="I3">
        <f>SQRT(C3)</f>
        <v>1</v>
      </c>
      <c r="J3">
        <f t="shared" ref="J3:M3" si="0">SQRT(D3)</f>
        <v>1.0954451150103321</v>
      </c>
      <c r="K3">
        <f t="shared" si="0"/>
        <v>1.8708286933869707</v>
      </c>
      <c r="L3">
        <f t="shared" si="0"/>
        <v>3.1622776601683795</v>
      </c>
      <c r="M3">
        <f t="shared" si="0"/>
        <v>10</v>
      </c>
      <c r="N3">
        <f>SQRT(H3)</f>
        <v>31.622776601683793</v>
      </c>
      <c r="O3">
        <v>1</v>
      </c>
      <c r="P3">
        <v>1.0954451150103321</v>
      </c>
      <c r="Q3">
        <v>1.8708286933869707</v>
      </c>
      <c r="R3">
        <v>3.1622776601683795</v>
      </c>
      <c r="S3">
        <v>10</v>
      </c>
      <c r="T3">
        <v>31.622776601683793</v>
      </c>
    </row>
    <row r="4" spans="2:20" x14ac:dyDescent="0.25">
      <c r="B4" t="s">
        <v>1</v>
      </c>
      <c r="C4">
        <v>-1</v>
      </c>
      <c r="D4">
        <v>1</v>
      </c>
      <c r="E4">
        <v>2</v>
      </c>
      <c r="F4">
        <v>3</v>
      </c>
      <c r="G4">
        <f>LN(1)</f>
        <v>0</v>
      </c>
      <c r="H4">
        <v>0</v>
      </c>
      <c r="I4">
        <f>EXP(C4)</f>
        <v>0.36787944117144233</v>
      </c>
      <c r="J4">
        <f t="shared" ref="J4:N4" si="1">EXP(D4)</f>
        <v>2.7182818284590451</v>
      </c>
      <c r="K4">
        <f t="shared" si="1"/>
        <v>7.3890560989306504</v>
      </c>
      <c r="L4">
        <f t="shared" si="1"/>
        <v>20.085536923187668</v>
      </c>
      <c r="M4">
        <f t="shared" si="1"/>
        <v>1</v>
      </c>
      <c r="N4">
        <f t="shared" si="1"/>
        <v>1</v>
      </c>
      <c r="O4">
        <v>0.36787944117144233</v>
      </c>
      <c r="P4">
        <v>2.7182818284590451</v>
      </c>
      <c r="Q4">
        <v>7.3890560989306504</v>
      </c>
      <c r="R4">
        <v>20.085536923187668</v>
      </c>
      <c r="S4">
        <v>1</v>
      </c>
      <c r="T4">
        <v>1</v>
      </c>
    </row>
    <row r="5" spans="2:20" x14ac:dyDescent="0.25">
      <c r="B5" t="s">
        <v>2</v>
      </c>
      <c r="C5">
        <v>-1</v>
      </c>
      <c r="D5">
        <v>1</v>
      </c>
      <c r="E5">
        <v>2</v>
      </c>
      <c r="F5">
        <v>-2</v>
      </c>
      <c r="G5">
        <v>-1.2</v>
      </c>
      <c r="H5">
        <v>1.2</v>
      </c>
      <c r="I5">
        <f>ABS(C5)</f>
        <v>1</v>
      </c>
      <c r="J5">
        <f t="shared" ref="J5:N5" si="2">ABS(D5)</f>
        <v>1</v>
      </c>
      <c r="K5">
        <f t="shared" si="2"/>
        <v>2</v>
      </c>
      <c r="L5">
        <f t="shared" si="2"/>
        <v>2</v>
      </c>
      <c r="M5">
        <f t="shared" si="2"/>
        <v>1.2</v>
      </c>
      <c r="N5">
        <f t="shared" si="2"/>
        <v>1.2</v>
      </c>
      <c r="O5">
        <v>1</v>
      </c>
      <c r="P5">
        <v>1</v>
      </c>
      <c r="Q5">
        <v>2</v>
      </c>
      <c r="R5">
        <v>2</v>
      </c>
      <c r="S5">
        <v>1.2</v>
      </c>
      <c r="T5">
        <v>1.2</v>
      </c>
    </row>
    <row r="6" spans="2:20" x14ac:dyDescent="0.25">
      <c r="B6" t="s">
        <v>3</v>
      </c>
      <c r="C6">
        <v>1.2</v>
      </c>
      <c r="D6">
        <v>1.5</v>
      </c>
      <c r="E6">
        <v>1.9</v>
      </c>
      <c r="F6">
        <v>-1.2</v>
      </c>
      <c r="G6">
        <v>-1.5</v>
      </c>
      <c r="H6">
        <v>-1.9</v>
      </c>
      <c r="I6">
        <f>ROUND(C6,0)</f>
        <v>1</v>
      </c>
      <c r="J6">
        <f t="shared" ref="J6" si="3">ROUND(D6,0)</f>
        <v>2</v>
      </c>
      <c r="K6">
        <f t="shared" ref="K6" si="4">ROUND(E6,0)</f>
        <v>2</v>
      </c>
      <c r="L6">
        <f t="shared" ref="L6" si="5">ROUND(F6,0)</f>
        <v>-1</v>
      </c>
      <c r="M6">
        <f t="shared" ref="M6" si="6">ROUND(G6,0)</f>
        <v>-2</v>
      </c>
      <c r="N6">
        <f t="shared" ref="N6" si="7">ROUND(H6,0)</f>
        <v>-2</v>
      </c>
      <c r="O6">
        <v>1</v>
      </c>
      <c r="P6">
        <v>2</v>
      </c>
      <c r="Q6">
        <v>2</v>
      </c>
      <c r="R6">
        <v>-1</v>
      </c>
      <c r="S6">
        <v>-2</v>
      </c>
      <c r="T6">
        <v>-2</v>
      </c>
    </row>
    <row r="7" spans="2:20" x14ac:dyDescent="0.25">
      <c r="B7" s="1" t="s">
        <v>4</v>
      </c>
      <c r="C7">
        <v>10</v>
      </c>
      <c r="D7">
        <v>100</v>
      </c>
      <c r="E7">
        <v>1</v>
      </c>
      <c r="F7">
        <v>1000</v>
      </c>
      <c r="G7" s="2">
        <v>3</v>
      </c>
      <c r="H7">
        <v>6</v>
      </c>
      <c r="I7">
        <f t="shared" ref="I7:N7" si="8">LOG10(C7)</f>
        <v>1</v>
      </c>
      <c r="J7">
        <f t="shared" si="8"/>
        <v>2</v>
      </c>
      <c r="K7">
        <f t="shared" si="8"/>
        <v>0</v>
      </c>
      <c r="L7">
        <f t="shared" si="8"/>
        <v>3</v>
      </c>
      <c r="M7">
        <f t="shared" si="8"/>
        <v>0.47712125471966244</v>
      </c>
      <c r="N7">
        <f t="shared" si="8"/>
        <v>0.77815125038364363</v>
      </c>
      <c r="O7">
        <v>1</v>
      </c>
      <c r="P7">
        <v>2</v>
      </c>
      <c r="Q7">
        <v>0</v>
      </c>
      <c r="R7">
        <v>3</v>
      </c>
      <c r="S7">
        <v>0.47712125471966244</v>
      </c>
      <c r="T7">
        <v>0.77815125038364363</v>
      </c>
    </row>
    <row r="8" spans="2:20" x14ac:dyDescent="0.25">
      <c r="B8" t="s">
        <v>9</v>
      </c>
      <c r="C8">
        <f>PI()</f>
        <v>3.1415926535897931</v>
      </c>
      <c r="D8">
        <f>PI()/2</f>
        <v>1.5707963267948966</v>
      </c>
      <c r="E8">
        <f>PI()/4</f>
        <v>0.78539816339744828</v>
      </c>
      <c r="F8">
        <f>3/2*PI()</f>
        <v>4.7123889803846897</v>
      </c>
      <c r="G8">
        <f>7/4*PI()</f>
        <v>5.497787143782138</v>
      </c>
      <c r="H8">
        <f>2*PI()</f>
        <v>6.2831853071795862</v>
      </c>
      <c r="I8">
        <f>SIN(C8)</f>
        <v>1.22514845490862E-16</v>
      </c>
      <c r="J8">
        <f t="shared" ref="J8:N8" si="9">SIN(D8)</f>
        <v>1</v>
      </c>
      <c r="K8">
        <f t="shared" si="9"/>
        <v>0.70710678118654746</v>
      </c>
      <c r="L8">
        <f t="shared" si="9"/>
        <v>-1</v>
      </c>
      <c r="M8">
        <f t="shared" si="9"/>
        <v>-0.70710678118654768</v>
      </c>
      <c r="N8">
        <f t="shared" si="9"/>
        <v>-2.45029690981724E-16</v>
      </c>
      <c r="O8">
        <v>1.22514845490862E-16</v>
      </c>
      <c r="P8">
        <v>1</v>
      </c>
      <c r="Q8">
        <v>0.70710678118654746</v>
      </c>
      <c r="R8">
        <v>-1</v>
      </c>
      <c r="S8">
        <v>-0.70710678118654768</v>
      </c>
      <c r="T8">
        <v>-2.45029690981724E-16</v>
      </c>
    </row>
    <row r="9" spans="2:20" x14ac:dyDescent="0.25">
      <c r="B9" t="s">
        <v>10</v>
      </c>
      <c r="C9">
        <f>PI()</f>
        <v>3.1415926535897931</v>
      </c>
      <c r="D9">
        <f t="shared" ref="D9" si="10">PI()/2</f>
        <v>1.5707963267948966</v>
      </c>
      <c r="E9">
        <f t="shared" ref="E9" si="11">PI()/4</f>
        <v>0.78539816339744828</v>
      </c>
      <c r="F9">
        <f t="shared" ref="F9" si="12">3/2*PI()</f>
        <v>4.7123889803846897</v>
      </c>
      <c r="G9">
        <f t="shared" ref="G9" si="13">7/4*PI()</f>
        <v>5.497787143782138</v>
      </c>
      <c r="H9">
        <f t="shared" ref="H9" si="14">2*PI()</f>
        <v>6.2831853071795862</v>
      </c>
      <c r="I9">
        <f>COS(C9)</f>
        <v>-1</v>
      </c>
      <c r="J9">
        <f t="shared" ref="J9:N9" si="15">COS(D9)</f>
        <v>6.1257422745431001E-17</v>
      </c>
      <c r="K9">
        <f t="shared" si="15"/>
        <v>0.70710678118654757</v>
      </c>
      <c r="L9">
        <f t="shared" si="15"/>
        <v>-1.83772268236293E-16</v>
      </c>
      <c r="M9">
        <f t="shared" si="15"/>
        <v>0.70710678118654735</v>
      </c>
      <c r="N9">
        <f t="shared" si="15"/>
        <v>1</v>
      </c>
      <c r="O9">
        <v>-1</v>
      </c>
      <c r="P9">
        <v>6.1257422745431001E-17</v>
      </c>
      <c r="Q9">
        <v>0.70710678118654757</v>
      </c>
      <c r="R9">
        <v>-1.83772268236293E-16</v>
      </c>
      <c r="S9">
        <v>0.70710678118654735</v>
      </c>
      <c r="T9">
        <v>1</v>
      </c>
    </row>
    <row r="10" spans="2:20" x14ac:dyDescent="0.25">
      <c r="B10" t="s">
        <v>11</v>
      </c>
      <c r="C10">
        <f>PI()</f>
        <v>3.1415926535897931</v>
      </c>
      <c r="D10">
        <f>PI()/4</f>
        <v>0.78539816339744828</v>
      </c>
      <c r="E10">
        <f>PI()/8</f>
        <v>0.39269908169872414</v>
      </c>
      <c r="F10">
        <f>5/4*PI()</f>
        <v>3.9269908169872414</v>
      </c>
      <c r="G10">
        <f>7/4*PI()</f>
        <v>5.497787143782138</v>
      </c>
      <c r="H10">
        <f>33/8*PI()</f>
        <v>12.959069696057897</v>
      </c>
      <c r="I10">
        <f>TAN(C10)</f>
        <v>-1.22514845490862E-16</v>
      </c>
      <c r="J10">
        <f t="shared" ref="J10:M10" si="16">TAN(D10)</f>
        <v>0.99999999999999989</v>
      </c>
      <c r="K10">
        <f t="shared" si="16"/>
        <v>0.41421356237309503</v>
      </c>
      <c r="L10">
        <f t="shared" si="16"/>
        <v>0.99999999999999967</v>
      </c>
      <c r="M10">
        <f t="shared" si="16"/>
        <v>-1.0000000000000004</v>
      </c>
      <c r="N10">
        <f>TAN(H10)</f>
        <v>0.41421356237309498</v>
      </c>
      <c r="O10">
        <v>-1.22514845490862E-16</v>
      </c>
      <c r="P10">
        <v>0.99999999999999989</v>
      </c>
      <c r="Q10">
        <v>0.41421356237309503</v>
      </c>
      <c r="R10">
        <v>0.99999999999999967</v>
      </c>
      <c r="S10">
        <v>-1.0000000000000004</v>
      </c>
      <c r="T10">
        <v>0.41421356237309498</v>
      </c>
    </row>
    <row r="11" spans="2:20" x14ac:dyDescent="0.25">
      <c r="B11" t="s">
        <v>12</v>
      </c>
      <c r="C11">
        <v>1.22514845490862E-16</v>
      </c>
      <c r="D11">
        <v>1</v>
      </c>
      <c r="E11">
        <v>0.70710678118654746</v>
      </c>
      <c r="F11">
        <v>-1</v>
      </c>
      <c r="G11">
        <v>-0.70710678118654768</v>
      </c>
      <c r="H11">
        <v>-2.45029690981724E-16</v>
      </c>
      <c r="I11">
        <f>ASIN(C11)</f>
        <v>1.22514845490862E-16</v>
      </c>
      <c r="J11">
        <f t="shared" ref="J11:N11" si="17">ASIN(D11)</f>
        <v>1.5707963267948966</v>
      </c>
      <c r="K11">
        <f t="shared" si="17"/>
        <v>0.78539816339744828</v>
      </c>
      <c r="L11">
        <f t="shared" si="17"/>
        <v>-1.5707963267948966</v>
      </c>
      <c r="M11">
        <f t="shared" si="17"/>
        <v>-0.7853981633974485</v>
      </c>
      <c r="N11">
        <f t="shared" si="17"/>
        <v>-2.45029690981724E-16</v>
      </c>
      <c r="O11">
        <v>1.22514845490862E-16</v>
      </c>
      <c r="P11">
        <v>1.5707963267948966</v>
      </c>
      <c r="Q11">
        <v>0.78539816339744828</v>
      </c>
      <c r="R11">
        <v>-1.5707963267948966</v>
      </c>
      <c r="S11">
        <v>-0.7853981633974485</v>
      </c>
      <c r="T11">
        <v>-2.45029690981724E-16</v>
      </c>
    </row>
    <row r="12" spans="2:20" x14ac:dyDescent="0.25">
      <c r="B12" t="s">
        <v>13</v>
      </c>
      <c r="C12">
        <v>-1</v>
      </c>
      <c r="D12">
        <v>6.1257422745431001E-17</v>
      </c>
      <c r="E12">
        <v>0.70710678118654757</v>
      </c>
      <c r="F12">
        <v>-1.83772268236293E-16</v>
      </c>
      <c r="G12">
        <v>0.70710678118654735</v>
      </c>
      <c r="H12">
        <v>1</v>
      </c>
      <c r="I12">
        <f>ACOS(C12)</f>
        <v>3.1415926535897931</v>
      </c>
      <c r="J12">
        <f t="shared" ref="J12:N12" si="18">ACOS(D12)</f>
        <v>1.5707963267948966</v>
      </c>
      <c r="K12">
        <f t="shared" si="18"/>
        <v>0.78539816339744817</v>
      </c>
      <c r="L12">
        <f t="shared" si="18"/>
        <v>1.5707963267948968</v>
      </c>
      <c r="M12">
        <f t="shared" si="18"/>
        <v>0.78539816339744861</v>
      </c>
      <c r="N12">
        <f t="shared" si="18"/>
        <v>0</v>
      </c>
      <c r="O12">
        <v>3.1415926535897931</v>
      </c>
      <c r="P12">
        <v>1.5707963267948966</v>
      </c>
      <c r="Q12">
        <v>0.78539816339744817</v>
      </c>
      <c r="R12">
        <v>1.5707963267948968</v>
      </c>
      <c r="S12">
        <v>0.78539816339744861</v>
      </c>
      <c r="T12">
        <v>0</v>
      </c>
    </row>
    <row r="13" spans="2:20" x14ac:dyDescent="0.25">
      <c r="B13" t="s">
        <v>14</v>
      </c>
      <c r="C13">
        <v>-1.22514845490862E-16</v>
      </c>
      <c r="D13">
        <v>0.99999999999999989</v>
      </c>
      <c r="E13">
        <v>0.41421356237309503</v>
      </c>
      <c r="F13">
        <v>0.99999999999999967</v>
      </c>
      <c r="G13">
        <v>-1.0000000000000004</v>
      </c>
      <c r="H13">
        <v>0.41421356237309498</v>
      </c>
      <c r="I13">
        <f>ATAN(C13)</f>
        <v>-1.22514845490862E-16</v>
      </c>
      <c r="J13">
        <f t="shared" ref="J13:N13" si="19">ATAN(D13)</f>
        <v>0.78539816339744828</v>
      </c>
      <c r="K13">
        <f t="shared" si="19"/>
        <v>0.39269908169872414</v>
      </c>
      <c r="L13">
        <f t="shared" si="19"/>
        <v>0.78539816339744817</v>
      </c>
      <c r="M13">
        <f t="shared" si="19"/>
        <v>-0.7853981633974485</v>
      </c>
      <c r="N13">
        <f t="shared" si="19"/>
        <v>0.39269908169872408</v>
      </c>
      <c r="O13">
        <v>-1.22514845490862E-16</v>
      </c>
      <c r="P13">
        <v>0.78539816339744828</v>
      </c>
      <c r="Q13">
        <v>0.39269908169872414</v>
      </c>
      <c r="R13">
        <v>0.78539816339744817</v>
      </c>
      <c r="S13">
        <v>-0.7853981633974485</v>
      </c>
      <c r="T13">
        <v>0.39269908169872408</v>
      </c>
    </row>
    <row r="14" spans="2:20" x14ac:dyDescent="0.25">
      <c r="B14" t="s">
        <v>16</v>
      </c>
      <c r="C14">
        <f>PI()</f>
        <v>3.1415926535897931</v>
      </c>
      <c r="D14">
        <f>PI()/2</f>
        <v>1.5707963267948966</v>
      </c>
      <c r="E14">
        <f>PI()/4</f>
        <v>0.78539816339744828</v>
      </c>
      <c r="F14">
        <f>3/2*PI()</f>
        <v>4.7123889803846897</v>
      </c>
      <c r="G14">
        <f>7/4*PI()</f>
        <v>5.497787143782138</v>
      </c>
      <c r="H14">
        <f>2*PI()</f>
        <v>6.2831853071795862</v>
      </c>
      <c r="I14">
        <f>SINH(C14)</f>
        <v>11.548739357257748</v>
      </c>
      <c r="J14">
        <f t="shared" ref="J14:N14" si="20">SINH(D14)</f>
        <v>2.3012989023072947</v>
      </c>
      <c r="K14">
        <f t="shared" si="20"/>
        <v>0.86867096148600964</v>
      </c>
      <c r="L14">
        <f t="shared" si="20"/>
        <v>55.654397599417543</v>
      </c>
      <c r="M14">
        <f t="shared" si="20"/>
        <v>122.07348351469281</v>
      </c>
      <c r="N14">
        <f t="shared" si="20"/>
        <v>267.74489404101644</v>
      </c>
      <c r="O14">
        <v>11.548739357257748</v>
      </c>
      <c r="P14">
        <v>2.3012989023072947</v>
      </c>
      <c r="Q14">
        <v>0.86867096148600964</v>
      </c>
      <c r="R14">
        <v>55.654397599417543</v>
      </c>
      <c r="S14">
        <v>122.07348351469281</v>
      </c>
      <c r="T14">
        <v>267.74489404101644</v>
      </c>
    </row>
    <row r="15" spans="2:20" x14ac:dyDescent="0.25">
      <c r="B15" t="s">
        <v>17</v>
      </c>
      <c r="C15">
        <f>PI()</f>
        <v>3.1415926535897931</v>
      </c>
      <c r="D15">
        <f t="shared" ref="D15" si="21">PI()/2</f>
        <v>1.5707963267948966</v>
      </c>
      <c r="E15">
        <f t="shared" ref="E15" si="22">PI()/4</f>
        <v>0.78539816339744828</v>
      </c>
      <c r="F15">
        <f t="shared" ref="F15" si="23">3/2*PI()</f>
        <v>4.7123889803846897</v>
      </c>
      <c r="G15">
        <f t="shared" ref="G15" si="24">7/4*PI()</f>
        <v>5.497787143782138</v>
      </c>
      <c r="H15">
        <f t="shared" ref="H15" si="25">2*PI()</f>
        <v>6.2831853071795862</v>
      </c>
      <c r="I15">
        <f>COSH(C15)</f>
        <v>11.591953275521519</v>
      </c>
      <c r="J15">
        <f t="shared" ref="J15:N15" si="26">COSH(D15)</f>
        <v>2.5091784786580567</v>
      </c>
      <c r="K15">
        <f t="shared" si="26"/>
        <v>1.3246090892520057</v>
      </c>
      <c r="L15">
        <f t="shared" si="26"/>
        <v>55.663380890438667</v>
      </c>
      <c r="M15">
        <f t="shared" si="26"/>
        <v>122.07757933958217</v>
      </c>
      <c r="N15">
        <f t="shared" si="26"/>
        <v>267.74676148374817</v>
      </c>
      <c r="O15">
        <v>11.591953275521519</v>
      </c>
      <c r="P15">
        <v>2.5091784786580567</v>
      </c>
      <c r="Q15">
        <v>1.3246090892520057</v>
      </c>
      <c r="R15">
        <v>55.663380890438667</v>
      </c>
      <c r="S15">
        <v>122.07757933958217</v>
      </c>
      <c r="T15">
        <v>267.74676148374817</v>
      </c>
    </row>
    <row r="16" spans="2:20" x14ac:dyDescent="0.25">
      <c r="B16" t="s">
        <v>18</v>
      </c>
      <c r="C16">
        <f>PI()</f>
        <v>3.1415926535897931</v>
      </c>
      <c r="D16">
        <f>PI()/4</f>
        <v>0.78539816339744828</v>
      </c>
      <c r="E16">
        <f>PI()/8</f>
        <v>0.39269908169872414</v>
      </c>
      <c r="F16">
        <f>5/4*PI()</f>
        <v>3.9269908169872414</v>
      </c>
      <c r="G16">
        <f>7/4*PI()</f>
        <v>5.497787143782138</v>
      </c>
      <c r="H16">
        <f>33/8*PI()</f>
        <v>12.959069696057897</v>
      </c>
      <c r="I16">
        <f>TANH(C16)</f>
        <v>0.99627207622075009</v>
      </c>
      <c r="J16">
        <f t="shared" ref="J16:N16" si="27">TANH(D16)</f>
        <v>0.65579420263267241</v>
      </c>
      <c r="K16">
        <f t="shared" si="27"/>
        <v>0.37368474790121536</v>
      </c>
      <c r="L16">
        <f t="shared" si="27"/>
        <v>0.99922389487864105</v>
      </c>
      <c r="M16">
        <f t="shared" si="27"/>
        <v>0.9999664489997957</v>
      </c>
      <c r="N16">
        <f t="shared" si="27"/>
        <v>0.99999999998891009</v>
      </c>
      <c r="O16">
        <v>0.99627207622075009</v>
      </c>
      <c r="P16">
        <v>0.65579420263267241</v>
      </c>
      <c r="Q16">
        <v>0.37368474790121536</v>
      </c>
      <c r="R16">
        <v>0.99922389487864105</v>
      </c>
      <c r="S16">
        <v>0.9999664489997957</v>
      </c>
      <c r="T16">
        <v>0.99999999998891009</v>
      </c>
    </row>
    <row r="17" spans="2:20" x14ac:dyDescent="0.25">
      <c r="B17" t="s">
        <v>19</v>
      </c>
      <c r="C17">
        <v>11.548739357257748</v>
      </c>
      <c r="D17">
        <v>2.3012989023072947</v>
      </c>
      <c r="E17">
        <v>0.86867096148600964</v>
      </c>
      <c r="F17">
        <v>55.654397599417543</v>
      </c>
      <c r="G17">
        <v>122.07348351469281</v>
      </c>
      <c r="H17">
        <v>267.74489404101644</v>
      </c>
      <c r="I17">
        <f>ASINH(C17)</f>
        <v>3.1415926535897931</v>
      </c>
      <c r="J17">
        <f t="shared" ref="J17:N17" si="28">ASINH(D17)</f>
        <v>1.5707963267948966</v>
      </c>
      <c r="K17">
        <f t="shared" si="28"/>
        <v>0.78539816339744839</v>
      </c>
      <c r="L17">
        <f t="shared" si="28"/>
        <v>4.7123889803846897</v>
      </c>
      <c r="M17">
        <f t="shared" si="28"/>
        <v>5.497787143782138</v>
      </c>
      <c r="N17">
        <f t="shared" si="28"/>
        <v>6.2831853071795862</v>
      </c>
      <c r="O17">
        <v>3.1415926535897931</v>
      </c>
      <c r="P17">
        <v>1.5707963267948966</v>
      </c>
      <c r="Q17">
        <v>0.78539816339744839</v>
      </c>
      <c r="R17">
        <v>4.7123889803846897</v>
      </c>
      <c r="S17">
        <v>5.497787143782138</v>
      </c>
      <c r="T17">
        <v>6.2831853071795862</v>
      </c>
    </row>
    <row r="18" spans="2:20" x14ac:dyDescent="0.25">
      <c r="B18" t="s">
        <v>15</v>
      </c>
      <c r="C18">
        <v>11.591953275521519</v>
      </c>
      <c r="D18">
        <v>2.5091784786580567</v>
      </c>
      <c r="E18">
        <v>1.3246090892520057</v>
      </c>
      <c r="F18">
        <v>55.663380890438667</v>
      </c>
      <c r="G18">
        <v>122.07757933958217</v>
      </c>
      <c r="H18">
        <v>267.74676148374817</v>
      </c>
      <c r="I18">
        <f>ACOSH(C18)</f>
        <v>3.1415926535897931</v>
      </c>
      <c r="J18">
        <f t="shared" ref="J18:N18" si="29">ACOSH(D18)</f>
        <v>1.5707963267948966</v>
      </c>
      <c r="K18">
        <f t="shared" si="29"/>
        <v>0.78539816339744817</v>
      </c>
      <c r="L18">
        <f t="shared" si="29"/>
        <v>4.7123889803846897</v>
      </c>
      <c r="M18">
        <f t="shared" si="29"/>
        <v>5.497787143782138</v>
      </c>
      <c r="N18">
        <f t="shared" si="29"/>
        <v>6.2831853071795862</v>
      </c>
      <c r="O18">
        <v>3.1415926535897931</v>
      </c>
      <c r="P18">
        <v>1.5707963267948966</v>
      </c>
      <c r="Q18">
        <v>0.78539816339744817</v>
      </c>
      <c r="R18">
        <v>4.7123889803846897</v>
      </c>
      <c r="S18">
        <v>5.497787143782138</v>
      </c>
      <c r="T18">
        <v>6.2831853071795862</v>
      </c>
    </row>
    <row r="19" spans="2:20" x14ac:dyDescent="0.25">
      <c r="B19" t="s">
        <v>20</v>
      </c>
      <c r="C19">
        <v>0.99627207622075009</v>
      </c>
      <c r="D19">
        <v>0.65579420263267241</v>
      </c>
      <c r="E19">
        <v>0.37368474790121536</v>
      </c>
      <c r="F19">
        <v>0.99922389487864105</v>
      </c>
      <c r="G19">
        <v>0.9999664489997957</v>
      </c>
      <c r="H19">
        <v>0.99999999998891009</v>
      </c>
      <c r="I19">
        <f>ATANH(C19)</f>
        <v>3.1415926535898131</v>
      </c>
      <c r="J19">
        <f t="shared" ref="J19:N19" si="30">ATANH(D19)</f>
        <v>0.78539816339744828</v>
      </c>
      <c r="K19">
        <f t="shared" si="30"/>
        <v>0.39269908169872408</v>
      </c>
      <c r="L19">
        <f t="shared" si="30"/>
        <v>3.926990816987169</v>
      </c>
      <c r="M19">
        <f t="shared" si="30"/>
        <v>5.4977871437806574</v>
      </c>
      <c r="N19">
        <f t="shared" si="30"/>
        <v>12.959066450883766</v>
      </c>
      <c r="O19">
        <v>3.1415926535898131</v>
      </c>
      <c r="P19">
        <v>0.78539816339744828</v>
      </c>
      <c r="Q19">
        <v>0.39269908169872408</v>
      </c>
      <c r="R19">
        <v>3.926990816987169</v>
      </c>
      <c r="S19">
        <v>5.4977871437806574</v>
      </c>
      <c r="T19">
        <v>12.959066450883766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O'Donnell</dc:creator>
  <cp:lastModifiedBy>Michael O'Donnell</cp:lastModifiedBy>
  <dcterms:created xsi:type="dcterms:W3CDTF">2025-11-27T16:16:31Z</dcterms:created>
  <dcterms:modified xsi:type="dcterms:W3CDTF">2026-02-02T13:27:50Z</dcterms:modified>
</cp:coreProperties>
</file>